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ocuments\Safira\Envio_Resultado_Desafio_Safira\"/>
    </mc:Choice>
  </mc:AlternateContent>
  <xr:revisionPtr revIDLastSave="0" documentId="13_ncr:1_{EE5CEC9F-CD48-4983-9B14-33495C0D706D}" xr6:coauthVersionLast="46" xr6:coauthVersionMax="47" xr10:uidLastSave="{00000000-0000-0000-0000-000000000000}"/>
  <bookViews>
    <workbookView xWindow="-120" yWindow="-120" windowWidth="24240" windowHeight="13140" tabRatio="650" xr2:uid="{E282E90D-637E-4778-B12F-44A0A331A346}"/>
  </bookViews>
  <sheets>
    <sheet name="BASE" sheetId="14" r:id="rId1"/>
    <sheet name="CADASTROS" sheetId="3" r:id="rId2"/>
    <sheet name="Grafico1" sheetId="6" r:id="rId3"/>
    <sheet name="Grafico2" sheetId="8" r:id="rId4"/>
    <sheet name="Grafico3" sheetId="9" r:id="rId5"/>
    <sheet name="Grafico4" sheetId="10" r:id="rId6"/>
    <sheet name="Grafico5" sheetId="11" r:id="rId7"/>
    <sheet name="Grafico6" sheetId="12" r:id="rId8"/>
    <sheet name="BASE (2)" sheetId="15" r:id="rId9"/>
  </sheet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01" i="15" l="1"/>
  <c r="O501" i="15" s="1"/>
  <c r="N501" i="15"/>
  <c r="M501" i="15" s="1"/>
  <c r="L501" i="15"/>
  <c r="K501" i="15" s="1"/>
  <c r="J501" i="15"/>
  <c r="I501" i="15"/>
  <c r="P500" i="15"/>
  <c r="O500" i="15" s="1"/>
  <c r="N500" i="15"/>
  <c r="M500" i="15" s="1"/>
  <c r="L500" i="15"/>
  <c r="K500" i="15" s="1"/>
  <c r="J500" i="15"/>
  <c r="I500" i="15"/>
  <c r="P499" i="15"/>
  <c r="O499" i="15" s="1"/>
  <c r="N499" i="15"/>
  <c r="M499" i="15" s="1"/>
  <c r="L499" i="15"/>
  <c r="K499" i="15" s="1"/>
  <c r="J499" i="15"/>
  <c r="I499" i="15"/>
  <c r="L498" i="15"/>
  <c r="K498" i="15" s="1"/>
  <c r="J498" i="15"/>
  <c r="I498" i="15"/>
  <c r="P497" i="15"/>
  <c r="O497" i="15" s="1"/>
  <c r="L497" i="15"/>
  <c r="K497" i="15" s="1"/>
  <c r="J497" i="15"/>
  <c r="I497" i="15"/>
  <c r="L496" i="15"/>
  <c r="K496" i="15" s="1"/>
  <c r="J496" i="15"/>
  <c r="I496" i="15"/>
  <c r="P495" i="15"/>
  <c r="O495" i="15" s="1"/>
  <c r="N495" i="15"/>
  <c r="M495" i="15" s="1"/>
  <c r="L495" i="15"/>
  <c r="K495" i="15" s="1"/>
  <c r="J495" i="15"/>
  <c r="I495" i="15"/>
  <c r="P494" i="15"/>
  <c r="O494" i="15" s="1"/>
  <c r="L494" i="15"/>
  <c r="K494" i="15" s="1"/>
  <c r="J494" i="15"/>
  <c r="N494" i="15" s="1"/>
  <c r="M494" i="15" s="1"/>
  <c r="I494" i="15"/>
  <c r="P493" i="15"/>
  <c r="O493" i="15" s="1"/>
  <c r="N493" i="15"/>
  <c r="M493" i="15" s="1"/>
  <c r="L493" i="15"/>
  <c r="K493" i="15" s="1"/>
  <c r="J493" i="15"/>
  <c r="I493" i="15"/>
  <c r="P492" i="15"/>
  <c r="O492" i="15" s="1"/>
  <c r="N492" i="15"/>
  <c r="M492" i="15" s="1"/>
  <c r="L492" i="15"/>
  <c r="K492" i="15" s="1"/>
  <c r="J492" i="15"/>
  <c r="I492" i="15"/>
  <c r="L491" i="15"/>
  <c r="K491" i="15" s="1"/>
  <c r="J491" i="15"/>
  <c r="I491" i="15"/>
  <c r="N490" i="15"/>
  <c r="M490" i="15" s="1"/>
  <c r="L490" i="15"/>
  <c r="K490" i="15" s="1"/>
  <c r="J490" i="15"/>
  <c r="I490" i="15"/>
  <c r="J489" i="15"/>
  <c r="I489" i="15"/>
  <c r="P488" i="15"/>
  <c r="O488" i="15" s="1"/>
  <c r="N488" i="15"/>
  <c r="M488" i="15" s="1"/>
  <c r="L488" i="15"/>
  <c r="K488" i="15" s="1"/>
  <c r="J488" i="15"/>
  <c r="I488" i="15"/>
  <c r="P487" i="15"/>
  <c r="O487" i="15" s="1"/>
  <c r="N487" i="15"/>
  <c r="M487" i="15" s="1"/>
  <c r="L487" i="15"/>
  <c r="K487" i="15" s="1"/>
  <c r="J487" i="15"/>
  <c r="I487" i="15"/>
  <c r="P486" i="15"/>
  <c r="O486" i="15" s="1"/>
  <c r="N486" i="15"/>
  <c r="M486" i="15" s="1"/>
  <c r="L486" i="15"/>
  <c r="K486" i="15" s="1"/>
  <c r="J486" i="15"/>
  <c r="I486" i="15"/>
  <c r="P485" i="15"/>
  <c r="O485" i="15" s="1"/>
  <c r="N485" i="15"/>
  <c r="M485" i="15" s="1"/>
  <c r="L485" i="15"/>
  <c r="K485" i="15" s="1"/>
  <c r="J485" i="15"/>
  <c r="I485" i="15"/>
  <c r="N484" i="15"/>
  <c r="M484" i="15"/>
  <c r="L484" i="15"/>
  <c r="K484" i="15" s="1"/>
  <c r="J484" i="15"/>
  <c r="P484" i="15" s="1"/>
  <c r="O484" i="15" s="1"/>
  <c r="I484" i="15"/>
  <c r="P483" i="15"/>
  <c r="O483" i="15" s="1"/>
  <c r="N483" i="15"/>
  <c r="M483" i="15" s="1"/>
  <c r="J483" i="15"/>
  <c r="L483" i="15" s="1"/>
  <c r="K483" i="15" s="1"/>
  <c r="I483" i="15"/>
  <c r="N482" i="15"/>
  <c r="M482" i="15"/>
  <c r="L482" i="15"/>
  <c r="K482" i="15" s="1"/>
  <c r="J482" i="15"/>
  <c r="P482" i="15" s="1"/>
  <c r="O482" i="15" s="1"/>
  <c r="I482" i="15"/>
  <c r="J481" i="15"/>
  <c r="I481" i="15"/>
  <c r="P480" i="15"/>
  <c r="O480" i="15" s="1"/>
  <c r="N480" i="15"/>
  <c r="M480" i="15"/>
  <c r="L480" i="15"/>
  <c r="K480" i="15" s="1"/>
  <c r="J480" i="15"/>
  <c r="I480" i="15"/>
  <c r="P479" i="15"/>
  <c r="O479" i="15" s="1"/>
  <c r="N479" i="15"/>
  <c r="M479" i="15" s="1"/>
  <c r="L479" i="15"/>
  <c r="K479" i="15" s="1"/>
  <c r="J479" i="15"/>
  <c r="I479" i="15"/>
  <c r="P478" i="15"/>
  <c r="O478" i="15" s="1"/>
  <c r="N478" i="15"/>
  <c r="M478" i="15"/>
  <c r="L478" i="15"/>
  <c r="K478" i="15" s="1"/>
  <c r="J478" i="15"/>
  <c r="I478" i="15"/>
  <c r="P477" i="15"/>
  <c r="O477" i="15" s="1"/>
  <c r="N477" i="15"/>
  <c r="M477" i="15" s="1"/>
  <c r="L477" i="15"/>
  <c r="K477" i="15" s="1"/>
  <c r="J477" i="15"/>
  <c r="I477" i="15"/>
  <c r="P476" i="15"/>
  <c r="O476" i="15" s="1"/>
  <c r="N476" i="15"/>
  <c r="M476" i="15"/>
  <c r="L476" i="15"/>
  <c r="K476" i="15" s="1"/>
  <c r="J476" i="15"/>
  <c r="I476" i="15"/>
  <c r="P475" i="15"/>
  <c r="O475" i="15" s="1"/>
  <c r="L475" i="15"/>
  <c r="K475" i="15" s="1"/>
  <c r="J475" i="15"/>
  <c r="N475" i="15" s="1"/>
  <c r="M475" i="15" s="1"/>
  <c r="I475" i="15"/>
  <c r="P474" i="15"/>
  <c r="O474" i="15" s="1"/>
  <c r="N474" i="15"/>
  <c r="M474" i="15"/>
  <c r="L474" i="15"/>
  <c r="K474" i="15" s="1"/>
  <c r="J474" i="15"/>
  <c r="I474" i="15"/>
  <c r="P473" i="15"/>
  <c r="O473" i="15" s="1"/>
  <c r="N473" i="15"/>
  <c r="M473" i="15" s="1"/>
  <c r="L473" i="15"/>
  <c r="K473" i="15" s="1"/>
  <c r="J473" i="15"/>
  <c r="I473" i="15"/>
  <c r="P472" i="15"/>
  <c r="O472" i="15" s="1"/>
  <c r="N472" i="15"/>
  <c r="M472" i="15"/>
  <c r="L472" i="15"/>
  <c r="K472" i="15" s="1"/>
  <c r="J472" i="15"/>
  <c r="I472" i="15"/>
  <c r="P471" i="15"/>
  <c r="O471" i="15" s="1"/>
  <c r="N471" i="15"/>
  <c r="M471" i="15" s="1"/>
  <c r="J471" i="15"/>
  <c r="L471" i="15" s="1"/>
  <c r="K471" i="15" s="1"/>
  <c r="I471" i="15"/>
  <c r="N470" i="15"/>
  <c r="M470" i="15"/>
  <c r="L470" i="15"/>
  <c r="K470" i="15" s="1"/>
  <c r="J470" i="15"/>
  <c r="P470" i="15" s="1"/>
  <c r="O470" i="15" s="1"/>
  <c r="I470" i="15"/>
  <c r="P469" i="15"/>
  <c r="O469" i="15" s="1"/>
  <c r="N469" i="15"/>
  <c r="M469" i="15" s="1"/>
  <c r="L469" i="15"/>
  <c r="K469" i="15" s="1"/>
  <c r="J469" i="15"/>
  <c r="I469" i="15"/>
  <c r="P468" i="15"/>
  <c r="O468" i="15" s="1"/>
  <c r="N468" i="15"/>
  <c r="M468" i="15"/>
  <c r="L468" i="15"/>
  <c r="K468" i="15" s="1"/>
  <c r="J468" i="15"/>
  <c r="I468" i="15"/>
  <c r="P467" i="15"/>
  <c r="O467" i="15" s="1"/>
  <c r="N467" i="15"/>
  <c r="M467" i="15" s="1"/>
  <c r="L467" i="15"/>
  <c r="K467" i="15" s="1"/>
  <c r="J467" i="15"/>
  <c r="I467" i="15"/>
  <c r="P466" i="15"/>
  <c r="O466" i="15" s="1"/>
  <c r="N466" i="15"/>
  <c r="M466" i="15"/>
  <c r="L466" i="15"/>
  <c r="K466" i="15" s="1"/>
  <c r="J466" i="15"/>
  <c r="I466" i="15"/>
  <c r="P465" i="15"/>
  <c r="O465" i="15" s="1"/>
  <c r="L465" i="15"/>
  <c r="K465" i="15" s="1"/>
  <c r="J465" i="15"/>
  <c r="N465" i="15" s="1"/>
  <c r="M465" i="15" s="1"/>
  <c r="I465" i="15"/>
  <c r="P464" i="15"/>
  <c r="O464" i="15" s="1"/>
  <c r="N464" i="15"/>
  <c r="M464" i="15"/>
  <c r="L464" i="15"/>
  <c r="K464" i="15" s="1"/>
  <c r="J464" i="15"/>
  <c r="I464" i="15"/>
  <c r="P463" i="15"/>
  <c r="O463" i="15" s="1"/>
  <c r="N463" i="15"/>
  <c r="M463" i="15" s="1"/>
  <c r="L463" i="15"/>
  <c r="K463" i="15" s="1"/>
  <c r="J463" i="15"/>
  <c r="I463" i="15"/>
  <c r="P462" i="15"/>
  <c r="O462" i="15" s="1"/>
  <c r="N462" i="15"/>
  <c r="M462" i="15"/>
  <c r="L462" i="15"/>
  <c r="K462" i="15" s="1"/>
  <c r="J462" i="15"/>
  <c r="I462" i="15"/>
  <c r="P461" i="15"/>
  <c r="O461" i="15" s="1"/>
  <c r="N461" i="15"/>
  <c r="M461" i="15" s="1"/>
  <c r="J461" i="15"/>
  <c r="L461" i="15" s="1"/>
  <c r="K461" i="15" s="1"/>
  <c r="I461" i="15"/>
  <c r="P460" i="15"/>
  <c r="O460" i="15" s="1"/>
  <c r="N460" i="15"/>
  <c r="M460" i="15"/>
  <c r="L460" i="15"/>
  <c r="K460" i="15" s="1"/>
  <c r="J460" i="15"/>
  <c r="I460" i="15"/>
  <c r="P459" i="15"/>
  <c r="O459" i="15" s="1"/>
  <c r="N459" i="15"/>
  <c r="M459" i="15" s="1"/>
  <c r="L459" i="15"/>
  <c r="K459" i="15"/>
  <c r="J459" i="15"/>
  <c r="I459" i="15"/>
  <c r="P458" i="15"/>
  <c r="O458" i="15"/>
  <c r="N458" i="15"/>
  <c r="M458" i="15" s="1"/>
  <c r="L458" i="15"/>
  <c r="K458" i="15"/>
  <c r="J458" i="15"/>
  <c r="I458" i="15"/>
  <c r="P457" i="15"/>
  <c r="O457" i="15"/>
  <c r="N457" i="15"/>
  <c r="M457" i="15" s="1"/>
  <c r="L457" i="15"/>
  <c r="K457" i="15"/>
  <c r="J457" i="15"/>
  <c r="I457" i="15"/>
  <c r="L456" i="15"/>
  <c r="P456" i="15" s="1"/>
  <c r="O456" i="15" s="1"/>
  <c r="K456" i="15"/>
  <c r="J456" i="15"/>
  <c r="N456" i="15" s="1"/>
  <c r="M456" i="15" s="1"/>
  <c r="I456" i="15"/>
  <c r="P455" i="15"/>
  <c r="O455" i="15"/>
  <c r="N455" i="15"/>
  <c r="M455" i="15" s="1"/>
  <c r="L455" i="15"/>
  <c r="K455" i="15"/>
  <c r="J455" i="15"/>
  <c r="I455" i="15"/>
  <c r="L454" i="15"/>
  <c r="P454" i="15" s="1"/>
  <c r="O454" i="15" s="1"/>
  <c r="K454" i="15"/>
  <c r="J454" i="15"/>
  <c r="N454" i="15" s="1"/>
  <c r="M454" i="15" s="1"/>
  <c r="I454" i="15"/>
  <c r="P453" i="15"/>
  <c r="O453" i="15"/>
  <c r="N453" i="15"/>
  <c r="M453" i="15" s="1"/>
  <c r="L453" i="15"/>
  <c r="K453" i="15"/>
  <c r="J453" i="15"/>
  <c r="I453" i="15"/>
  <c r="P452" i="15"/>
  <c r="O452" i="15"/>
  <c r="N452" i="15"/>
  <c r="M452" i="15" s="1"/>
  <c r="L452" i="15"/>
  <c r="K452" i="15"/>
  <c r="J452" i="15"/>
  <c r="I452" i="15"/>
  <c r="P451" i="15"/>
  <c r="O451" i="15"/>
  <c r="N451" i="15"/>
  <c r="M451" i="15" s="1"/>
  <c r="L451" i="15"/>
  <c r="K451" i="15"/>
  <c r="J451" i="15"/>
  <c r="I451" i="15"/>
  <c r="P450" i="15"/>
  <c r="O450" i="15"/>
  <c r="L450" i="15"/>
  <c r="K450" i="15"/>
  <c r="J450" i="15"/>
  <c r="N450" i="15" s="1"/>
  <c r="M450" i="15" s="1"/>
  <c r="I450" i="15"/>
  <c r="P449" i="15"/>
  <c r="O449" i="15"/>
  <c r="N449" i="15"/>
  <c r="M449" i="15" s="1"/>
  <c r="L449" i="15"/>
  <c r="K449" i="15"/>
  <c r="J449" i="15"/>
  <c r="I449" i="15"/>
  <c r="P448" i="15"/>
  <c r="O448" i="15"/>
  <c r="N448" i="15"/>
  <c r="M448" i="15" s="1"/>
  <c r="L448" i="15"/>
  <c r="K448" i="15"/>
  <c r="J448" i="15"/>
  <c r="I448" i="15"/>
  <c r="P447" i="15"/>
  <c r="O447" i="15"/>
  <c r="N447" i="15"/>
  <c r="M447" i="15" s="1"/>
  <c r="L447" i="15"/>
  <c r="K447" i="15"/>
  <c r="J447" i="15"/>
  <c r="I447" i="15"/>
  <c r="P446" i="15"/>
  <c r="O446" i="15"/>
  <c r="N446" i="15"/>
  <c r="M446" i="15" s="1"/>
  <c r="L446" i="15"/>
  <c r="K446" i="15"/>
  <c r="J446" i="15"/>
  <c r="I446" i="15"/>
  <c r="L445" i="15"/>
  <c r="P445" i="15" s="1"/>
  <c r="O445" i="15" s="1"/>
  <c r="K445" i="15"/>
  <c r="J445" i="15"/>
  <c r="N445" i="15" s="1"/>
  <c r="M445" i="15" s="1"/>
  <c r="I445" i="15"/>
  <c r="P444" i="15"/>
  <c r="O444" i="15"/>
  <c r="N444" i="15"/>
  <c r="M444" i="15" s="1"/>
  <c r="L444" i="15"/>
  <c r="K444" i="15"/>
  <c r="J444" i="15"/>
  <c r="I444" i="15"/>
  <c r="P443" i="15"/>
  <c r="O443" i="15"/>
  <c r="N443" i="15"/>
  <c r="M443" i="15" s="1"/>
  <c r="L443" i="15"/>
  <c r="K443" i="15"/>
  <c r="J443" i="15"/>
  <c r="I443" i="15"/>
  <c r="P442" i="15"/>
  <c r="O442" i="15"/>
  <c r="N442" i="15"/>
  <c r="M442" i="15" s="1"/>
  <c r="L442" i="15"/>
  <c r="K442" i="15"/>
  <c r="J442" i="15"/>
  <c r="I442" i="15"/>
  <c r="L441" i="15"/>
  <c r="K441" i="15"/>
  <c r="J441" i="15"/>
  <c r="N441" i="15" s="1"/>
  <c r="M441" i="15" s="1"/>
  <c r="I441" i="15"/>
  <c r="P440" i="15"/>
  <c r="O440" i="15"/>
  <c r="N440" i="15"/>
  <c r="M440" i="15" s="1"/>
  <c r="L440" i="15"/>
  <c r="K440" i="15"/>
  <c r="J440" i="15"/>
  <c r="I440" i="15"/>
  <c r="P439" i="15"/>
  <c r="O439" i="15"/>
  <c r="L439" i="15"/>
  <c r="K439" i="15"/>
  <c r="J439" i="15"/>
  <c r="N439" i="15" s="1"/>
  <c r="M439" i="15" s="1"/>
  <c r="I439" i="15"/>
  <c r="P438" i="15"/>
  <c r="O438" i="15"/>
  <c r="L438" i="15"/>
  <c r="K438" i="15"/>
  <c r="J438" i="15"/>
  <c r="N438" i="15" s="1"/>
  <c r="M438" i="15" s="1"/>
  <c r="I438" i="15"/>
  <c r="P437" i="15"/>
  <c r="O437" i="15"/>
  <c r="L437" i="15"/>
  <c r="K437" i="15"/>
  <c r="J437" i="15"/>
  <c r="N437" i="15" s="1"/>
  <c r="M437" i="15" s="1"/>
  <c r="I437" i="15"/>
  <c r="P436" i="15"/>
  <c r="O436" i="15"/>
  <c r="L436" i="15"/>
  <c r="K436" i="15"/>
  <c r="J436" i="15"/>
  <c r="N436" i="15" s="1"/>
  <c r="M436" i="15" s="1"/>
  <c r="I436" i="15"/>
  <c r="P435" i="15"/>
  <c r="O435" i="15"/>
  <c r="N435" i="15"/>
  <c r="M435" i="15" s="1"/>
  <c r="L435" i="15"/>
  <c r="K435" i="15"/>
  <c r="J435" i="15"/>
  <c r="I435" i="15"/>
  <c r="L434" i="15"/>
  <c r="K434" i="15" s="1"/>
  <c r="J434" i="15"/>
  <c r="N434" i="15" s="1"/>
  <c r="M434" i="15" s="1"/>
  <c r="I434" i="15"/>
  <c r="P433" i="15"/>
  <c r="O433" i="15" s="1"/>
  <c r="N433" i="15"/>
  <c r="M433" i="15" s="1"/>
  <c r="L433" i="15"/>
  <c r="K433" i="15" s="1"/>
  <c r="J433" i="15"/>
  <c r="I433" i="15"/>
  <c r="L432" i="15"/>
  <c r="K432" i="15"/>
  <c r="J432" i="15"/>
  <c r="N432" i="15" s="1"/>
  <c r="M432" i="15" s="1"/>
  <c r="I432" i="15"/>
  <c r="P431" i="15"/>
  <c r="O431" i="15"/>
  <c r="N431" i="15"/>
  <c r="M431" i="15" s="1"/>
  <c r="L431" i="15"/>
  <c r="K431" i="15" s="1"/>
  <c r="J431" i="15"/>
  <c r="I431" i="15"/>
  <c r="L430" i="15"/>
  <c r="K430" i="15"/>
  <c r="J430" i="15"/>
  <c r="I430" i="15"/>
  <c r="P429" i="15"/>
  <c r="O429" i="15"/>
  <c r="N429" i="15"/>
  <c r="M429" i="15" s="1"/>
  <c r="L429" i="15"/>
  <c r="K429" i="15"/>
  <c r="J429" i="15"/>
  <c r="I429" i="15"/>
  <c r="P428" i="15"/>
  <c r="O428" i="15"/>
  <c r="L428" i="15"/>
  <c r="K428" i="15" s="1"/>
  <c r="J428" i="15"/>
  <c r="I428" i="15"/>
  <c r="P427" i="15"/>
  <c r="O427" i="15" s="1"/>
  <c r="L427" i="15"/>
  <c r="K427" i="15"/>
  <c r="J427" i="15"/>
  <c r="N427" i="15" s="1"/>
  <c r="M427" i="15" s="1"/>
  <c r="I427" i="15"/>
  <c r="P426" i="15"/>
  <c r="O426" i="15"/>
  <c r="N426" i="15"/>
  <c r="M426" i="15" s="1"/>
  <c r="L426" i="15"/>
  <c r="K426" i="15" s="1"/>
  <c r="J426" i="15"/>
  <c r="I426" i="15"/>
  <c r="L425" i="15"/>
  <c r="K425" i="15"/>
  <c r="J425" i="15"/>
  <c r="I425" i="15"/>
  <c r="P424" i="15"/>
  <c r="O424" i="15"/>
  <c r="N424" i="15"/>
  <c r="M424" i="15" s="1"/>
  <c r="L424" i="15"/>
  <c r="K424" i="15"/>
  <c r="J424" i="15"/>
  <c r="I424" i="15"/>
  <c r="P423" i="15"/>
  <c r="O423" i="15"/>
  <c r="N423" i="15"/>
  <c r="M423" i="15" s="1"/>
  <c r="L423" i="15"/>
  <c r="K423" i="15" s="1"/>
  <c r="J423" i="15"/>
  <c r="I423" i="15"/>
  <c r="P422" i="15"/>
  <c r="O422" i="15" s="1"/>
  <c r="N422" i="15"/>
  <c r="M422" i="15" s="1"/>
  <c r="L422" i="15"/>
  <c r="K422" i="15" s="1"/>
  <c r="J422" i="15"/>
  <c r="I422" i="15"/>
  <c r="L421" i="15"/>
  <c r="K421" i="15"/>
  <c r="J421" i="15"/>
  <c r="N421" i="15" s="1"/>
  <c r="M421" i="15" s="1"/>
  <c r="I421" i="15"/>
  <c r="L420" i="15"/>
  <c r="K420" i="15" s="1"/>
  <c r="J420" i="15"/>
  <c r="I420" i="15"/>
  <c r="L419" i="15"/>
  <c r="K419" i="15"/>
  <c r="J419" i="15"/>
  <c r="N419" i="15" s="1"/>
  <c r="M419" i="15" s="1"/>
  <c r="I419" i="15"/>
  <c r="L418" i="15"/>
  <c r="K418" i="15" s="1"/>
  <c r="J418" i="15"/>
  <c r="I418" i="15"/>
  <c r="P417" i="15"/>
  <c r="O417" i="15" s="1"/>
  <c r="N417" i="15"/>
  <c r="M417" i="15" s="1"/>
  <c r="L417" i="15"/>
  <c r="K417" i="15"/>
  <c r="J417" i="15"/>
  <c r="I417" i="15"/>
  <c r="P416" i="15"/>
  <c r="O416" i="15"/>
  <c r="N416" i="15"/>
  <c r="M416" i="15" s="1"/>
  <c r="L416" i="15"/>
  <c r="K416" i="15"/>
  <c r="J416" i="15"/>
  <c r="I416" i="15"/>
  <c r="P415" i="15"/>
  <c r="O415" i="15"/>
  <c r="N415" i="15"/>
  <c r="M415" i="15" s="1"/>
  <c r="L415" i="15"/>
  <c r="K415" i="15" s="1"/>
  <c r="J415" i="15"/>
  <c r="I415" i="15"/>
  <c r="P414" i="15"/>
  <c r="O414" i="15" s="1"/>
  <c r="N414" i="15"/>
  <c r="M414" i="15" s="1"/>
  <c r="L414" i="15"/>
  <c r="K414" i="15" s="1"/>
  <c r="J414" i="15"/>
  <c r="I414" i="15"/>
  <c r="P413" i="15"/>
  <c r="O413" i="15" s="1"/>
  <c r="N413" i="15"/>
  <c r="M413" i="15" s="1"/>
  <c r="L413" i="15"/>
  <c r="K413" i="15"/>
  <c r="J413" i="15"/>
  <c r="I413" i="15"/>
  <c r="P412" i="15"/>
  <c r="O412" i="15"/>
  <c r="N412" i="15"/>
  <c r="M412" i="15" s="1"/>
  <c r="L412" i="15"/>
  <c r="K412" i="15"/>
  <c r="J412" i="15"/>
  <c r="I412" i="15"/>
  <c r="L411" i="15"/>
  <c r="K411" i="15" s="1"/>
  <c r="J411" i="15"/>
  <c r="I411" i="15"/>
  <c r="P410" i="15"/>
  <c r="O410" i="15" s="1"/>
  <c r="N410" i="15"/>
  <c r="M410" i="15" s="1"/>
  <c r="L410" i="15"/>
  <c r="K410" i="15"/>
  <c r="J410" i="15"/>
  <c r="I410" i="15"/>
  <c r="P409" i="15"/>
  <c r="O409" i="15"/>
  <c r="N409" i="15"/>
  <c r="M409" i="15" s="1"/>
  <c r="L409" i="15"/>
  <c r="K409" i="15"/>
  <c r="J409" i="15"/>
  <c r="I409" i="15"/>
  <c r="P408" i="15"/>
  <c r="O408" i="15"/>
  <c r="N408" i="15"/>
  <c r="M408" i="15" s="1"/>
  <c r="L408" i="15"/>
  <c r="K408" i="15"/>
  <c r="J408" i="15"/>
  <c r="I408" i="15"/>
  <c r="P407" i="15"/>
  <c r="O407" i="15"/>
  <c r="N407" i="15"/>
  <c r="M407" i="15" s="1"/>
  <c r="L407" i="15"/>
  <c r="K407" i="15" s="1"/>
  <c r="J407" i="15"/>
  <c r="I407" i="15"/>
  <c r="P406" i="15"/>
  <c r="O406" i="15" s="1"/>
  <c r="N406" i="15"/>
  <c r="M406" i="15" s="1"/>
  <c r="L406" i="15"/>
  <c r="K406" i="15"/>
  <c r="J406" i="15"/>
  <c r="I406" i="15"/>
  <c r="L405" i="15"/>
  <c r="K405" i="15"/>
  <c r="J405" i="15"/>
  <c r="N405" i="15" s="1"/>
  <c r="M405" i="15" s="1"/>
  <c r="I405" i="15"/>
  <c r="P404" i="15"/>
  <c r="O404" i="15"/>
  <c r="N404" i="15"/>
  <c r="M404" i="15" s="1"/>
  <c r="L404" i="15"/>
  <c r="K404" i="15" s="1"/>
  <c r="J404" i="15"/>
  <c r="I404" i="15"/>
  <c r="P403" i="15"/>
  <c r="O403" i="15" s="1"/>
  <c r="N403" i="15"/>
  <c r="M403" i="15" s="1"/>
  <c r="L403" i="15"/>
  <c r="K403" i="15"/>
  <c r="J403" i="15"/>
  <c r="I403" i="15"/>
  <c r="P402" i="15"/>
  <c r="O402" i="15"/>
  <c r="N402" i="15"/>
  <c r="M402" i="15" s="1"/>
  <c r="L402" i="15"/>
  <c r="K402" i="15"/>
  <c r="J402" i="15"/>
  <c r="I402" i="15"/>
  <c r="P401" i="15"/>
  <c r="O401" i="15"/>
  <c r="L401" i="15"/>
  <c r="K401" i="15" s="1"/>
  <c r="J401" i="15"/>
  <c r="I401" i="15"/>
  <c r="P400" i="15"/>
  <c r="O400" i="15" s="1"/>
  <c r="L400" i="15"/>
  <c r="K400" i="15"/>
  <c r="J400" i="15"/>
  <c r="N400" i="15" s="1"/>
  <c r="M400" i="15" s="1"/>
  <c r="I400" i="15"/>
  <c r="P399" i="15"/>
  <c r="O399" i="15"/>
  <c r="N399" i="15"/>
  <c r="M399" i="15" s="1"/>
  <c r="L399" i="15"/>
  <c r="K399" i="15"/>
  <c r="J399" i="15"/>
  <c r="I399" i="15"/>
  <c r="P398" i="15"/>
  <c r="O398" i="15"/>
  <c r="N398" i="15"/>
  <c r="M398" i="15" s="1"/>
  <c r="L398" i="15"/>
  <c r="K398" i="15" s="1"/>
  <c r="J398" i="15"/>
  <c r="I398" i="15"/>
  <c r="P397" i="15"/>
  <c r="O397" i="15" s="1"/>
  <c r="N397" i="15"/>
  <c r="M397" i="15" s="1"/>
  <c r="L397" i="15"/>
  <c r="K397" i="15"/>
  <c r="J397" i="15"/>
  <c r="I397" i="15"/>
  <c r="L396" i="15"/>
  <c r="K396" i="15"/>
  <c r="J396" i="15"/>
  <c r="N396" i="15" s="1"/>
  <c r="M396" i="15" s="1"/>
  <c r="I396" i="15"/>
  <c r="L395" i="15"/>
  <c r="K395" i="15"/>
  <c r="J395" i="15"/>
  <c r="I395" i="15"/>
  <c r="P394" i="15"/>
  <c r="O394" i="15"/>
  <c r="L394" i="15"/>
  <c r="K394" i="15"/>
  <c r="J394" i="15"/>
  <c r="N394" i="15" s="1"/>
  <c r="M394" i="15" s="1"/>
  <c r="I394" i="15"/>
  <c r="P393" i="15"/>
  <c r="O393" i="15"/>
  <c r="N393" i="15"/>
  <c r="M393" i="15" s="1"/>
  <c r="L393" i="15"/>
  <c r="K393" i="15" s="1"/>
  <c r="J393" i="15"/>
  <c r="I393" i="15"/>
  <c r="P392" i="15"/>
  <c r="O392" i="15" s="1"/>
  <c r="L392" i="15"/>
  <c r="K392" i="15"/>
  <c r="J392" i="15"/>
  <c r="N392" i="15" s="1"/>
  <c r="M392" i="15" s="1"/>
  <c r="I392" i="15"/>
  <c r="P391" i="15"/>
  <c r="O391" i="15"/>
  <c r="L391" i="15"/>
  <c r="K391" i="15" s="1"/>
  <c r="J391" i="15"/>
  <c r="I391" i="15"/>
  <c r="L390" i="15"/>
  <c r="K390" i="15"/>
  <c r="J390" i="15"/>
  <c r="N390" i="15" s="1"/>
  <c r="M390" i="15" s="1"/>
  <c r="I390" i="15"/>
  <c r="P389" i="15"/>
  <c r="O389" i="15"/>
  <c r="N389" i="15"/>
  <c r="M389" i="15" s="1"/>
  <c r="L389" i="15"/>
  <c r="K389" i="15"/>
  <c r="J389" i="15"/>
  <c r="I389" i="15"/>
  <c r="P388" i="15"/>
  <c r="O388" i="15"/>
  <c r="N388" i="15"/>
  <c r="M388" i="15" s="1"/>
  <c r="L388" i="15"/>
  <c r="K388" i="15" s="1"/>
  <c r="J388" i="15"/>
  <c r="I388" i="15"/>
  <c r="P387" i="15"/>
  <c r="O387" i="15" s="1"/>
  <c r="N387" i="15"/>
  <c r="M387" i="15" s="1"/>
  <c r="L387" i="15"/>
  <c r="K387" i="15"/>
  <c r="J387" i="15"/>
  <c r="I387" i="15"/>
  <c r="P386" i="15"/>
  <c r="O386" i="15"/>
  <c r="L386" i="15"/>
  <c r="K386" i="15"/>
  <c r="J386" i="15"/>
  <c r="N386" i="15" s="1"/>
  <c r="M386" i="15" s="1"/>
  <c r="I386" i="15"/>
  <c r="L385" i="15"/>
  <c r="K385" i="15"/>
  <c r="J385" i="15"/>
  <c r="I385" i="15"/>
  <c r="P384" i="15"/>
  <c r="O384" i="15"/>
  <c r="N384" i="15"/>
  <c r="M384" i="15" s="1"/>
  <c r="L384" i="15"/>
  <c r="K384" i="15"/>
  <c r="J384" i="15"/>
  <c r="I384" i="15"/>
  <c r="P383" i="15"/>
  <c r="O383" i="15"/>
  <c r="L383" i="15"/>
  <c r="K383" i="15" s="1"/>
  <c r="J383" i="15"/>
  <c r="I383" i="15"/>
  <c r="P382" i="15"/>
  <c r="O382" i="15" s="1"/>
  <c r="N382" i="15"/>
  <c r="M382" i="15" s="1"/>
  <c r="L382" i="15"/>
  <c r="K382" i="15"/>
  <c r="J382" i="15"/>
  <c r="I382" i="15"/>
  <c r="P381" i="15"/>
  <c r="O381" i="15"/>
  <c r="N381" i="15"/>
  <c r="M381" i="15" s="1"/>
  <c r="L381" i="15"/>
  <c r="K381" i="15"/>
  <c r="J381" i="15"/>
  <c r="I381" i="15"/>
  <c r="P380" i="15"/>
  <c r="O380" i="15"/>
  <c r="L380" i="15"/>
  <c r="K380" i="15" s="1"/>
  <c r="J380" i="15"/>
  <c r="I380" i="15"/>
  <c r="P379" i="15"/>
  <c r="O379" i="15" s="1"/>
  <c r="N379" i="15"/>
  <c r="M379" i="15" s="1"/>
  <c r="L379" i="15"/>
  <c r="K379" i="15"/>
  <c r="J379" i="15"/>
  <c r="I379" i="15"/>
  <c r="P378" i="15"/>
  <c r="O378" i="15"/>
  <c r="N378" i="15"/>
  <c r="M378" i="15" s="1"/>
  <c r="L378" i="15"/>
  <c r="K378" i="15"/>
  <c r="J378" i="15"/>
  <c r="I378" i="15"/>
  <c r="L377" i="15"/>
  <c r="K377" i="15" s="1"/>
  <c r="J377" i="15"/>
  <c r="I377" i="15"/>
  <c r="P376" i="15"/>
  <c r="O376" i="15" s="1"/>
  <c r="N376" i="15"/>
  <c r="M376" i="15" s="1"/>
  <c r="L376" i="15"/>
  <c r="K376" i="15"/>
  <c r="J376" i="15"/>
  <c r="I376" i="15"/>
  <c r="P375" i="15"/>
  <c r="O375" i="15"/>
  <c r="N375" i="15"/>
  <c r="M375" i="15" s="1"/>
  <c r="L375" i="15"/>
  <c r="K375" i="15"/>
  <c r="J375" i="15"/>
  <c r="I375" i="15"/>
  <c r="P374" i="15"/>
  <c r="O374" i="15"/>
  <c r="N374" i="15"/>
  <c r="M374" i="15" s="1"/>
  <c r="L374" i="15"/>
  <c r="K374" i="15"/>
  <c r="J374" i="15"/>
  <c r="I374" i="15"/>
  <c r="L373" i="15"/>
  <c r="K373" i="15"/>
  <c r="J373" i="15"/>
  <c r="I373" i="15"/>
  <c r="P372" i="15"/>
  <c r="O372" i="15"/>
  <c r="N372" i="15"/>
  <c r="M372" i="15" s="1"/>
  <c r="L372" i="15"/>
  <c r="K372" i="15"/>
  <c r="J372" i="15"/>
  <c r="I372" i="15"/>
  <c r="P371" i="15"/>
  <c r="O371" i="15"/>
  <c r="N371" i="15"/>
  <c r="M371" i="15" s="1"/>
  <c r="L371" i="15"/>
  <c r="K371" i="15"/>
  <c r="J371" i="15"/>
  <c r="I371" i="15"/>
  <c r="P370" i="15"/>
  <c r="O370" i="15"/>
  <c r="L370" i="15"/>
  <c r="K370" i="15"/>
  <c r="J370" i="15"/>
  <c r="I370" i="15"/>
  <c r="P369" i="15"/>
  <c r="O369" i="15"/>
  <c r="N369" i="15"/>
  <c r="M369" i="15" s="1"/>
  <c r="L369" i="15"/>
  <c r="K369" i="15"/>
  <c r="J369" i="15"/>
  <c r="I369" i="15"/>
  <c r="P368" i="15"/>
  <c r="O368" i="15"/>
  <c r="N368" i="15"/>
  <c r="M368" i="15" s="1"/>
  <c r="L368" i="15"/>
  <c r="K368" i="15"/>
  <c r="J368" i="15"/>
  <c r="I368" i="15"/>
  <c r="P367" i="15"/>
  <c r="O367" i="15"/>
  <c r="N367" i="15"/>
  <c r="M367" i="15" s="1"/>
  <c r="L367" i="15"/>
  <c r="K367" i="15" s="1"/>
  <c r="J367" i="15"/>
  <c r="I367" i="15"/>
  <c r="L366" i="15"/>
  <c r="N366" i="15" s="1"/>
  <c r="K366" i="15"/>
  <c r="J366" i="15"/>
  <c r="I366" i="15"/>
  <c r="J365" i="15"/>
  <c r="I365" i="15"/>
  <c r="P364" i="15"/>
  <c r="O364" i="15"/>
  <c r="N364" i="15"/>
  <c r="M364" i="15" s="1"/>
  <c r="L364" i="15"/>
  <c r="K364" i="15"/>
  <c r="J364" i="15"/>
  <c r="I364" i="15"/>
  <c r="L363" i="15"/>
  <c r="K363" i="15" s="1"/>
  <c r="J363" i="15"/>
  <c r="I363" i="15"/>
  <c r="P362" i="15"/>
  <c r="O362" i="15" s="1"/>
  <c r="N362" i="15"/>
  <c r="M362" i="15" s="1"/>
  <c r="L362" i="15"/>
  <c r="K362" i="15"/>
  <c r="J362" i="15"/>
  <c r="I362" i="15"/>
  <c r="P361" i="15"/>
  <c r="O361" i="15"/>
  <c r="N361" i="15"/>
  <c r="M361" i="15" s="1"/>
  <c r="L361" i="15"/>
  <c r="K361" i="15"/>
  <c r="J361" i="15"/>
  <c r="I361" i="15"/>
  <c r="P360" i="15"/>
  <c r="O360" i="15"/>
  <c r="N360" i="15"/>
  <c r="M360" i="15" s="1"/>
  <c r="J360" i="15"/>
  <c r="L360" i="15" s="1"/>
  <c r="K360" i="15" s="1"/>
  <c r="I360" i="15"/>
  <c r="P359" i="15"/>
  <c r="O359" i="15"/>
  <c r="N359" i="15"/>
  <c r="M359" i="15" s="1"/>
  <c r="L359" i="15"/>
  <c r="K359" i="15" s="1"/>
  <c r="J359" i="15"/>
  <c r="I359" i="15"/>
  <c r="P358" i="15"/>
  <c r="O358" i="15" s="1"/>
  <c r="N358" i="15"/>
  <c r="M358" i="15" s="1"/>
  <c r="L358" i="15"/>
  <c r="K358" i="15"/>
  <c r="J358" i="15"/>
  <c r="I358" i="15"/>
  <c r="P357" i="15"/>
  <c r="O357" i="15"/>
  <c r="N357" i="15"/>
  <c r="M357" i="15" s="1"/>
  <c r="L357" i="15"/>
  <c r="K357" i="15"/>
  <c r="J357" i="15"/>
  <c r="I357" i="15"/>
  <c r="P356" i="15"/>
  <c r="O356" i="15"/>
  <c r="N356" i="15"/>
  <c r="M356" i="15" s="1"/>
  <c r="L356" i="15"/>
  <c r="K356" i="15"/>
  <c r="J356" i="15"/>
  <c r="I356" i="15"/>
  <c r="P355" i="15"/>
  <c r="O355" i="15"/>
  <c r="L355" i="15"/>
  <c r="K355" i="15" s="1"/>
  <c r="J355" i="15"/>
  <c r="I355" i="15"/>
  <c r="P354" i="15"/>
  <c r="O354" i="15" s="1"/>
  <c r="N354" i="15"/>
  <c r="M354" i="15" s="1"/>
  <c r="L354" i="15"/>
  <c r="K354" i="15"/>
  <c r="J354" i="15"/>
  <c r="I354" i="15"/>
  <c r="P353" i="15"/>
  <c r="O353" i="15"/>
  <c r="N353" i="15"/>
  <c r="M353" i="15" s="1"/>
  <c r="L353" i="15"/>
  <c r="K353" i="15"/>
  <c r="J353" i="15"/>
  <c r="I353" i="15"/>
  <c r="P352" i="15"/>
  <c r="O352" i="15"/>
  <c r="N352" i="15"/>
  <c r="M352" i="15" s="1"/>
  <c r="J352" i="15"/>
  <c r="L352" i="15" s="1"/>
  <c r="K352" i="15" s="1"/>
  <c r="I352" i="15"/>
  <c r="P351" i="15"/>
  <c r="O351" i="15"/>
  <c r="N351" i="15"/>
  <c r="M351" i="15" s="1"/>
  <c r="L351" i="15"/>
  <c r="K351" i="15" s="1"/>
  <c r="J351" i="15"/>
  <c r="I351" i="15"/>
  <c r="P350" i="15"/>
  <c r="O350" i="15" s="1"/>
  <c r="N350" i="15"/>
  <c r="M350" i="15" s="1"/>
  <c r="L350" i="15"/>
  <c r="K350" i="15"/>
  <c r="J350" i="15"/>
  <c r="I350" i="15"/>
  <c r="P349" i="15"/>
  <c r="O349" i="15"/>
  <c r="N349" i="15"/>
  <c r="M349" i="15" s="1"/>
  <c r="L349" i="15"/>
  <c r="K349" i="15"/>
  <c r="J349" i="15"/>
  <c r="I349" i="15"/>
  <c r="P348" i="15"/>
  <c r="O348" i="15"/>
  <c r="N348" i="15"/>
  <c r="M348" i="15" s="1"/>
  <c r="J348" i="15"/>
  <c r="L348" i="15" s="1"/>
  <c r="K348" i="15" s="1"/>
  <c r="I348" i="15"/>
  <c r="P347" i="15"/>
  <c r="O347" i="15"/>
  <c r="N347" i="15"/>
  <c r="M347" i="15" s="1"/>
  <c r="L347" i="15"/>
  <c r="K347" i="15" s="1"/>
  <c r="J347" i="15"/>
  <c r="I347" i="15"/>
  <c r="P346" i="15"/>
  <c r="O346" i="15" s="1"/>
  <c r="N346" i="15"/>
  <c r="M346" i="15" s="1"/>
  <c r="L346" i="15"/>
  <c r="K346" i="15"/>
  <c r="J346" i="15"/>
  <c r="I346" i="15"/>
  <c r="P345" i="15"/>
  <c r="O345" i="15"/>
  <c r="N345" i="15"/>
  <c r="M345" i="15" s="1"/>
  <c r="J345" i="15"/>
  <c r="L345" i="15" s="1"/>
  <c r="K345" i="15" s="1"/>
  <c r="I345" i="15"/>
  <c r="P344" i="15"/>
  <c r="O344" i="15"/>
  <c r="N344" i="15"/>
  <c r="M344" i="15" s="1"/>
  <c r="L344" i="15"/>
  <c r="K344" i="15"/>
  <c r="J344" i="15"/>
  <c r="I344" i="15"/>
  <c r="P343" i="15"/>
  <c r="O343" i="15"/>
  <c r="L343" i="15"/>
  <c r="K343" i="15" s="1"/>
  <c r="J343" i="15"/>
  <c r="I343" i="15"/>
  <c r="L342" i="15"/>
  <c r="N342" i="15" s="1"/>
  <c r="K342" i="15"/>
  <c r="J342" i="15"/>
  <c r="I342" i="15"/>
  <c r="P341" i="15"/>
  <c r="O341" i="15"/>
  <c r="N341" i="15"/>
  <c r="M341" i="15" s="1"/>
  <c r="L341" i="15"/>
  <c r="K341" i="15"/>
  <c r="J341" i="15"/>
  <c r="I341" i="15"/>
  <c r="P340" i="15"/>
  <c r="O340" i="15"/>
  <c r="N340" i="15"/>
  <c r="M340" i="15" s="1"/>
  <c r="L340" i="15"/>
  <c r="K340" i="15"/>
  <c r="J340" i="15"/>
  <c r="I340" i="15"/>
  <c r="P339" i="15"/>
  <c r="O339" i="15"/>
  <c r="N339" i="15"/>
  <c r="M339" i="15" s="1"/>
  <c r="L339" i="15"/>
  <c r="K339" i="15" s="1"/>
  <c r="J339" i="15"/>
  <c r="I339" i="15"/>
  <c r="P338" i="15"/>
  <c r="O338" i="15" s="1"/>
  <c r="L338" i="15"/>
  <c r="N338" i="15" s="1"/>
  <c r="M338" i="15" s="1"/>
  <c r="K338" i="15"/>
  <c r="J338" i="15"/>
  <c r="I338" i="15"/>
  <c r="P337" i="15"/>
  <c r="O337" i="15"/>
  <c r="N337" i="15"/>
  <c r="M337" i="15" s="1"/>
  <c r="J337" i="15"/>
  <c r="L337" i="15" s="1"/>
  <c r="K337" i="15" s="1"/>
  <c r="I337" i="15"/>
  <c r="P336" i="15"/>
  <c r="O336" i="15"/>
  <c r="N336" i="15"/>
  <c r="M336" i="15" s="1"/>
  <c r="J336" i="15"/>
  <c r="L336" i="15" s="1"/>
  <c r="K336" i="15" s="1"/>
  <c r="I336" i="15"/>
  <c r="L335" i="15"/>
  <c r="K335" i="15" s="1"/>
  <c r="J335" i="15"/>
  <c r="I335" i="15"/>
  <c r="P334" i="15"/>
  <c r="O334" i="15" s="1"/>
  <c r="N334" i="15"/>
  <c r="M334" i="15" s="1"/>
  <c r="L334" i="15"/>
  <c r="K334" i="15"/>
  <c r="J334" i="15"/>
  <c r="I334" i="15"/>
  <c r="P333" i="15"/>
  <c r="O333" i="15"/>
  <c r="N333" i="15"/>
  <c r="M333" i="15" s="1"/>
  <c r="L333" i="15"/>
  <c r="K333" i="15"/>
  <c r="J333" i="15"/>
  <c r="I333" i="15"/>
  <c r="P332" i="15"/>
  <c r="O332" i="15"/>
  <c r="N332" i="15"/>
  <c r="M332" i="15" s="1"/>
  <c r="J332" i="15"/>
  <c r="L332" i="15" s="1"/>
  <c r="K332" i="15" s="1"/>
  <c r="I332" i="15"/>
  <c r="P331" i="15"/>
  <c r="O331" i="15"/>
  <c r="N331" i="15"/>
  <c r="M331" i="15" s="1"/>
  <c r="L331" i="15"/>
  <c r="K331" i="15" s="1"/>
  <c r="J331" i="15"/>
  <c r="I331" i="15"/>
  <c r="P330" i="15"/>
  <c r="O330" i="15" s="1"/>
  <c r="L330" i="15"/>
  <c r="N330" i="15" s="1"/>
  <c r="M330" i="15" s="1"/>
  <c r="K330" i="15"/>
  <c r="J330" i="15"/>
  <c r="I330" i="15"/>
  <c r="P329" i="15"/>
  <c r="O329" i="15"/>
  <c r="L329" i="15"/>
  <c r="K329" i="15"/>
  <c r="J329" i="15"/>
  <c r="N329" i="15" s="1"/>
  <c r="M329" i="15" s="1"/>
  <c r="I329" i="15"/>
  <c r="P328" i="15"/>
  <c r="O328" i="15"/>
  <c r="N328" i="15"/>
  <c r="M328" i="15" s="1"/>
  <c r="L328" i="15"/>
  <c r="K328" i="15"/>
  <c r="J328" i="15"/>
  <c r="I328" i="15"/>
  <c r="P327" i="15"/>
  <c r="O327" i="15"/>
  <c r="L327" i="15"/>
  <c r="K327" i="15" s="1"/>
  <c r="J327" i="15"/>
  <c r="I327" i="15"/>
  <c r="P326" i="15"/>
  <c r="O326" i="15" s="1"/>
  <c r="N326" i="15"/>
  <c r="M326" i="15" s="1"/>
  <c r="L326" i="15"/>
  <c r="K326" i="15"/>
  <c r="J326" i="15"/>
  <c r="I326" i="15"/>
  <c r="P325" i="15"/>
  <c r="O325" i="15"/>
  <c r="N325" i="15"/>
  <c r="M325" i="15" s="1"/>
  <c r="L325" i="15"/>
  <c r="K325" i="15"/>
  <c r="J325" i="15"/>
  <c r="I325" i="15"/>
  <c r="P324" i="15"/>
  <c r="O324" i="15"/>
  <c r="N324" i="15"/>
  <c r="M324" i="15" s="1"/>
  <c r="L324" i="15"/>
  <c r="K324" i="15"/>
  <c r="J324" i="15"/>
  <c r="I324" i="15"/>
  <c r="P323" i="15"/>
  <c r="O323" i="15"/>
  <c r="L323" i="15"/>
  <c r="K323" i="15" s="1"/>
  <c r="J323" i="15"/>
  <c r="I323" i="15"/>
  <c r="P322" i="15"/>
  <c r="O322" i="15" s="1"/>
  <c r="N322" i="15"/>
  <c r="M322" i="15" s="1"/>
  <c r="L322" i="15"/>
  <c r="K322" i="15"/>
  <c r="J322" i="15"/>
  <c r="I322" i="15"/>
  <c r="P321" i="15"/>
  <c r="O321" i="15"/>
  <c r="N321" i="15"/>
  <c r="M321" i="15" s="1"/>
  <c r="L321" i="15"/>
  <c r="K321" i="15"/>
  <c r="J321" i="15"/>
  <c r="I321" i="15"/>
  <c r="P320" i="15"/>
  <c r="O320" i="15"/>
  <c r="N320" i="15"/>
  <c r="M320" i="15" s="1"/>
  <c r="L320" i="15"/>
  <c r="K320" i="15"/>
  <c r="J320" i="15"/>
  <c r="I320" i="15"/>
  <c r="L319" i="15"/>
  <c r="K319" i="15" s="1"/>
  <c r="J319" i="15"/>
  <c r="I319" i="15"/>
  <c r="P318" i="15"/>
  <c r="O318" i="15" s="1"/>
  <c r="N318" i="15"/>
  <c r="M318" i="15" s="1"/>
  <c r="L318" i="15"/>
  <c r="K318" i="15"/>
  <c r="J318" i="15"/>
  <c r="I318" i="15"/>
  <c r="P317" i="15"/>
  <c r="O317" i="15"/>
  <c r="N317" i="15"/>
  <c r="M317" i="15" s="1"/>
  <c r="L317" i="15"/>
  <c r="K317" i="15"/>
  <c r="J317" i="15"/>
  <c r="I317" i="15"/>
  <c r="P316" i="15"/>
  <c r="O316" i="15"/>
  <c r="N316" i="15"/>
  <c r="M316" i="15" s="1"/>
  <c r="L316" i="15"/>
  <c r="K316" i="15"/>
  <c r="J316" i="15"/>
  <c r="I316" i="15"/>
  <c r="P315" i="15"/>
  <c r="O315" i="15"/>
  <c r="N315" i="15"/>
  <c r="M315" i="15" s="1"/>
  <c r="L315" i="15"/>
  <c r="K315" i="15" s="1"/>
  <c r="J315" i="15"/>
  <c r="I315" i="15"/>
  <c r="P314" i="15"/>
  <c r="O314" i="15" s="1"/>
  <c r="L314" i="15"/>
  <c r="N314" i="15" s="1"/>
  <c r="M314" i="15" s="1"/>
  <c r="K314" i="15"/>
  <c r="J314" i="15"/>
  <c r="I314" i="15"/>
  <c r="P313" i="15"/>
  <c r="O313" i="15"/>
  <c r="N313" i="15"/>
  <c r="M313" i="15" s="1"/>
  <c r="J313" i="15"/>
  <c r="L313" i="15" s="1"/>
  <c r="K313" i="15" s="1"/>
  <c r="I313" i="15"/>
  <c r="P312" i="15"/>
  <c r="O312" i="15"/>
  <c r="N312" i="15"/>
  <c r="M312" i="15" s="1"/>
  <c r="L312" i="15"/>
  <c r="K312" i="15"/>
  <c r="J312" i="15"/>
  <c r="I312" i="15"/>
  <c r="P311" i="15"/>
  <c r="O311" i="15"/>
  <c r="N311" i="15"/>
  <c r="M311" i="15" s="1"/>
  <c r="L311" i="15"/>
  <c r="K311" i="15" s="1"/>
  <c r="J311" i="15"/>
  <c r="I311" i="15"/>
  <c r="P310" i="15"/>
  <c r="O310" i="15" s="1"/>
  <c r="L310" i="15"/>
  <c r="N310" i="15" s="1"/>
  <c r="M310" i="15" s="1"/>
  <c r="K310" i="15"/>
  <c r="J310" i="15"/>
  <c r="I310" i="15"/>
  <c r="L309" i="15"/>
  <c r="K309" i="15"/>
  <c r="J309" i="15"/>
  <c r="N309" i="15" s="1"/>
  <c r="M309" i="15" s="1"/>
  <c r="I309" i="15"/>
  <c r="P308" i="15"/>
  <c r="O308" i="15"/>
  <c r="N308" i="15"/>
  <c r="M308" i="15"/>
  <c r="L308" i="15"/>
  <c r="K308" i="15"/>
  <c r="J308" i="15"/>
  <c r="I308" i="15"/>
  <c r="P307" i="15"/>
  <c r="O307" i="15"/>
  <c r="N307" i="15"/>
  <c r="M307" i="15"/>
  <c r="L307" i="15"/>
  <c r="K307" i="15"/>
  <c r="J307" i="15"/>
  <c r="I307" i="15"/>
  <c r="P306" i="15"/>
  <c r="O306" i="15"/>
  <c r="N306" i="15"/>
  <c r="M306" i="15"/>
  <c r="L306" i="15"/>
  <c r="K306" i="15"/>
  <c r="J306" i="15"/>
  <c r="I306" i="15"/>
  <c r="P305" i="15"/>
  <c r="O305" i="15"/>
  <c r="N305" i="15"/>
  <c r="M305" i="15"/>
  <c r="L305" i="15"/>
  <c r="K305" i="15"/>
  <c r="J305" i="15"/>
  <c r="I305" i="15"/>
  <c r="P304" i="15"/>
  <c r="O304" i="15"/>
  <c r="N304" i="15"/>
  <c r="M304" i="15"/>
  <c r="L304" i="15"/>
  <c r="K304" i="15"/>
  <c r="J304" i="15"/>
  <c r="I304" i="15"/>
  <c r="P303" i="15"/>
  <c r="O303" i="15"/>
  <c r="N303" i="15"/>
  <c r="M303" i="15"/>
  <c r="L303" i="15"/>
  <c r="K303" i="15"/>
  <c r="J303" i="15"/>
  <c r="I303" i="15"/>
  <c r="P302" i="15"/>
  <c r="O302" i="15"/>
  <c r="N302" i="15"/>
  <c r="M302" i="15"/>
  <c r="L302" i="15"/>
  <c r="K302" i="15"/>
  <c r="J302" i="15"/>
  <c r="I302" i="15"/>
  <c r="P301" i="15"/>
  <c r="O301" i="15"/>
  <c r="L301" i="15"/>
  <c r="K301" i="15"/>
  <c r="J301" i="15"/>
  <c r="N301" i="15" s="1"/>
  <c r="M301" i="15" s="1"/>
  <c r="I301" i="15"/>
  <c r="L300" i="15"/>
  <c r="P300" i="15" s="1"/>
  <c r="O300" i="15" s="1"/>
  <c r="K300" i="15"/>
  <c r="J300" i="15"/>
  <c r="N300" i="15" s="1"/>
  <c r="M300" i="15" s="1"/>
  <c r="I300" i="15"/>
  <c r="P299" i="15"/>
  <c r="O299" i="15"/>
  <c r="N299" i="15"/>
  <c r="M299" i="15"/>
  <c r="L299" i="15"/>
  <c r="K299" i="15"/>
  <c r="J299" i="15"/>
  <c r="I299" i="15"/>
  <c r="P298" i="15"/>
  <c r="O298" i="15"/>
  <c r="N298" i="15"/>
  <c r="M298" i="15"/>
  <c r="L298" i="15"/>
  <c r="K298" i="15"/>
  <c r="J298" i="15"/>
  <c r="I298" i="15"/>
  <c r="L297" i="15"/>
  <c r="P297" i="15" s="1"/>
  <c r="O297" i="15" s="1"/>
  <c r="K297" i="15"/>
  <c r="J297" i="15"/>
  <c r="N297" i="15" s="1"/>
  <c r="M297" i="15" s="1"/>
  <c r="I297" i="15"/>
  <c r="L296" i="15"/>
  <c r="P296" i="15" s="1"/>
  <c r="O296" i="15" s="1"/>
  <c r="K296" i="15"/>
  <c r="J296" i="15"/>
  <c r="N296" i="15" s="1"/>
  <c r="M296" i="15" s="1"/>
  <c r="I296" i="15"/>
  <c r="P295" i="15"/>
  <c r="O295" i="15"/>
  <c r="N295" i="15"/>
  <c r="M295" i="15"/>
  <c r="L295" i="15"/>
  <c r="K295" i="15"/>
  <c r="J295" i="15"/>
  <c r="I295" i="15"/>
  <c r="P294" i="15"/>
  <c r="O294" i="15"/>
  <c r="N294" i="15"/>
  <c r="M294" i="15"/>
  <c r="L294" i="15"/>
  <c r="K294" i="15"/>
  <c r="J294" i="15"/>
  <c r="I294" i="15"/>
  <c r="P293" i="15"/>
  <c r="O293" i="15"/>
  <c r="N293" i="15"/>
  <c r="M293" i="15"/>
  <c r="L293" i="15"/>
  <c r="K293" i="15"/>
  <c r="J293" i="15"/>
  <c r="I293" i="15"/>
  <c r="P292" i="15"/>
  <c r="O292" i="15"/>
  <c r="N292" i="15"/>
  <c r="M292" i="15"/>
  <c r="L292" i="15"/>
  <c r="K292" i="15"/>
  <c r="J292" i="15"/>
  <c r="I292" i="15"/>
  <c r="P291" i="15"/>
  <c r="O291" i="15"/>
  <c r="L291" i="15"/>
  <c r="K291" i="15"/>
  <c r="J291" i="15"/>
  <c r="N291" i="15" s="1"/>
  <c r="M291" i="15" s="1"/>
  <c r="I291" i="15"/>
  <c r="P290" i="15"/>
  <c r="O290" i="15"/>
  <c r="L290" i="15"/>
  <c r="K290" i="15"/>
  <c r="J290" i="15"/>
  <c r="N290" i="15" s="1"/>
  <c r="M290" i="15" s="1"/>
  <c r="I290" i="15"/>
  <c r="P289" i="15"/>
  <c r="O289" i="15"/>
  <c r="L289" i="15"/>
  <c r="K289" i="15"/>
  <c r="J289" i="15"/>
  <c r="N289" i="15" s="1"/>
  <c r="M289" i="15" s="1"/>
  <c r="I289" i="15"/>
  <c r="P288" i="15"/>
  <c r="O288" i="15"/>
  <c r="N288" i="15"/>
  <c r="M288" i="15"/>
  <c r="L288" i="15"/>
  <c r="K288" i="15"/>
  <c r="J288" i="15"/>
  <c r="I288" i="15"/>
  <c r="P287" i="15"/>
  <c r="O287" i="15"/>
  <c r="N287" i="15"/>
  <c r="M287" i="15"/>
  <c r="L287" i="15"/>
  <c r="K287" i="15"/>
  <c r="J287" i="15"/>
  <c r="I287" i="15"/>
  <c r="P286" i="15"/>
  <c r="O286" i="15"/>
  <c r="L286" i="15"/>
  <c r="K286" i="15"/>
  <c r="J286" i="15"/>
  <c r="N286" i="15" s="1"/>
  <c r="M286" i="15" s="1"/>
  <c r="I286" i="15"/>
  <c r="P285" i="15"/>
  <c r="O285" i="15"/>
  <c r="N285" i="15"/>
  <c r="M285" i="15"/>
  <c r="L285" i="15"/>
  <c r="K285" i="15"/>
  <c r="J285" i="15"/>
  <c r="I285" i="15"/>
  <c r="L284" i="15"/>
  <c r="P284" i="15" s="1"/>
  <c r="O284" i="15" s="1"/>
  <c r="K284" i="15"/>
  <c r="J284" i="15"/>
  <c r="N284" i="15" s="1"/>
  <c r="M284" i="15" s="1"/>
  <c r="I284" i="15"/>
  <c r="P283" i="15"/>
  <c r="O283" i="15"/>
  <c r="N283" i="15"/>
  <c r="M283" i="15"/>
  <c r="L283" i="15"/>
  <c r="K283" i="15"/>
  <c r="J283" i="15"/>
  <c r="I283" i="15"/>
  <c r="P282" i="15"/>
  <c r="O282" i="15"/>
  <c r="N282" i="15"/>
  <c r="M282" i="15"/>
  <c r="L282" i="15"/>
  <c r="K282" i="15"/>
  <c r="J282" i="15"/>
  <c r="I282" i="15"/>
  <c r="P281" i="15"/>
  <c r="O281" i="15"/>
  <c r="N281" i="15"/>
  <c r="M281" i="15"/>
  <c r="L281" i="15"/>
  <c r="K281" i="15"/>
  <c r="J281" i="15"/>
  <c r="I281" i="15"/>
  <c r="P280" i="15"/>
  <c r="O280" i="15"/>
  <c r="N280" i="15"/>
  <c r="M280" i="15"/>
  <c r="L280" i="15"/>
  <c r="K280" i="15"/>
  <c r="J280" i="15"/>
  <c r="I280" i="15"/>
  <c r="P279" i="15"/>
  <c r="O279" i="15"/>
  <c r="L279" i="15"/>
  <c r="K279" i="15"/>
  <c r="J279" i="15"/>
  <c r="N279" i="15" s="1"/>
  <c r="M279" i="15" s="1"/>
  <c r="I279" i="15"/>
  <c r="L278" i="15"/>
  <c r="K278" i="15"/>
  <c r="J278" i="15"/>
  <c r="N278" i="15" s="1"/>
  <c r="M278" i="15" s="1"/>
  <c r="I278" i="15"/>
  <c r="L277" i="15"/>
  <c r="K277" i="15"/>
  <c r="J277" i="15"/>
  <c r="N277" i="15" s="1"/>
  <c r="M277" i="15" s="1"/>
  <c r="I277" i="15"/>
  <c r="P276" i="15"/>
  <c r="O276" i="15"/>
  <c r="L276" i="15"/>
  <c r="K276" i="15"/>
  <c r="J276" i="15"/>
  <c r="N276" i="15" s="1"/>
  <c r="M276" i="15" s="1"/>
  <c r="I276" i="15"/>
  <c r="P275" i="15"/>
  <c r="O275" i="15"/>
  <c r="N275" i="15"/>
  <c r="M275" i="15"/>
  <c r="L275" i="15"/>
  <c r="K275" i="15"/>
  <c r="J275" i="15"/>
  <c r="I275" i="15"/>
  <c r="P274" i="15"/>
  <c r="O274" i="15"/>
  <c r="N274" i="15"/>
  <c r="M274" i="15"/>
  <c r="L274" i="15"/>
  <c r="K274" i="15"/>
  <c r="J274" i="15"/>
  <c r="I274" i="15"/>
  <c r="P273" i="15"/>
  <c r="O273" i="15"/>
  <c r="N273" i="15"/>
  <c r="M273" i="15"/>
  <c r="L273" i="15"/>
  <c r="K273" i="15"/>
  <c r="J273" i="15"/>
  <c r="I273" i="15"/>
  <c r="P272" i="15"/>
  <c r="O272" i="15"/>
  <c r="N272" i="15"/>
  <c r="M272" i="15"/>
  <c r="L272" i="15"/>
  <c r="K272" i="15"/>
  <c r="J272" i="15"/>
  <c r="I272" i="15"/>
  <c r="P271" i="15"/>
  <c r="O271" i="15"/>
  <c r="N271" i="15"/>
  <c r="M271" i="15"/>
  <c r="L271" i="15"/>
  <c r="K271" i="15"/>
  <c r="J271" i="15"/>
  <c r="I271" i="15"/>
  <c r="P270" i="15"/>
  <c r="O270" i="15"/>
  <c r="N270" i="15"/>
  <c r="M270" i="15"/>
  <c r="L270" i="15"/>
  <c r="K270" i="15"/>
  <c r="J270" i="15"/>
  <c r="I270" i="15"/>
  <c r="L269" i="15"/>
  <c r="P269" i="15" s="1"/>
  <c r="O269" i="15" s="1"/>
  <c r="K269" i="15"/>
  <c r="J269" i="15"/>
  <c r="N269" i="15" s="1"/>
  <c r="M269" i="15" s="1"/>
  <c r="I269" i="15"/>
  <c r="P268" i="15"/>
  <c r="O268" i="15"/>
  <c r="N268" i="15"/>
  <c r="M268" i="15"/>
  <c r="L268" i="15"/>
  <c r="K268" i="15"/>
  <c r="J268" i="15"/>
  <c r="I268" i="15"/>
  <c r="P267" i="15"/>
  <c r="O267" i="15"/>
  <c r="L267" i="15"/>
  <c r="K267" i="15"/>
  <c r="J267" i="15"/>
  <c r="N267" i="15" s="1"/>
  <c r="M267" i="15" s="1"/>
  <c r="I267" i="15"/>
  <c r="P266" i="15"/>
  <c r="O266" i="15"/>
  <c r="N266" i="15"/>
  <c r="M266" i="15"/>
  <c r="L266" i="15"/>
  <c r="K266" i="15"/>
  <c r="J266" i="15"/>
  <c r="I266" i="15"/>
  <c r="L265" i="15"/>
  <c r="K265" i="15"/>
  <c r="J265" i="15"/>
  <c r="N265" i="15" s="1"/>
  <c r="M265" i="15" s="1"/>
  <c r="I265" i="15"/>
  <c r="P264" i="15"/>
  <c r="O264" i="15"/>
  <c r="N264" i="15"/>
  <c r="M264" i="15"/>
  <c r="L264" i="15"/>
  <c r="K264" i="15"/>
  <c r="J264" i="15"/>
  <c r="I264" i="15"/>
  <c r="P263" i="15"/>
  <c r="O263" i="15"/>
  <c r="N263" i="15"/>
  <c r="M263" i="15"/>
  <c r="L263" i="15"/>
  <c r="K263" i="15"/>
  <c r="J263" i="15"/>
  <c r="I263" i="15"/>
  <c r="P262" i="15"/>
  <c r="O262" i="15"/>
  <c r="L262" i="15"/>
  <c r="K262" i="15"/>
  <c r="J262" i="15"/>
  <c r="N262" i="15" s="1"/>
  <c r="M262" i="15" s="1"/>
  <c r="I262" i="15"/>
  <c r="P261" i="15"/>
  <c r="O261" i="15"/>
  <c r="N261" i="15"/>
  <c r="M261" i="15"/>
  <c r="L261" i="15"/>
  <c r="K261" i="15"/>
  <c r="J261" i="15"/>
  <c r="I261" i="15"/>
  <c r="P260" i="15"/>
  <c r="O260" i="15"/>
  <c r="N260" i="15"/>
  <c r="M260" i="15"/>
  <c r="L260" i="15"/>
  <c r="K260" i="15"/>
  <c r="J260" i="15"/>
  <c r="I260" i="15"/>
  <c r="P259" i="15"/>
  <c r="O259" i="15"/>
  <c r="N259" i="15"/>
  <c r="M259" i="15"/>
  <c r="L259" i="15"/>
  <c r="K259" i="15"/>
  <c r="J259" i="15"/>
  <c r="I259" i="15"/>
  <c r="L258" i="15"/>
  <c r="P258" i="15" s="1"/>
  <c r="O258" i="15" s="1"/>
  <c r="K258" i="15"/>
  <c r="J258" i="15"/>
  <c r="N258" i="15" s="1"/>
  <c r="M258" i="15" s="1"/>
  <c r="I258" i="15"/>
  <c r="P257" i="15"/>
  <c r="O257" i="15"/>
  <c r="L257" i="15"/>
  <c r="K257" i="15"/>
  <c r="J257" i="15"/>
  <c r="N257" i="15" s="1"/>
  <c r="M257" i="15" s="1"/>
  <c r="I257" i="15"/>
  <c r="P256" i="15"/>
  <c r="O256" i="15"/>
  <c r="L256" i="15"/>
  <c r="K256" i="15"/>
  <c r="J256" i="15"/>
  <c r="N256" i="15" s="1"/>
  <c r="M256" i="15" s="1"/>
  <c r="I256" i="15"/>
  <c r="P255" i="15"/>
  <c r="O255" i="15"/>
  <c r="N255" i="15"/>
  <c r="M255" i="15"/>
  <c r="L255" i="15"/>
  <c r="K255" i="15"/>
  <c r="J255" i="15"/>
  <c r="I255" i="15"/>
  <c r="L254" i="15"/>
  <c r="P254" i="15" s="1"/>
  <c r="O254" i="15" s="1"/>
  <c r="K254" i="15"/>
  <c r="J254" i="15"/>
  <c r="N254" i="15" s="1"/>
  <c r="M254" i="15" s="1"/>
  <c r="I254" i="15"/>
  <c r="P253" i="15"/>
  <c r="O253" i="15"/>
  <c r="N253" i="15"/>
  <c r="M253" i="15"/>
  <c r="L253" i="15"/>
  <c r="K253" i="15"/>
  <c r="J253" i="15"/>
  <c r="I253" i="15"/>
  <c r="P252" i="15"/>
  <c r="O252" i="15"/>
  <c r="L252" i="15"/>
  <c r="K252" i="15"/>
  <c r="J252" i="15"/>
  <c r="N252" i="15" s="1"/>
  <c r="M252" i="15" s="1"/>
  <c r="I252" i="15"/>
  <c r="L251" i="15"/>
  <c r="K251" i="15"/>
  <c r="J251" i="15"/>
  <c r="N251" i="15" s="1"/>
  <c r="M251" i="15" s="1"/>
  <c r="I251" i="15"/>
  <c r="L250" i="15"/>
  <c r="K250" i="15"/>
  <c r="J250" i="15"/>
  <c r="N250" i="15" s="1"/>
  <c r="M250" i="15" s="1"/>
  <c r="I250" i="15"/>
  <c r="P249" i="15"/>
  <c r="O249" i="15"/>
  <c r="N249" i="15"/>
  <c r="M249" i="15"/>
  <c r="L249" i="15"/>
  <c r="K249" i="15"/>
  <c r="J249" i="15"/>
  <c r="I249" i="15"/>
  <c r="P248" i="15"/>
  <c r="O248" i="15"/>
  <c r="L248" i="15"/>
  <c r="K248" i="15"/>
  <c r="J248" i="15"/>
  <c r="N248" i="15" s="1"/>
  <c r="M248" i="15" s="1"/>
  <c r="I248" i="15"/>
  <c r="P247" i="15"/>
  <c r="O247" i="15"/>
  <c r="L247" i="15"/>
  <c r="K247" i="15"/>
  <c r="J247" i="15"/>
  <c r="N247" i="15" s="1"/>
  <c r="M247" i="15" s="1"/>
  <c r="I247" i="15"/>
  <c r="P246" i="15"/>
  <c r="O246" i="15"/>
  <c r="L246" i="15"/>
  <c r="K246" i="15"/>
  <c r="J246" i="15"/>
  <c r="N246" i="15" s="1"/>
  <c r="M246" i="15" s="1"/>
  <c r="I246" i="15"/>
  <c r="L245" i="15"/>
  <c r="K245" i="15"/>
  <c r="J245" i="15"/>
  <c r="N245" i="15" s="1"/>
  <c r="M245" i="15" s="1"/>
  <c r="I245" i="15"/>
  <c r="P244" i="15"/>
  <c r="O244" i="15"/>
  <c r="L244" i="15"/>
  <c r="K244" i="15"/>
  <c r="J244" i="15"/>
  <c r="N244" i="15" s="1"/>
  <c r="M244" i="15" s="1"/>
  <c r="I244" i="15"/>
  <c r="P243" i="15"/>
  <c r="O243" i="15"/>
  <c r="N243" i="15"/>
  <c r="M243" i="15"/>
  <c r="L243" i="15"/>
  <c r="K243" i="15"/>
  <c r="J243" i="15"/>
  <c r="I243" i="15"/>
  <c r="P242" i="15"/>
  <c r="O242" i="15"/>
  <c r="L242" i="15"/>
  <c r="K242" i="15"/>
  <c r="J242" i="15"/>
  <c r="N242" i="15" s="1"/>
  <c r="M242" i="15" s="1"/>
  <c r="I242" i="15"/>
  <c r="P241" i="15"/>
  <c r="O241" i="15"/>
  <c r="N241" i="15"/>
  <c r="M241" i="15"/>
  <c r="L241" i="15"/>
  <c r="K241" i="15"/>
  <c r="J241" i="15"/>
  <c r="I241" i="15"/>
  <c r="P240" i="15"/>
  <c r="O240" i="15"/>
  <c r="N240" i="15"/>
  <c r="M240" i="15"/>
  <c r="L240" i="15"/>
  <c r="K240" i="15"/>
  <c r="J240" i="15"/>
  <c r="I240" i="15"/>
  <c r="P239" i="15"/>
  <c r="O239" i="15" s="1"/>
  <c r="N239" i="15"/>
  <c r="M239" i="15"/>
  <c r="L239" i="15"/>
  <c r="K239" i="15" s="1"/>
  <c r="J239" i="15"/>
  <c r="I239" i="15"/>
  <c r="P238" i="15"/>
  <c r="O238" i="15" s="1"/>
  <c r="L238" i="15"/>
  <c r="K238" i="15" s="1"/>
  <c r="J238" i="15"/>
  <c r="I238" i="15"/>
  <c r="L237" i="15"/>
  <c r="K237" i="15" s="1"/>
  <c r="J237" i="15"/>
  <c r="N237" i="15" s="1"/>
  <c r="M237" i="15" s="1"/>
  <c r="I237" i="15"/>
  <c r="P236" i="15"/>
  <c r="O236" i="15" s="1"/>
  <c r="N236" i="15"/>
  <c r="M236" i="15"/>
  <c r="L236" i="15"/>
  <c r="K236" i="15" s="1"/>
  <c r="J236" i="15"/>
  <c r="I236" i="15"/>
  <c r="L235" i="15"/>
  <c r="K235" i="15" s="1"/>
  <c r="J235" i="15"/>
  <c r="I235" i="15"/>
  <c r="L234" i="15"/>
  <c r="K234" i="15" s="1"/>
  <c r="J234" i="15"/>
  <c r="N234" i="15" s="1"/>
  <c r="M234" i="15" s="1"/>
  <c r="I234" i="15"/>
  <c r="P233" i="15"/>
  <c r="O233" i="15" s="1"/>
  <c r="N233" i="15"/>
  <c r="M233" i="15"/>
  <c r="L233" i="15"/>
  <c r="K233" i="15" s="1"/>
  <c r="J233" i="15"/>
  <c r="I233" i="15"/>
  <c r="P232" i="15"/>
  <c r="O232" i="15" s="1"/>
  <c r="N232" i="15"/>
  <c r="M232" i="15"/>
  <c r="L232" i="15"/>
  <c r="K232" i="15" s="1"/>
  <c r="J232" i="15"/>
  <c r="I232" i="15"/>
  <c r="P231" i="15"/>
  <c r="O231" i="15" s="1"/>
  <c r="L231" i="15"/>
  <c r="K231" i="15" s="1"/>
  <c r="J231" i="15"/>
  <c r="I231" i="15"/>
  <c r="P230" i="15"/>
  <c r="O230" i="15" s="1"/>
  <c r="N230" i="15"/>
  <c r="M230" i="15"/>
  <c r="L230" i="15"/>
  <c r="K230" i="15" s="1"/>
  <c r="J230" i="15"/>
  <c r="I230" i="15"/>
  <c r="P229" i="15"/>
  <c r="O229" i="15" s="1"/>
  <c r="L229" i="15"/>
  <c r="K229" i="15" s="1"/>
  <c r="J229" i="15"/>
  <c r="N229" i="15" s="1"/>
  <c r="M229" i="15" s="1"/>
  <c r="I229" i="15"/>
  <c r="L228" i="15"/>
  <c r="K228" i="15" s="1"/>
  <c r="J228" i="15"/>
  <c r="I228" i="15"/>
  <c r="P227" i="15"/>
  <c r="O227" i="15" s="1"/>
  <c r="L227" i="15"/>
  <c r="K227" i="15" s="1"/>
  <c r="J227" i="15"/>
  <c r="N227" i="15" s="1"/>
  <c r="M227" i="15" s="1"/>
  <c r="I227" i="15"/>
  <c r="P226" i="15"/>
  <c r="O226" i="15" s="1"/>
  <c r="N226" i="15"/>
  <c r="M226" i="15"/>
  <c r="L226" i="15"/>
  <c r="K226" i="15" s="1"/>
  <c r="J226" i="15"/>
  <c r="I226" i="15"/>
  <c r="P225" i="15"/>
  <c r="O225" i="15" s="1"/>
  <c r="L225" i="15"/>
  <c r="K225" i="15" s="1"/>
  <c r="J225" i="15"/>
  <c r="I225" i="15"/>
  <c r="P224" i="15"/>
  <c r="O224" i="15" s="1"/>
  <c r="L224" i="15"/>
  <c r="K224" i="15"/>
  <c r="J224" i="15"/>
  <c r="I224" i="15"/>
  <c r="P223" i="15"/>
  <c r="O223" i="15"/>
  <c r="N223" i="15"/>
  <c r="M223" i="15"/>
  <c r="L223" i="15"/>
  <c r="K223" i="15"/>
  <c r="J223" i="15"/>
  <c r="I223" i="15"/>
  <c r="P222" i="15"/>
  <c r="O222" i="15"/>
  <c r="N222" i="15"/>
  <c r="M222" i="15"/>
  <c r="L222" i="15"/>
  <c r="K222" i="15"/>
  <c r="J222" i="15"/>
  <c r="I222" i="15"/>
  <c r="P221" i="15"/>
  <c r="O221" i="15"/>
  <c r="N221" i="15"/>
  <c r="M221" i="15"/>
  <c r="L221" i="15"/>
  <c r="K221" i="15"/>
  <c r="J221" i="15"/>
  <c r="I221" i="15"/>
  <c r="P220" i="15"/>
  <c r="O220" i="15"/>
  <c r="N220" i="15"/>
  <c r="M220" i="15"/>
  <c r="L220" i="15"/>
  <c r="K220" i="15"/>
  <c r="J220" i="15"/>
  <c r="I220" i="15"/>
  <c r="P219" i="15"/>
  <c r="O219" i="15"/>
  <c r="L219" i="15"/>
  <c r="K219" i="15" s="1"/>
  <c r="J219" i="15"/>
  <c r="N219" i="15" s="1"/>
  <c r="M219" i="15" s="1"/>
  <c r="I219" i="15"/>
  <c r="P218" i="15"/>
  <c r="O218" i="15" s="1"/>
  <c r="N218" i="15"/>
  <c r="M218" i="15"/>
  <c r="L218" i="15"/>
  <c r="K218" i="15" s="1"/>
  <c r="J218" i="15"/>
  <c r="I218" i="15"/>
  <c r="P217" i="15"/>
  <c r="O217" i="15" s="1"/>
  <c r="M217" i="15"/>
  <c r="L217" i="15"/>
  <c r="K217" i="15"/>
  <c r="J217" i="15"/>
  <c r="N217" i="15" s="1"/>
  <c r="I217" i="15"/>
  <c r="P216" i="15"/>
  <c r="O216" i="15"/>
  <c r="N216" i="15"/>
  <c r="M216" i="15"/>
  <c r="L216" i="15"/>
  <c r="K216" i="15"/>
  <c r="J216" i="15"/>
  <c r="I216" i="15"/>
  <c r="P215" i="15"/>
  <c r="O215" i="15"/>
  <c r="N215" i="15"/>
  <c r="M215" i="15"/>
  <c r="L215" i="15"/>
  <c r="K215" i="15"/>
  <c r="J215" i="15"/>
  <c r="I215" i="15"/>
  <c r="P214" i="15"/>
  <c r="O214" i="15"/>
  <c r="L214" i="15"/>
  <c r="K214" i="15"/>
  <c r="J214" i="15"/>
  <c r="N214" i="15" s="1"/>
  <c r="M214" i="15" s="1"/>
  <c r="I214" i="15"/>
  <c r="P213" i="15"/>
  <c r="O213" i="15"/>
  <c r="L213" i="15"/>
  <c r="K213" i="15"/>
  <c r="J213" i="15"/>
  <c r="N213" i="15" s="1"/>
  <c r="M213" i="15" s="1"/>
  <c r="I213" i="15"/>
  <c r="P212" i="15"/>
  <c r="O212" i="15"/>
  <c r="N212" i="15"/>
  <c r="M212" i="15"/>
  <c r="L212" i="15"/>
  <c r="K212" i="15"/>
  <c r="J212" i="15"/>
  <c r="I212" i="15"/>
  <c r="P211" i="15"/>
  <c r="O211" i="15"/>
  <c r="N211" i="15"/>
  <c r="M211" i="15"/>
  <c r="L211" i="15"/>
  <c r="K211" i="15"/>
  <c r="J211" i="15"/>
  <c r="I211" i="15"/>
  <c r="P210" i="15"/>
  <c r="O210" i="15"/>
  <c r="N210" i="15"/>
  <c r="M210" i="15"/>
  <c r="J210" i="15"/>
  <c r="L210" i="15" s="1"/>
  <c r="K210" i="15" s="1"/>
  <c r="I210" i="15"/>
  <c r="P209" i="15"/>
  <c r="O209" i="15"/>
  <c r="N209" i="15"/>
  <c r="M209" i="15"/>
  <c r="L209" i="15"/>
  <c r="K209" i="15"/>
  <c r="J209" i="15"/>
  <c r="I209" i="15"/>
  <c r="P208" i="15"/>
  <c r="O208" i="15"/>
  <c r="L208" i="15"/>
  <c r="K208" i="15"/>
  <c r="J208" i="15"/>
  <c r="N208" i="15" s="1"/>
  <c r="M208" i="15" s="1"/>
  <c r="I208" i="15"/>
  <c r="P207" i="15"/>
  <c r="O207" i="15"/>
  <c r="N207" i="15"/>
  <c r="M207" i="15"/>
  <c r="L207" i="15"/>
  <c r="K207" i="15"/>
  <c r="J207" i="15"/>
  <c r="I207" i="15"/>
  <c r="P206" i="15"/>
  <c r="O206" i="15"/>
  <c r="N206" i="15"/>
  <c r="M206" i="15"/>
  <c r="L206" i="15"/>
  <c r="K206" i="15"/>
  <c r="J206" i="15"/>
  <c r="I206" i="15"/>
  <c r="P205" i="15"/>
  <c r="O205" i="15"/>
  <c r="N205" i="15"/>
  <c r="M205" i="15"/>
  <c r="L205" i="15"/>
  <c r="K205" i="15"/>
  <c r="J205" i="15"/>
  <c r="I205" i="15"/>
  <c r="L204" i="15"/>
  <c r="K204" i="15"/>
  <c r="J204" i="15"/>
  <c r="I204" i="15"/>
  <c r="P203" i="15"/>
  <c r="O203" i="15"/>
  <c r="L203" i="15"/>
  <c r="K203" i="15"/>
  <c r="J203" i="15"/>
  <c r="N203" i="15" s="1"/>
  <c r="M203" i="15" s="1"/>
  <c r="I203" i="15"/>
  <c r="P202" i="15"/>
  <c r="O202" i="15"/>
  <c r="N202" i="15"/>
  <c r="M202" i="15"/>
  <c r="L202" i="15"/>
  <c r="K202" i="15"/>
  <c r="J202" i="15"/>
  <c r="I202" i="15"/>
  <c r="P201" i="15"/>
  <c r="O201" i="15"/>
  <c r="N201" i="15"/>
  <c r="M201" i="15"/>
  <c r="L201" i="15"/>
  <c r="K201" i="15"/>
  <c r="J201" i="15"/>
  <c r="I201" i="15"/>
  <c r="P200" i="15"/>
  <c r="O200" i="15"/>
  <c r="N200" i="15"/>
  <c r="M200" i="15"/>
  <c r="L200" i="15"/>
  <c r="K200" i="15"/>
  <c r="J200" i="15"/>
  <c r="I200" i="15"/>
  <c r="P199" i="15"/>
  <c r="O199" i="15"/>
  <c r="L199" i="15"/>
  <c r="K199" i="15"/>
  <c r="J199" i="15"/>
  <c r="N199" i="15" s="1"/>
  <c r="M199" i="15" s="1"/>
  <c r="I199" i="15"/>
  <c r="L198" i="15"/>
  <c r="K198" i="15"/>
  <c r="J198" i="15"/>
  <c r="N198" i="15" s="1"/>
  <c r="M198" i="15" s="1"/>
  <c r="I198" i="15"/>
  <c r="P197" i="15"/>
  <c r="O197" i="15"/>
  <c r="N197" i="15"/>
  <c r="M197" i="15"/>
  <c r="L197" i="15"/>
  <c r="K197" i="15"/>
  <c r="J197" i="15"/>
  <c r="I197" i="15"/>
  <c r="P196" i="15"/>
  <c r="O196" i="15"/>
  <c r="N196" i="15"/>
  <c r="M196" i="15"/>
  <c r="L196" i="15"/>
  <c r="K196" i="15"/>
  <c r="J196" i="15"/>
  <c r="I196" i="15"/>
  <c r="P195" i="15"/>
  <c r="O195" i="15"/>
  <c r="N195" i="15"/>
  <c r="M195" i="15"/>
  <c r="L195" i="15"/>
  <c r="K195" i="15"/>
  <c r="J195" i="15"/>
  <c r="I195" i="15"/>
  <c r="P194" i="15"/>
  <c r="O194" i="15"/>
  <c r="N194" i="15"/>
  <c r="M194" i="15"/>
  <c r="L194" i="15"/>
  <c r="K194" i="15"/>
  <c r="J194" i="15"/>
  <c r="I194" i="15"/>
  <c r="P193" i="15"/>
  <c r="O193" i="15"/>
  <c r="L193" i="15"/>
  <c r="K193" i="15"/>
  <c r="J193" i="15"/>
  <c r="N193" i="15" s="1"/>
  <c r="M193" i="15" s="1"/>
  <c r="I193" i="15"/>
  <c r="L192" i="15"/>
  <c r="P192" i="15" s="1"/>
  <c r="O192" i="15" s="1"/>
  <c r="K192" i="15"/>
  <c r="J192" i="15"/>
  <c r="N192" i="15" s="1"/>
  <c r="M192" i="15" s="1"/>
  <c r="I192" i="15"/>
  <c r="P191" i="15"/>
  <c r="O191" i="15"/>
  <c r="N191" i="15"/>
  <c r="M191" i="15"/>
  <c r="L191" i="15"/>
  <c r="K191" i="15"/>
  <c r="J191" i="15"/>
  <c r="I191" i="15"/>
  <c r="P190" i="15"/>
  <c r="O190" i="15"/>
  <c r="N190" i="15"/>
  <c r="M190" i="15"/>
  <c r="L190" i="15"/>
  <c r="K190" i="15"/>
  <c r="J190" i="15"/>
  <c r="I190" i="15"/>
  <c r="P189" i="15"/>
  <c r="O189" i="15"/>
  <c r="N189" i="15"/>
  <c r="M189" i="15"/>
  <c r="L189" i="15"/>
  <c r="K189" i="15"/>
  <c r="J189" i="15"/>
  <c r="I189" i="15"/>
  <c r="P188" i="15"/>
  <c r="O188" i="15"/>
  <c r="L188" i="15"/>
  <c r="K188" i="15"/>
  <c r="J188" i="15"/>
  <c r="N188" i="15" s="1"/>
  <c r="M188" i="15" s="1"/>
  <c r="I188" i="15"/>
  <c r="P187" i="15"/>
  <c r="O187" i="15"/>
  <c r="N187" i="15"/>
  <c r="M187" i="15"/>
  <c r="L187" i="15"/>
  <c r="K187" i="15"/>
  <c r="J187" i="15"/>
  <c r="I187" i="15"/>
  <c r="P186" i="15"/>
  <c r="O186" i="15"/>
  <c r="N186" i="15"/>
  <c r="M186" i="15"/>
  <c r="L186" i="15"/>
  <c r="K186" i="15"/>
  <c r="J186" i="15"/>
  <c r="I186" i="15"/>
  <c r="P185" i="15"/>
  <c r="O185" i="15"/>
  <c r="N185" i="15"/>
  <c r="M185" i="15"/>
  <c r="L185" i="15"/>
  <c r="K185" i="15"/>
  <c r="J185" i="15"/>
  <c r="I185" i="15"/>
  <c r="P184" i="15"/>
  <c r="O184" i="15"/>
  <c r="L184" i="15"/>
  <c r="K184" i="15"/>
  <c r="J184" i="15"/>
  <c r="N184" i="15" s="1"/>
  <c r="M184" i="15" s="1"/>
  <c r="I184" i="15"/>
  <c r="P183" i="15"/>
  <c r="O183" i="15"/>
  <c r="L183" i="15"/>
  <c r="K183" i="15"/>
  <c r="J183" i="15"/>
  <c r="N183" i="15" s="1"/>
  <c r="M183" i="15" s="1"/>
  <c r="I183" i="15"/>
  <c r="P182" i="15"/>
  <c r="O182" i="15"/>
  <c r="L182" i="15"/>
  <c r="K182" i="15"/>
  <c r="J182" i="15"/>
  <c r="N182" i="15" s="1"/>
  <c r="M182" i="15" s="1"/>
  <c r="I182" i="15"/>
  <c r="P181" i="15"/>
  <c r="O181" i="15"/>
  <c r="N181" i="15"/>
  <c r="M181" i="15"/>
  <c r="L181" i="15"/>
  <c r="K181" i="15"/>
  <c r="J181" i="15"/>
  <c r="I181" i="15"/>
  <c r="P180" i="15"/>
  <c r="O180" i="15"/>
  <c r="N180" i="15"/>
  <c r="M180" i="15"/>
  <c r="L180" i="15"/>
  <c r="K180" i="15"/>
  <c r="J180" i="15"/>
  <c r="I180" i="15"/>
  <c r="L179" i="15"/>
  <c r="P179" i="15" s="1"/>
  <c r="O179" i="15" s="1"/>
  <c r="K179" i="15"/>
  <c r="J179" i="15"/>
  <c r="N179" i="15" s="1"/>
  <c r="M179" i="15" s="1"/>
  <c r="I179" i="15"/>
  <c r="L178" i="15"/>
  <c r="P178" i="15" s="1"/>
  <c r="O178" i="15" s="1"/>
  <c r="K178" i="15"/>
  <c r="J178" i="15"/>
  <c r="N178" i="15" s="1"/>
  <c r="M178" i="15" s="1"/>
  <c r="I178" i="15"/>
  <c r="L177" i="15"/>
  <c r="P177" i="15" s="1"/>
  <c r="O177" i="15" s="1"/>
  <c r="K177" i="15"/>
  <c r="J177" i="15"/>
  <c r="N177" i="15" s="1"/>
  <c r="M177" i="15" s="1"/>
  <c r="I177" i="15"/>
  <c r="P176" i="15"/>
  <c r="O176" i="15"/>
  <c r="N176" i="15"/>
  <c r="M176" i="15"/>
  <c r="L176" i="15"/>
  <c r="K176" i="15"/>
  <c r="J176" i="15"/>
  <c r="I176" i="15"/>
  <c r="P175" i="15"/>
  <c r="O175" i="15"/>
  <c r="N175" i="15"/>
  <c r="M175" i="15"/>
  <c r="L175" i="15"/>
  <c r="K175" i="15"/>
  <c r="J175" i="15"/>
  <c r="I175" i="15"/>
  <c r="P174" i="15"/>
  <c r="O174" i="15"/>
  <c r="L174" i="15"/>
  <c r="K174" i="15"/>
  <c r="J174" i="15"/>
  <c r="N174" i="15" s="1"/>
  <c r="M174" i="15" s="1"/>
  <c r="I174" i="15"/>
  <c r="P173" i="15"/>
  <c r="O173" i="15"/>
  <c r="L173" i="15"/>
  <c r="K173" i="15"/>
  <c r="J173" i="15"/>
  <c r="N173" i="15" s="1"/>
  <c r="M173" i="15" s="1"/>
  <c r="I173" i="15"/>
  <c r="P172" i="15"/>
  <c r="O172" i="15"/>
  <c r="N172" i="15"/>
  <c r="M172" i="15"/>
  <c r="L172" i="15"/>
  <c r="K172" i="15"/>
  <c r="J172" i="15"/>
  <c r="I172" i="15"/>
  <c r="P171" i="15"/>
  <c r="O171" i="15"/>
  <c r="N171" i="15"/>
  <c r="M171" i="15"/>
  <c r="L171" i="15"/>
  <c r="K171" i="15"/>
  <c r="J171" i="15"/>
  <c r="I171" i="15"/>
  <c r="P170" i="15"/>
  <c r="O170" i="15"/>
  <c r="L170" i="15"/>
  <c r="K170" i="15"/>
  <c r="J170" i="15"/>
  <c r="N170" i="15" s="1"/>
  <c r="M170" i="15" s="1"/>
  <c r="I170" i="15"/>
  <c r="P169" i="15"/>
  <c r="O169" i="15"/>
  <c r="L169" i="15"/>
  <c r="K169" i="15"/>
  <c r="J169" i="15"/>
  <c r="N169" i="15" s="1"/>
  <c r="M169" i="15" s="1"/>
  <c r="I169" i="15"/>
  <c r="L168" i="15"/>
  <c r="P168" i="15" s="1"/>
  <c r="O168" i="15" s="1"/>
  <c r="K168" i="15"/>
  <c r="J168" i="15"/>
  <c r="N168" i="15" s="1"/>
  <c r="M168" i="15" s="1"/>
  <c r="I168" i="15"/>
  <c r="P167" i="15"/>
  <c r="O167" i="15"/>
  <c r="N167" i="15"/>
  <c r="M167" i="15"/>
  <c r="L167" i="15"/>
  <c r="K167" i="15"/>
  <c r="J167" i="15"/>
  <c r="I167" i="15"/>
  <c r="P166" i="15"/>
  <c r="O166" i="15"/>
  <c r="L166" i="15"/>
  <c r="K166" i="15"/>
  <c r="J166" i="15"/>
  <c r="N166" i="15" s="1"/>
  <c r="M166" i="15" s="1"/>
  <c r="I166" i="15"/>
  <c r="L165" i="15"/>
  <c r="K165" i="15"/>
  <c r="J165" i="15"/>
  <c r="N165" i="15" s="1"/>
  <c r="M165" i="15" s="1"/>
  <c r="I165" i="15"/>
  <c r="L164" i="15"/>
  <c r="K164" i="15"/>
  <c r="J164" i="15"/>
  <c r="N164" i="15" s="1"/>
  <c r="M164" i="15" s="1"/>
  <c r="I164" i="15"/>
  <c r="P163" i="15"/>
  <c r="O163" i="15"/>
  <c r="N163" i="15"/>
  <c r="M163" i="15"/>
  <c r="L163" i="15"/>
  <c r="K163" i="15"/>
  <c r="J163" i="15"/>
  <c r="I163" i="15"/>
  <c r="P162" i="15"/>
  <c r="O162" i="15"/>
  <c r="N162" i="15"/>
  <c r="M162" i="15"/>
  <c r="L162" i="15"/>
  <c r="K162" i="15"/>
  <c r="J162" i="15"/>
  <c r="I162" i="15"/>
  <c r="P161" i="15"/>
  <c r="O161" i="15"/>
  <c r="N161" i="15"/>
  <c r="M161" i="15"/>
  <c r="L161" i="15"/>
  <c r="K161" i="15"/>
  <c r="J161" i="15"/>
  <c r="I161" i="15"/>
  <c r="P160" i="15"/>
  <c r="O160" i="15"/>
  <c r="N160" i="15"/>
  <c r="M160" i="15"/>
  <c r="L160" i="15"/>
  <c r="K160" i="15"/>
  <c r="J160" i="15"/>
  <c r="I160" i="15"/>
  <c r="P159" i="15"/>
  <c r="O159" i="15"/>
  <c r="L159" i="15"/>
  <c r="K159" i="15"/>
  <c r="J159" i="15"/>
  <c r="N159" i="15" s="1"/>
  <c r="M159" i="15" s="1"/>
  <c r="I159" i="15"/>
  <c r="L158" i="15"/>
  <c r="P158" i="15" s="1"/>
  <c r="O158" i="15" s="1"/>
  <c r="K158" i="15"/>
  <c r="J158" i="15"/>
  <c r="N158" i="15" s="1"/>
  <c r="M158" i="15" s="1"/>
  <c r="I158" i="15"/>
  <c r="P157" i="15"/>
  <c r="O157" i="15"/>
  <c r="N157" i="15"/>
  <c r="M157" i="15"/>
  <c r="L157" i="15"/>
  <c r="K157" i="15"/>
  <c r="J157" i="15"/>
  <c r="I157" i="15"/>
  <c r="P156" i="15"/>
  <c r="O156" i="15"/>
  <c r="N156" i="15"/>
  <c r="M156" i="15"/>
  <c r="L156" i="15"/>
  <c r="K156" i="15"/>
  <c r="J156" i="15"/>
  <c r="I156" i="15"/>
  <c r="P155" i="15"/>
  <c r="O155" i="15"/>
  <c r="N155" i="15"/>
  <c r="M155" i="15"/>
  <c r="L155" i="15"/>
  <c r="K155" i="15"/>
  <c r="J155" i="15"/>
  <c r="I155" i="15"/>
  <c r="P154" i="15"/>
  <c r="O154" i="15"/>
  <c r="N154" i="15"/>
  <c r="M154" i="15"/>
  <c r="L154" i="15"/>
  <c r="K154" i="15"/>
  <c r="J154" i="15"/>
  <c r="I154" i="15"/>
  <c r="P153" i="15"/>
  <c r="O153" i="15"/>
  <c r="N153" i="15"/>
  <c r="M153" i="15"/>
  <c r="L153" i="15"/>
  <c r="K153" i="15"/>
  <c r="J153" i="15"/>
  <c r="I153" i="15"/>
  <c r="P152" i="15"/>
  <c r="O152" i="15"/>
  <c r="L152" i="15"/>
  <c r="K152" i="15"/>
  <c r="J152" i="15"/>
  <c r="N152" i="15" s="1"/>
  <c r="M152" i="15" s="1"/>
  <c r="I152" i="15"/>
  <c r="L151" i="15"/>
  <c r="K151" i="15"/>
  <c r="J151" i="15"/>
  <c r="N151" i="15" s="1"/>
  <c r="M151" i="15" s="1"/>
  <c r="I151" i="15"/>
  <c r="L150" i="15"/>
  <c r="K150" i="15"/>
  <c r="J150" i="15"/>
  <c r="N150" i="15" s="1"/>
  <c r="M150" i="15" s="1"/>
  <c r="I150" i="15"/>
  <c r="P149" i="15"/>
  <c r="O149" i="15"/>
  <c r="L149" i="15"/>
  <c r="K149" i="15"/>
  <c r="J149" i="15"/>
  <c r="N149" i="15" s="1"/>
  <c r="M149" i="15" s="1"/>
  <c r="I149" i="15"/>
  <c r="P148" i="15"/>
  <c r="O148" i="15"/>
  <c r="L148" i="15"/>
  <c r="K148" i="15"/>
  <c r="J148" i="15"/>
  <c r="N148" i="15" s="1"/>
  <c r="M148" i="15" s="1"/>
  <c r="I148" i="15"/>
  <c r="P147" i="15"/>
  <c r="O147" i="15"/>
  <c r="N147" i="15"/>
  <c r="M147" i="15"/>
  <c r="L147" i="15"/>
  <c r="K147" i="15"/>
  <c r="J147" i="15"/>
  <c r="I147" i="15"/>
  <c r="P146" i="15"/>
  <c r="O146" i="15"/>
  <c r="N146" i="15"/>
  <c r="M146" i="15"/>
  <c r="L146" i="15"/>
  <c r="K146" i="15"/>
  <c r="J146" i="15"/>
  <c r="I146" i="15"/>
  <c r="P145" i="15"/>
  <c r="O145" i="15"/>
  <c r="N145" i="15"/>
  <c r="M145" i="15"/>
  <c r="L145" i="15"/>
  <c r="K145" i="15"/>
  <c r="J145" i="15"/>
  <c r="I145" i="15"/>
  <c r="P144" i="15"/>
  <c r="O144" i="15"/>
  <c r="N144" i="15"/>
  <c r="M144" i="15"/>
  <c r="L144" i="15"/>
  <c r="K144" i="15"/>
  <c r="J144" i="15"/>
  <c r="I144" i="15"/>
  <c r="P143" i="15"/>
  <c r="O143" i="15"/>
  <c r="N143" i="15"/>
  <c r="M143" i="15"/>
  <c r="L143" i="15"/>
  <c r="K143" i="15"/>
  <c r="J143" i="15"/>
  <c r="I143" i="15"/>
  <c r="P142" i="15"/>
  <c r="O142" i="15"/>
  <c r="N142" i="15"/>
  <c r="M142" i="15"/>
  <c r="L142" i="15"/>
  <c r="K142" i="15"/>
  <c r="J142" i="15"/>
  <c r="I142" i="15"/>
  <c r="P141" i="15"/>
  <c r="O141" i="15"/>
  <c r="N141" i="15"/>
  <c r="M141" i="15"/>
  <c r="L141" i="15"/>
  <c r="K141" i="15"/>
  <c r="J141" i="15"/>
  <c r="I141" i="15"/>
  <c r="P140" i="15"/>
  <c r="O140" i="15"/>
  <c r="N140" i="15"/>
  <c r="M140" i="15"/>
  <c r="L140" i="15"/>
  <c r="K140" i="15"/>
  <c r="J140" i="15"/>
  <c r="I140" i="15"/>
  <c r="P139" i="15"/>
  <c r="O139" i="15"/>
  <c r="N139" i="15"/>
  <c r="M139" i="15"/>
  <c r="L139" i="15"/>
  <c r="K139" i="15"/>
  <c r="J139" i="15"/>
  <c r="I139" i="15"/>
  <c r="P138" i="15"/>
  <c r="O138" i="15"/>
  <c r="L138" i="15"/>
  <c r="K138" i="15"/>
  <c r="J138" i="15"/>
  <c r="N138" i="15" s="1"/>
  <c r="M138" i="15" s="1"/>
  <c r="I138" i="15"/>
  <c r="P137" i="15"/>
  <c r="O137" i="15"/>
  <c r="N137" i="15"/>
  <c r="M137" i="15"/>
  <c r="L137" i="15"/>
  <c r="K137" i="15"/>
  <c r="J137" i="15"/>
  <c r="I137" i="15"/>
  <c r="P136" i="15"/>
  <c r="O136" i="15"/>
  <c r="N136" i="15"/>
  <c r="M136" i="15"/>
  <c r="L136" i="15"/>
  <c r="K136" i="15"/>
  <c r="J136" i="15"/>
  <c r="I136" i="15"/>
  <c r="M135" i="15"/>
  <c r="L135" i="15"/>
  <c r="P135" i="15" s="1"/>
  <c r="O135" i="15" s="1"/>
  <c r="K135" i="15"/>
  <c r="J135" i="15"/>
  <c r="N135" i="15" s="1"/>
  <c r="I135" i="15"/>
  <c r="P134" i="15"/>
  <c r="O134" i="15"/>
  <c r="N134" i="15"/>
  <c r="M134" i="15"/>
  <c r="L134" i="15"/>
  <c r="K134" i="15"/>
  <c r="J134" i="15"/>
  <c r="I134" i="15"/>
  <c r="P133" i="15"/>
  <c r="O133" i="15"/>
  <c r="N133" i="15"/>
  <c r="M133" i="15"/>
  <c r="L133" i="15"/>
  <c r="K133" i="15"/>
  <c r="J133" i="15"/>
  <c r="I133" i="15"/>
  <c r="P132" i="15"/>
  <c r="O132" i="15"/>
  <c r="N132" i="15"/>
  <c r="M132" i="15"/>
  <c r="L132" i="15"/>
  <c r="K132" i="15"/>
  <c r="J132" i="15"/>
  <c r="I132" i="15"/>
  <c r="P131" i="15"/>
  <c r="O131" i="15"/>
  <c r="N131" i="15"/>
  <c r="M131" i="15"/>
  <c r="L131" i="15"/>
  <c r="K131" i="15"/>
  <c r="J131" i="15"/>
  <c r="I131" i="15"/>
  <c r="P130" i="15"/>
  <c r="O130" i="15"/>
  <c r="L130" i="15"/>
  <c r="K130" i="15"/>
  <c r="J130" i="15"/>
  <c r="N130" i="15" s="1"/>
  <c r="M130" i="15" s="1"/>
  <c r="I130" i="15"/>
  <c r="P129" i="15"/>
  <c r="O129" i="15"/>
  <c r="N129" i="15"/>
  <c r="M129" i="15"/>
  <c r="L129" i="15"/>
  <c r="K129" i="15"/>
  <c r="J129" i="15"/>
  <c r="I129" i="15"/>
  <c r="P128" i="15"/>
  <c r="O128" i="15"/>
  <c r="N128" i="15"/>
  <c r="M128" i="15"/>
  <c r="L128" i="15"/>
  <c r="K128" i="15"/>
  <c r="J128" i="15"/>
  <c r="I128" i="15"/>
  <c r="P127" i="15"/>
  <c r="O127" i="15"/>
  <c r="N127" i="15"/>
  <c r="M127" i="15"/>
  <c r="L127" i="15"/>
  <c r="K127" i="15"/>
  <c r="J127" i="15"/>
  <c r="I127" i="15"/>
  <c r="P126" i="15"/>
  <c r="O126" i="15"/>
  <c r="N126" i="15"/>
  <c r="M126" i="15"/>
  <c r="L126" i="15"/>
  <c r="K126" i="15"/>
  <c r="J126" i="15"/>
  <c r="I126" i="15"/>
  <c r="P125" i="15"/>
  <c r="O125" i="15"/>
  <c r="N125" i="15"/>
  <c r="M125" i="15"/>
  <c r="L125" i="15"/>
  <c r="K125" i="15"/>
  <c r="J125" i="15"/>
  <c r="I125" i="15"/>
  <c r="P124" i="15"/>
  <c r="O124" i="15"/>
  <c r="M124" i="15"/>
  <c r="L124" i="15"/>
  <c r="K124" i="15"/>
  <c r="J124" i="15"/>
  <c r="N124" i="15" s="1"/>
  <c r="I124" i="15"/>
  <c r="P123" i="15"/>
  <c r="O123" i="15"/>
  <c r="N123" i="15"/>
  <c r="M123" i="15"/>
  <c r="L123" i="15"/>
  <c r="K123" i="15"/>
  <c r="J123" i="15"/>
  <c r="I123" i="15"/>
  <c r="P122" i="15"/>
  <c r="O122" i="15"/>
  <c r="N122" i="15"/>
  <c r="M122" i="15"/>
  <c r="L122" i="15"/>
  <c r="K122" i="15"/>
  <c r="J122" i="15"/>
  <c r="I122" i="15"/>
  <c r="L121" i="15"/>
  <c r="P121" i="15" s="1"/>
  <c r="O121" i="15" s="1"/>
  <c r="K121" i="15"/>
  <c r="J121" i="15"/>
  <c r="N121" i="15" s="1"/>
  <c r="M121" i="15" s="1"/>
  <c r="I121" i="15"/>
  <c r="M120" i="15"/>
  <c r="L120" i="15"/>
  <c r="K120" i="15"/>
  <c r="J120" i="15"/>
  <c r="N120" i="15" s="1"/>
  <c r="I120" i="15"/>
  <c r="P119" i="15"/>
  <c r="O119" i="15"/>
  <c r="N119" i="15"/>
  <c r="M119" i="15"/>
  <c r="L119" i="15"/>
  <c r="K119" i="15"/>
  <c r="J119" i="15"/>
  <c r="I119" i="15"/>
  <c r="P118" i="15"/>
  <c r="O118" i="15"/>
  <c r="N118" i="15"/>
  <c r="M118" i="15"/>
  <c r="L118" i="15"/>
  <c r="K118" i="15"/>
  <c r="J118" i="15"/>
  <c r="I118" i="15"/>
  <c r="P117" i="15"/>
  <c r="O117" i="15"/>
  <c r="L117" i="15"/>
  <c r="K117" i="15"/>
  <c r="J117" i="15"/>
  <c r="N117" i="15" s="1"/>
  <c r="M117" i="15" s="1"/>
  <c r="I117" i="15"/>
  <c r="P116" i="15"/>
  <c r="O116" i="15"/>
  <c r="M116" i="15"/>
  <c r="L116" i="15"/>
  <c r="K116" i="15"/>
  <c r="J116" i="15"/>
  <c r="N116" i="15" s="1"/>
  <c r="I116" i="15"/>
  <c r="P115" i="15"/>
  <c r="O115" i="15"/>
  <c r="L115" i="15"/>
  <c r="K115" i="15"/>
  <c r="J115" i="15"/>
  <c r="N115" i="15" s="1"/>
  <c r="M115" i="15" s="1"/>
  <c r="I115" i="15"/>
  <c r="L114" i="15"/>
  <c r="P114" i="15" s="1"/>
  <c r="O114" i="15" s="1"/>
  <c r="K114" i="15"/>
  <c r="J114" i="15"/>
  <c r="N114" i="15" s="1"/>
  <c r="M114" i="15" s="1"/>
  <c r="I114" i="15"/>
  <c r="P113" i="15"/>
  <c r="O113" i="15"/>
  <c r="M113" i="15"/>
  <c r="L113" i="15"/>
  <c r="K113" i="15"/>
  <c r="J113" i="15"/>
  <c r="N113" i="15" s="1"/>
  <c r="I113" i="15"/>
  <c r="P112" i="15"/>
  <c r="O112" i="15"/>
  <c r="L112" i="15"/>
  <c r="K112" i="15"/>
  <c r="J112" i="15"/>
  <c r="N112" i="15" s="1"/>
  <c r="M112" i="15" s="1"/>
  <c r="I112" i="15"/>
  <c r="P111" i="15"/>
  <c r="O111" i="15"/>
  <c r="M111" i="15"/>
  <c r="L111" i="15"/>
  <c r="K111" i="15"/>
  <c r="J111" i="15"/>
  <c r="N111" i="15" s="1"/>
  <c r="I111" i="15"/>
  <c r="L110" i="15"/>
  <c r="K110" i="15"/>
  <c r="J110" i="15"/>
  <c r="I110" i="15"/>
  <c r="P109" i="15"/>
  <c r="O109" i="15"/>
  <c r="N109" i="15"/>
  <c r="M109" i="15"/>
  <c r="L109" i="15"/>
  <c r="K109" i="15"/>
  <c r="J109" i="15"/>
  <c r="I109" i="15"/>
  <c r="P108" i="15"/>
  <c r="O108" i="15"/>
  <c r="N108" i="15"/>
  <c r="M108" i="15"/>
  <c r="L108" i="15"/>
  <c r="K108" i="15"/>
  <c r="J108" i="15"/>
  <c r="I108" i="15"/>
  <c r="P107" i="15"/>
  <c r="O107" i="15"/>
  <c r="N107" i="15"/>
  <c r="M107" i="15"/>
  <c r="L107" i="15"/>
  <c r="K107" i="15"/>
  <c r="J107" i="15"/>
  <c r="I107" i="15"/>
  <c r="P106" i="15"/>
  <c r="O106" i="15"/>
  <c r="N106" i="15"/>
  <c r="M106" i="15"/>
  <c r="L106" i="15"/>
  <c r="K106" i="15"/>
  <c r="J106" i="15"/>
  <c r="I106" i="15"/>
  <c r="P105" i="15"/>
  <c r="O105" i="15"/>
  <c r="N105" i="15"/>
  <c r="M105" i="15"/>
  <c r="L105" i="15"/>
  <c r="K105" i="15"/>
  <c r="J105" i="15"/>
  <c r="I105" i="15"/>
  <c r="L104" i="15"/>
  <c r="P104" i="15" s="1"/>
  <c r="O104" i="15" s="1"/>
  <c r="J104" i="15"/>
  <c r="N104" i="15" s="1"/>
  <c r="M104" i="15" s="1"/>
  <c r="I104" i="15"/>
  <c r="P103" i="15"/>
  <c r="O103" i="15" s="1"/>
  <c r="N103" i="15"/>
  <c r="M103" i="15"/>
  <c r="L103" i="15"/>
  <c r="K103" i="15" s="1"/>
  <c r="J103" i="15"/>
  <c r="I103" i="15"/>
  <c r="P102" i="15"/>
  <c r="O102" i="15" s="1"/>
  <c r="N102" i="15"/>
  <c r="M102" i="15"/>
  <c r="L102" i="15"/>
  <c r="K102" i="15" s="1"/>
  <c r="J102" i="15"/>
  <c r="I102" i="15"/>
  <c r="P101" i="15"/>
  <c r="O101" i="15" s="1"/>
  <c r="M101" i="15"/>
  <c r="L101" i="15"/>
  <c r="K101" i="15"/>
  <c r="J101" i="15"/>
  <c r="N101" i="15" s="1"/>
  <c r="I101" i="15"/>
  <c r="P100" i="15"/>
  <c r="O100" i="15"/>
  <c r="L100" i="15"/>
  <c r="K100" i="15" s="1"/>
  <c r="J100" i="15"/>
  <c r="I100" i="15"/>
  <c r="P99" i="15"/>
  <c r="O99" i="15" s="1"/>
  <c r="N99" i="15"/>
  <c r="M99" i="15"/>
  <c r="L99" i="15"/>
  <c r="K99" i="15" s="1"/>
  <c r="J99" i="15"/>
  <c r="I99" i="15"/>
  <c r="L98" i="15"/>
  <c r="K98" i="15"/>
  <c r="J98" i="15"/>
  <c r="I98" i="15"/>
  <c r="P97" i="15"/>
  <c r="O97" i="15"/>
  <c r="N97" i="15"/>
  <c r="M97" i="15"/>
  <c r="L97" i="15"/>
  <c r="K97" i="15"/>
  <c r="J97" i="15"/>
  <c r="I97" i="15"/>
  <c r="P96" i="15"/>
  <c r="O96" i="15"/>
  <c r="N96" i="15"/>
  <c r="M96" i="15"/>
  <c r="L96" i="15"/>
  <c r="K96" i="15"/>
  <c r="J96" i="15"/>
  <c r="I96" i="15"/>
  <c r="P95" i="15"/>
  <c r="O95" i="15"/>
  <c r="N95" i="15"/>
  <c r="M95" i="15"/>
  <c r="L95" i="15"/>
  <c r="K95" i="15"/>
  <c r="J95" i="15"/>
  <c r="I95" i="15"/>
  <c r="P94" i="15"/>
  <c r="O94" i="15"/>
  <c r="L94" i="15"/>
  <c r="K94" i="15" s="1"/>
  <c r="J94" i="15"/>
  <c r="N94" i="15" s="1"/>
  <c r="M94" i="15" s="1"/>
  <c r="I94" i="15"/>
  <c r="P93" i="15"/>
  <c r="O93" i="15" s="1"/>
  <c r="M93" i="15"/>
  <c r="L93" i="15"/>
  <c r="K93" i="15"/>
  <c r="J93" i="15"/>
  <c r="N93" i="15" s="1"/>
  <c r="I93" i="15"/>
  <c r="P92" i="15"/>
  <c r="O92" i="15"/>
  <c r="N92" i="15"/>
  <c r="M92" i="15"/>
  <c r="L92" i="15"/>
  <c r="K92" i="15"/>
  <c r="J92" i="15"/>
  <c r="I92" i="15"/>
  <c r="P91" i="15"/>
  <c r="O91" i="15"/>
  <c r="N91" i="15"/>
  <c r="M91" i="15"/>
  <c r="L91" i="15"/>
  <c r="K91" i="15"/>
  <c r="J91" i="15"/>
  <c r="I91" i="15"/>
  <c r="P90" i="15"/>
  <c r="O90" i="15"/>
  <c r="N90" i="15"/>
  <c r="M90" i="15"/>
  <c r="L90" i="15"/>
  <c r="K90" i="15"/>
  <c r="J90" i="15"/>
  <c r="I90" i="15"/>
  <c r="L89" i="15"/>
  <c r="J89" i="15"/>
  <c r="I89" i="15"/>
  <c r="P88" i="15"/>
  <c r="N88" i="15"/>
  <c r="M88" i="15" s="1"/>
  <c r="J88" i="15"/>
  <c r="L88" i="15" s="1"/>
  <c r="K88" i="15" s="1"/>
  <c r="I88" i="15"/>
  <c r="P87" i="15"/>
  <c r="N87" i="15"/>
  <c r="M87" i="15"/>
  <c r="J87" i="15"/>
  <c r="L87" i="15" s="1"/>
  <c r="K87" i="15" s="1"/>
  <c r="I87" i="15"/>
  <c r="P86" i="15"/>
  <c r="N86" i="15"/>
  <c r="M86" i="15"/>
  <c r="L86" i="15"/>
  <c r="K86" i="15" s="1"/>
  <c r="J86" i="15"/>
  <c r="I86" i="15"/>
  <c r="P85" i="15"/>
  <c r="N85" i="15"/>
  <c r="M85" i="15"/>
  <c r="L85" i="15"/>
  <c r="K85" i="15"/>
  <c r="J85" i="15"/>
  <c r="I85" i="15"/>
  <c r="P84" i="15"/>
  <c r="N84" i="15"/>
  <c r="M84" i="15" s="1"/>
  <c r="L84" i="15"/>
  <c r="K84" i="15"/>
  <c r="J84" i="15"/>
  <c r="I84" i="15"/>
  <c r="P83" i="15"/>
  <c r="N83" i="15"/>
  <c r="M83" i="15" s="1"/>
  <c r="L83" i="15"/>
  <c r="K83" i="15" s="1"/>
  <c r="J83" i="15"/>
  <c r="I83" i="15"/>
  <c r="P82" i="15"/>
  <c r="N82" i="15"/>
  <c r="M82" i="15"/>
  <c r="L82" i="15"/>
  <c r="K82" i="15"/>
  <c r="J82" i="15"/>
  <c r="I82" i="15"/>
  <c r="P81" i="15"/>
  <c r="N81" i="15"/>
  <c r="M81" i="15" s="1"/>
  <c r="L81" i="15"/>
  <c r="K81" i="15" s="1"/>
  <c r="J81" i="15"/>
  <c r="I81" i="15"/>
  <c r="P80" i="15"/>
  <c r="N80" i="15"/>
  <c r="M80" i="15"/>
  <c r="L80" i="15"/>
  <c r="K80" i="15"/>
  <c r="J80" i="15"/>
  <c r="I80" i="15"/>
  <c r="P79" i="15"/>
  <c r="N79" i="15"/>
  <c r="M79" i="15" s="1"/>
  <c r="L79" i="15"/>
  <c r="K79" i="15" s="1"/>
  <c r="J79" i="15"/>
  <c r="I79" i="15"/>
  <c r="P78" i="15"/>
  <c r="N78" i="15"/>
  <c r="M78" i="15"/>
  <c r="J78" i="15"/>
  <c r="L78" i="15" s="1"/>
  <c r="K78" i="15" s="1"/>
  <c r="I78" i="15"/>
  <c r="P77" i="15"/>
  <c r="O77" i="15"/>
  <c r="L77" i="15"/>
  <c r="K77" i="15"/>
  <c r="J77" i="15"/>
  <c r="N77" i="15" s="1"/>
  <c r="M77" i="15" s="1"/>
  <c r="I77" i="15"/>
  <c r="J76" i="15"/>
  <c r="I76" i="15"/>
  <c r="P75" i="15"/>
  <c r="N75" i="15"/>
  <c r="M75" i="15" s="1"/>
  <c r="L75" i="15"/>
  <c r="K75" i="15" s="1"/>
  <c r="J75" i="15"/>
  <c r="I75" i="15"/>
  <c r="L74" i="15"/>
  <c r="J74" i="15"/>
  <c r="N74" i="15" s="1"/>
  <c r="M74" i="15" s="1"/>
  <c r="I74" i="15"/>
  <c r="L73" i="15"/>
  <c r="P73" i="15" s="1"/>
  <c r="O73" i="15" s="1"/>
  <c r="J73" i="15"/>
  <c r="N73" i="15" s="1"/>
  <c r="M73" i="15" s="1"/>
  <c r="I73" i="15"/>
  <c r="P72" i="15"/>
  <c r="N72" i="15"/>
  <c r="M72" i="15"/>
  <c r="L72" i="15"/>
  <c r="K72" i="15"/>
  <c r="J72" i="15"/>
  <c r="I72" i="15"/>
  <c r="P71" i="15"/>
  <c r="O71" i="15"/>
  <c r="L71" i="15"/>
  <c r="K71" i="15"/>
  <c r="J71" i="15"/>
  <c r="N71" i="15" s="1"/>
  <c r="M71" i="15" s="1"/>
  <c r="I71" i="15"/>
  <c r="L70" i="15"/>
  <c r="K70" i="15"/>
  <c r="J70" i="15"/>
  <c r="N70" i="15" s="1"/>
  <c r="M70" i="15" s="1"/>
  <c r="I70" i="15"/>
  <c r="L69" i="15"/>
  <c r="K69" i="15"/>
  <c r="J69" i="15"/>
  <c r="N69" i="15" s="1"/>
  <c r="M69" i="15" s="1"/>
  <c r="I69" i="15"/>
  <c r="J68" i="15"/>
  <c r="I68" i="15"/>
  <c r="P67" i="15"/>
  <c r="N67" i="15"/>
  <c r="M67" i="15" s="1"/>
  <c r="J67" i="15"/>
  <c r="L67" i="15" s="1"/>
  <c r="K67" i="15" s="1"/>
  <c r="I67" i="15"/>
  <c r="P66" i="15"/>
  <c r="N66" i="15"/>
  <c r="M66" i="15"/>
  <c r="J66" i="15"/>
  <c r="L66" i="15" s="1"/>
  <c r="K66" i="15" s="1"/>
  <c r="I66" i="15"/>
  <c r="P65" i="15"/>
  <c r="N65" i="15"/>
  <c r="M65" i="15" s="1"/>
  <c r="L65" i="15"/>
  <c r="K65" i="15" s="1"/>
  <c r="J65" i="15"/>
  <c r="I65" i="15"/>
  <c r="P64" i="15"/>
  <c r="O64" i="15" s="1"/>
  <c r="L64" i="15"/>
  <c r="K64" i="15" s="1"/>
  <c r="J64" i="15"/>
  <c r="N64" i="15" s="1"/>
  <c r="M64" i="15" s="1"/>
  <c r="I64" i="15"/>
  <c r="P63" i="15"/>
  <c r="O63" i="15" s="1"/>
  <c r="L63" i="15"/>
  <c r="K63" i="15" s="1"/>
  <c r="J63" i="15"/>
  <c r="N63" i="15" s="1"/>
  <c r="M63" i="15" s="1"/>
  <c r="I63" i="15"/>
  <c r="P62" i="15"/>
  <c r="N62" i="15"/>
  <c r="M62" i="15"/>
  <c r="L62" i="15"/>
  <c r="K62" i="15"/>
  <c r="J62" i="15"/>
  <c r="I62" i="15"/>
  <c r="P61" i="15"/>
  <c r="N61" i="15"/>
  <c r="M61" i="15" s="1"/>
  <c r="L61" i="15"/>
  <c r="K61" i="15" s="1"/>
  <c r="J61" i="15"/>
  <c r="I61" i="15"/>
  <c r="J60" i="15"/>
  <c r="I60" i="15"/>
  <c r="P59" i="15"/>
  <c r="N59" i="15"/>
  <c r="M59" i="15"/>
  <c r="L59" i="15"/>
  <c r="K59" i="15"/>
  <c r="J59" i="15"/>
  <c r="I59" i="15"/>
  <c r="P58" i="15"/>
  <c r="N58" i="15"/>
  <c r="M58" i="15" s="1"/>
  <c r="L58" i="15"/>
  <c r="K58" i="15" s="1"/>
  <c r="J58" i="15"/>
  <c r="I58" i="15"/>
  <c r="P57" i="15"/>
  <c r="L57" i="15"/>
  <c r="K57" i="15"/>
  <c r="J57" i="15"/>
  <c r="N57" i="15" s="1"/>
  <c r="M57" i="15" s="1"/>
  <c r="I57" i="15"/>
  <c r="P56" i="15"/>
  <c r="N56" i="15"/>
  <c r="M56" i="15" s="1"/>
  <c r="J56" i="15"/>
  <c r="L56" i="15" s="1"/>
  <c r="K56" i="15" s="1"/>
  <c r="I56" i="15"/>
  <c r="P55" i="15"/>
  <c r="L55" i="15"/>
  <c r="K55" i="15"/>
  <c r="J55" i="15"/>
  <c r="N55" i="15" s="1"/>
  <c r="M55" i="15" s="1"/>
  <c r="I55" i="15"/>
  <c r="P54" i="15"/>
  <c r="N54" i="15"/>
  <c r="M54" i="15" s="1"/>
  <c r="L54" i="15"/>
  <c r="K54" i="15" s="1"/>
  <c r="J54" i="15"/>
  <c r="I54" i="15"/>
  <c r="P53" i="15"/>
  <c r="L53" i="15"/>
  <c r="K53" i="15"/>
  <c r="J53" i="15"/>
  <c r="N53" i="15" s="1"/>
  <c r="M53" i="15" s="1"/>
  <c r="I53" i="15"/>
  <c r="P52" i="15"/>
  <c r="N52" i="15"/>
  <c r="M52" i="15" s="1"/>
  <c r="J52" i="15"/>
  <c r="L52" i="15" s="1"/>
  <c r="K52" i="15" s="1"/>
  <c r="I52" i="15"/>
  <c r="P51" i="15"/>
  <c r="N51" i="15"/>
  <c r="M51" i="15"/>
  <c r="L51" i="15"/>
  <c r="K51" i="15"/>
  <c r="J51" i="15"/>
  <c r="I51" i="15"/>
  <c r="P50" i="15"/>
  <c r="N50" i="15"/>
  <c r="M50" i="15" s="1"/>
  <c r="L50" i="15"/>
  <c r="K50" i="15" s="1"/>
  <c r="J50" i="15"/>
  <c r="I50" i="15"/>
  <c r="P49" i="15"/>
  <c r="L49" i="15"/>
  <c r="K49" i="15"/>
  <c r="J49" i="15"/>
  <c r="N49" i="15" s="1"/>
  <c r="M49" i="15" s="1"/>
  <c r="I49" i="15"/>
  <c r="P48" i="15"/>
  <c r="N48" i="15"/>
  <c r="M48" i="15" s="1"/>
  <c r="L48" i="15"/>
  <c r="K48" i="15" s="1"/>
  <c r="J48" i="15"/>
  <c r="I48" i="15"/>
  <c r="J47" i="15"/>
  <c r="I47" i="15"/>
  <c r="P46" i="15"/>
  <c r="N46" i="15"/>
  <c r="M46" i="15"/>
  <c r="L46" i="15"/>
  <c r="K46" i="15"/>
  <c r="J46" i="15"/>
  <c r="I46" i="15"/>
  <c r="L45" i="15"/>
  <c r="P45" i="15" s="1"/>
  <c r="O45" i="15" s="1"/>
  <c r="K45" i="15"/>
  <c r="J45" i="15"/>
  <c r="N45" i="15" s="1"/>
  <c r="M45" i="15" s="1"/>
  <c r="I45" i="15"/>
  <c r="P44" i="15"/>
  <c r="N44" i="15"/>
  <c r="M44" i="15" s="1"/>
  <c r="L44" i="15"/>
  <c r="K44" i="15" s="1"/>
  <c r="J44" i="15"/>
  <c r="I44" i="15"/>
  <c r="P43" i="15"/>
  <c r="L43" i="15"/>
  <c r="K43" i="15"/>
  <c r="J43" i="15"/>
  <c r="N43" i="15" s="1"/>
  <c r="M43" i="15" s="1"/>
  <c r="I43" i="15"/>
  <c r="P42" i="15"/>
  <c r="N42" i="15"/>
  <c r="M42" i="15" s="1"/>
  <c r="J42" i="15"/>
  <c r="L42" i="15" s="1"/>
  <c r="K42" i="15" s="1"/>
  <c r="I42" i="15"/>
  <c r="P41" i="15"/>
  <c r="N41" i="15"/>
  <c r="M41" i="15"/>
  <c r="L41" i="15"/>
  <c r="K41" i="15"/>
  <c r="J41" i="15"/>
  <c r="I41" i="15"/>
  <c r="P40" i="15"/>
  <c r="L40" i="15"/>
  <c r="K40" i="15" s="1"/>
  <c r="J40" i="15"/>
  <c r="N40" i="15" s="1"/>
  <c r="M40" i="15" s="1"/>
  <c r="I40" i="15"/>
  <c r="P39" i="15"/>
  <c r="N39" i="15"/>
  <c r="M39" i="15"/>
  <c r="L39" i="15"/>
  <c r="K39" i="15"/>
  <c r="J39" i="15"/>
  <c r="I39" i="15"/>
  <c r="P38" i="15"/>
  <c r="N38" i="15"/>
  <c r="M38" i="15" s="1"/>
  <c r="L38" i="15"/>
  <c r="K38" i="15" s="1"/>
  <c r="J38" i="15"/>
  <c r="I38" i="15"/>
  <c r="P37" i="15"/>
  <c r="N37" i="15"/>
  <c r="M37" i="15"/>
  <c r="L37" i="15"/>
  <c r="K37" i="15"/>
  <c r="J37" i="15"/>
  <c r="I37" i="15"/>
  <c r="P36" i="15"/>
  <c r="N36" i="15"/>
  <c r="M36" i="15" s="1"/>
  <c r="L36" i="15"/>
  <c r="K36" i="15" s="1"/>
  <c r="J36" i="15"/>
  <c r="I36" i="15"/>
  <c r="P35" i="15"/>
  <c r="N35" i="15"/>
  <c r="M35" i="15"/>
  <c r="L35" i="15"/>
  <c r="K35" i="15"/>
  <c r="J35" i="15"/>
  <c r="I35" i="15"/>
  <c r="P34" i="15"/>
  <c r="L34" i="15"/>
  <c r="K34" i="15" s="1"/>
  <c r="J34" i="15"/>
  <c r="N34" i="15" s="1"/>
  <c r="M34" i="15" s="1"/>
  <c r="I34" i="15"/>
  <c r="P33" i="15"/>
  <c r="N33" i="15"/>
  <c r="M33" i="15"/>
  <c r="L33" i="15"/>
  <c r="K33" i="15"/>
  <c r="J33" i="15"/>
  <c r="I33" i="15"/>
  <c r="L32" i="15"/>
  <c r="K32" i="15"/>
  <c r="J32" i="15"/>
  <c r="N32" i="15" s="1"/>
  <c r="M32" i="15" s="1"/>
  <c r="I32" i="15"/>
  <c r="L31" i="15"/>
  <c r="K31" i="15"/>
  <c r="J31" i="15"/>
  <c r="N31" i="15" s="1"/>
  <c r="M31" i="15" s="1"/>
  <c r="I31" i="15"/>
  <c r="P30" i="15"/>
  <c r="L30" i="15"/>
  <c r="K30" i="15" s="1"/>
  <c r="J30" i="15"/>
  <c r="N30" i="15" s="1"/>
  <c r="M30" i="15" s="1"/>
  <c r="I30" i="15"/>
  <c r="P29" i="15"/>
  <c r="L29" i="15"/>
  <c r="K29" i="15"/>
  <c r="J29" i="15"/>
  <c r="N29" i="15" s="1"/>
  <c r="M29" i="15" s="1"/>
  <c r="I29" i="15"/>
  <c r="P28" i="15"/>
  <c r="N28" i="15"/>
  <c r="M28" i="15" s="1"/>
  <c r="J28" i="15"/>
  <c r="L28" i="15" s="1"/>
  <c r="K28" i="15" s="1"/>
  <c r="I28" i="15"/>
  <c r="P27" i="15"/>
  <c r="N27" i="15"/>
  <c r="M27" i="15"/>
  <c r="L27" i="15"/>
  <c r="K27" i="15"/>
  <c r="J27" i="15"/>
  <c r="I27" i="15"/>
  <c r="P26" i="15"/>
  <c r="N26" i="15"/>
  <c r="M26" i="15" s="1"/>
  <c r="L26" i="15"/>
  <c r="K26" i="15" s="1"/>
  <c r="J26" i="15"/>
  <c r="I26" i="15"/>
  <c r="P25" i="15"/>
  <c r="L25" i="15"/>
  <c r="K25" i="15"/>
  <c r="J25" i="15"/>
  <c r="N25" i="15" s="1"/>
  <c r="M25" i="15" s="1"/>
  <c r="I25" i="15"/>
  <c r="P24" i="15"/>
  <c r="N24" i="15"/>
  <c r="M24" i="15" s="1"/>
  <c r="L24" i="15"/>
  <c r="K24" i="15" s="1"/>
  <c r="J24" i="15"/>
  <c r="I24" i="15"/>
  <c r="P23" i="15"/>
  <c r="L23" i="15"/>
  <c r="K23" i="15"/>
  <c r="J23" i="15"/>
  <c r="N23" i="15" s="1"/>
  <c r="M23" i="15" s="1"/>
  <c r="I23" i="15"/>
  <c r="P22" i="15"/>
  <c r="N22" i="15"/>
  <c r="M22" i="15" s="1"/>
  <c r="L22" i="15"/>
  <c r="K22" i="15" s="1"/>
  <c r="J22" i="15"/>
  <c r="I22" i="15"/>
  <c r="L21" i="15"/>
  <c r="K21" i="15" s="1"/>
  <c r="J21" i="15"/>
  <c r="N21" i="15" s="1"/>
  <c r="M21" i="15" s="1"/>
  <c r="I21" i="15"/>
  <c r="P20" i="15"/>
  <c r="N20" i="15"/>
  <c r="M20" i="15"/>
  <c r="L20" i="15"/>
  <c r="K20" i="15"/>
  <c r="J20" i="15"/>
  <c r="I20" i="15"/>
  <c r="P19" i="15"/>
  <c r="N19" i="15"/>
  <c r="M19" i="15" s="1"/>
  <c r="L19" i="15"/>
  <c r="K19" i="15" s="1"/>
  <c r="J19" i="15"/>
  <c r="I19" i="15"/>
  <c r="P18" i="15"/>
  <c r="O18" i="15" s="1"/>
  <c r="L18" i="15"/>
  <c r="K18" i="15" s="1"/>
  <c r="J18" i="15"/>
  <c r="N18" i="15" s="1"/>
  <c r="M18" i="15" s="1"/>
  <c r="I18" i="15"/>
  <c r="P17" i="15"/>
  <c r="O17" i="15" s="1"/>
  <c r="L17" i="15"/>
  <c r="K17" i="15" s="1"/>
  <c r="J17" i="15"/>
  <c r="N17" i="15" s="1"/>
  <c r="M17" i="15" s="1"/>
  <c r="I17" i="15"/>
  <c r="J16" i="15"/>
  <c r="I16" i="15"/>
  <c r="J15" i="15"/>
  <c r="I15" i="15"/>
  <c r="P14" i="15"/>
  <c r="O14" i="15" s="1"/>
  <c r="N14" i="15"/>
  <c r="M14" i="15" s="1"/>
  <c r="L14" i="15"/>
  <c r="K14" i="15" s="1"/>
  <c r="J14" i="15"/>
  <c r="I14" i="15"/>
  <c r="J13" i="15"/>
  <c r="I13" i="15"/>
  <c r="J12" i="15"/>
  <c r="I12" i="15"/>
  <c r="P11" i="15"/>
  <c r="O11" i="15" s="1"/>
  <c r="N11" i="15"/>
  <c r="M11" i="15" s="1"/>
  <c r="J11" i="15"/>
  <c r="L11" i="15" s="1"/>
  <c r="K11" i="15" s="1"/>
  <c r="I11" i="15"/>
  <c r="J10" i="15"/>
  <c r="I10" i="15"/>
  <c r="J9" i="15"/>
  <c r="I9" i="15"/>
  <c r="P8" i="15"/>
  <c r="O8" i="15" s="1"/>
  <c r="N8" i="15"/>
  <c r="M8" i="15" s="1"/>
  <c r="L8" i="15"/>
  <c r="K8" i="15" s="1"/>
  <c r="J8" i="15"/>
  <c r="I8" i="15"/>
  <c r="J7" i="15"/>
  <c r="I7" i="15"/>
  <c r="P6" i="15"/>
  <c r="O6" i="15" s="1"/>
  <c r="L6" i="15"/>
  <c r="K6" i="15" s="1"/>
  <c r="J6" i="15"/>
  <c r="N6" i="15" s="1"/>
  <c r="M6" i="15" s="1"/>
  <c r="I6" i="15"/>
  <c r="P5" i="15"/>
  <c r="O5" i="15" s="1"/>
  <c r="L5" i="15"/>
  <c r="K5" i="15" s="1"/>
  <c r="J5" i="15"/>
  <c r="N5" i="15" s="1"/>
  <c r="M5" i="15" s="1"/>
  <c r="I5" i="15"/>
  <c r="P4" i="15"/>
  <c r="O4" i="15" s="1"/>
  <c r="N4" i="15"/>
  <c r="M4" i="15" s="1"/>
  <c r="J4" i="15"/>
  <c r="L4" i="15" s="1"/>
  <c r="K4" i="15" s="1"/>
  <c r="I4" i="15"/>
  <c r="P3" i="15"/>
  <c r="O3" i="15" s="1"/>
  <c r="N3" i="15"/>
  <c r="M3" i="15" s="1"/>
  <c r="L3" i="15"/>
  <c r="K3" i="15" s="1"/>
  <c r="J3" i="15"/>
  <c r="I3" i="15"/>
  <c r="P501" i="14"/>
  <c r="O501" i="14" s="1"/>
  <c r="N501" i="14"/>
  <c r="M501" i="14" s="1"/>
  <c r="L501" i="14"/>
  <c r="K501" i="14" s="1"/>
  <c r="J501" i="14"/>
  <c r="I501" i="14"/>
  <c r="P500" i="14"/>
  <c r="O500" i="14" s="1"/>
  <c r="N500" i="14"/>
  <c r="M500" i="14" s="1"/>
  <c r="J500" i="14"/>
  <c r="L500" i="14" s="1"/>
  <c r="K500" i="14" s="1"/>
  <c r="I500" i="14"/>
  <c r="P499" i="14"/>
  <c r="O499" i="14" s="1"/>
  <c r="N499" i="14"/>
  <c r="M499" i="14" s="1"/>
  <c r="J499" i="14"/>
  <c r="L499" i="14" s="1"/>
  <c r="K499" i="14" s="1"/>
  <c r="I499" i="14"/>
  <c r="J498" i="14"/>
  <c r="L498" i="14" s="1"/>
  <c r="K498" i="14" s="1"/>
  <c r="I498" i="14"/>
  <c r="P497" i="14"/>
  <c r="O497" i="14" s="1"/>
  <c r="L497" i="14"/>
  <c r="K497" i="14" s="1"/>
  <c r="J497" i="14"/>
  <c r="I497" i="14"/>
  <c r="J496" i="14"/>
  <c r="L496" i="14" s="1"/>
  <c r="K496" i="14" s="1"/>
  <c r="I496" i="14"/>
  <c r="P495" i="14"/>
  <c r="O495" i="14" s="1"/>
  <c r="N495" i="14"/>
  <c r="M495" i="14" s="1"/>
  <c r="J495" i="14"/>
  <c r="L495" i="14" s="1"/>
  <c r="K495" i="14" s="1"/>
  <c r="I495" i="14"/>
  <c r="P494" i="14"/>
  <c r="O494" i="14" s="1"/>
  <c r="L494" i="14"/>
  <c r="K494" i="14" s="1"/>
  <c r="J494" i="14"/>
  <c r="I494" i="14"/>
  <c r="P493" i="14"/>
  <c r="O493" i="14" s="1"/>
  <c r="N493" i="14"/>
  <c r="M493" i="14"/>
  <c r="L493" i="14"/>
  <c r="K493" i="14" s="1"/>
  <c r="J493" i="14"/>
  <c r="I493" i="14"/>
  <c r="P492" i="14"/>
  <c r="O492" i="14" s="1"/>
  <c r="N492" i="14"/>
  <c r="M492" i="14" s="1"/>
  <c r="L492" i="14"/>
  <c r="K492" i="14" s="1"/>
  <c r="J492" i="14"/>
  <c r="I492" i="14"/>
  <c r="J491" i="14"/>
  <c r="L491" i="14" s="1"/>
  <c r="K491" i="14" s="1"/>
  <c r="I491" i="14"/>
  <c r="J490" i="14"/>
  <c r="I490" i="14"/>
  <c r="J489" i="14"/>
  <c r="L489" i="14" s="1"/>
  <c r="K489" i="14" s="1"/>
  <c r="I489" i="14"/>
  <c r="P488" i="14"/>
  <c r="O488" i="14" s="1"/>
  <c r="N488" i="14"/>
  <c r="M488" i="14" s="1"/>
  <c r="L488" i="14"/>
  <c r="K488" i="14" s="1"/>
  <c r="J488" i="14"/>
  <c r="I488" i="14"/>
  <c r="P487" i="14"/>
  <c r="O487" i="14" s="1"/>
  <c r="N487" i="14"/>
  <c r="M487" i="14" s="1"/>
  <c r="L487" i="14"/>
  <c r="K487" i="14" s="1"/>
  <c r="J487" i="14"/>
  <c r="I487" i="14"/>
  <c r="P486" i="14"/>
  <c r="O486" i="14" s="1"/>
  <c r="N486" i="14"/>
  <c r="M486" i="14" s="1"/>
  <c r="L486" i="14"/>
  <c r="K486" i="14" s="1"/>
  <c r="J486" i="14"/>
  <c r="I486" i="14"/>
  <c r="P485" i="14"/>
  <c r="O485" i="14" s="1"/>
  <c r="N485" i="14"/>
  <c r="M485" i="14" s="1"/>
  <c r="L485" i="14"/>
  <c r="K485" i="14" s="1"/>
  <c r="J485" i="14"/>
  <c r="I485" i="14"/>
  <c r="J484" i="14"/>
  <c r="I484" i="14"/>
  <c r="P483" i="14"/>
  <c r="O483" i="14" s="1"/>
  <c r="N483" i="14"/>
  <c r="M483" i="14" s="1"/>
  <c r="J483" i="14"/>
  <c r="L483" i="14" s="1"/>
  <c r="K483" i="14" s="1"/>
  <c r="I483" i="14"/>
  <c r="J482" i="14"/>
  <c r="L482" i="14" s="1"/>
  <c r="K482" i="14" s="1"/>
  <c r="I482" i="14"/>
  <c r="J481" i="14"/>
  <c r="I481" i="14"/>
  <c r="P480" i="14"/>
  <c r="O480" i="14" s="1"/>
  <c r="N480" i="14"/>
  <c r="M480" i="14" s="1"/>
  <c r="L480" i="14"/>
  <c r="K480" i="14" s="1"/>
  <c r="J480" i="14"/>
  <c r="I480" i="14"/>
  <c r="P479" i="14"/>
  <c r="O479" i="14" s="1"/>
  <c r="N479" i="14"/>
  <c r="M479" i="14" s="1"/>
  <c r="L479" i="14"/>
  <c r="K479" i="14" s="1"/>
  <c r="J479" i="14"/>
  <c r="I479" i="14"/>
  <c r="P478" i="14"/>
  <c r="O478" i="14" s="1"/>
  <c r="L478" i="14"/>
  <c r="K478" i="14" s="1"/>
  <c r="J478" i="14"/>
  <c r="I478" i="14"/>
  <c r="P477" i="14"/>
  <c r="O477" i="14" s="1"/>
  <c r="N477" i="14"/>
  <c r="M477" i="14" s="1"/>
  <c r="L477" i="14"/>
  <c r="K477" i="14" s="1"/>
  <c r="J477" i="14"/>
  <c r="I477" i="14"/>
  <c r="P476" i="14"/>
  <c r="O476" i="14" s="1"/>
  <c r="N476" i="14"/>
  <c r="M476" i="14" s="1"/>
  <c r="J476" i="14"/>
  <c r="L476" i="14" s="1"/>
  <c r="K476" i="14" s="1"/>
  <c r="I476" i="14"/>
  <c r="P475" i="14"/>
  <c r="O475" i="14" s="1"/>
  <c r="L475" i="14"/>
  <c r="K475" i="14" s="1"/>
  <c r="J475" i="14"/>
  <c r="I475" i="14"/>
  <c r="P474" i="14"/>
  <c r="O474" i="14" s="1"/>
  <c r="N474" i="14"/>
  <c r="M474" i="14" s="1"/>
  <c r="L474" i="14"/>
  <c r="K474" i="14" s="1"/>
  <c r="J474" i="14"/>
  <c r="I474" i="14"/>
  <c r="P473" i="14"/>
  <c r="O473" i="14" s="1"/>
  <c r="N473" i="14"/>
  <c r="M473" i="14" s="1"/>
  <c r="L473" i="14"/>
  <c r="K473" i="14" s="1"/>
  <c r="J473" i="14"/>
  <c r="I473" i="14"/>
  <c r="P472" i="14"/>
  <c r="O472" i="14" s="1"/>
  <c r="N472" i="14"/>
  <c r="M472" i="14"/>
  <c r="L472" i="14"/>
  <c r="K472" i="14" s="1"/>
  <c r="J472" i="14"/>
  <c r="I472" i="14"/>
  <c r="P471" i="14"/>
  <c r="O471" i="14" s="1"/>
  <c r="N471" i="14"/>
  <c r="M471" i="14" s="1"/>
  <c r="J471" i="14"/>
  <c r="L471" i="14" s="1"/>
  <c r="K471" i="14" s="1"/>
  <c r="I471" i="14"/>
  <c r="J470" i="14"/>
  <c r="L470" i="14" s="1"/>
  <c r="K470" i="14" s="1"/>
  <c r="I470" i="14"/>
  <c r="P469" i="14"/>
  <c r="O469" i="14" s="1"/>
  <c r="N469" i="14"/>
  <c r="M469" i="14" s="1"/>
  <c r="L469" i="14"/>
  <c r="K469" i="14" s="1"/>
  <c r="J469" i="14"/>
  <c r="I469" i="14"/>
  <c r="P468" i="14"/>
  <c r="O468" i="14" s="1"/>
  <c r="N468" i="14"/>
  <c r="M468" i="14" s="1"/>
  <c r="J468" i="14"/>
  <c r="L468" i="14" s="1"/>
  <c r="K468" i="14" s="1"/>
  <c r="I468" i="14"/>
  <c r="P467" i="14"/>
  <c r="O467" i="14" s="1"/>
  <c r="N467" i="14"/>
  <c r="M467" i="14" s="1"/>
  <c r="L467" i="14"/>
  <c r="K467" i="14" s="1"/>
  <c r="J467" i="14"/>
  <c r="I467" i="14"/>
  <c r="P466" i="14"/>
  <c r="O466" i="14" s="1"/>
  <c r="N466" i="14"/>
  <c r="M466" i="14" s="1"/>
  <c r="L466" i="14"/>
  <c r="K466" i="14" s="1"/>
  <c r="J466" i="14"/>
  <c r="I466" i="14"/>
  <c r="P465" i="14"/>
  <c r="O465" i="14" s="1"/>
  <c r="L465" i="14"/>
  <c r="K465" i="14" s="1"/>
  <c r="J465" i="14"/>
  <c r="I465" i="14"/>
  <c r="P464" i="14"/>
  <c r="O464" i="14" s="1"/>
  <c r="N464" i="14"/>
  <c r="M464" i="14" s="1"/>
  <c r="L464" i="14"/>
  <c r="K464" i="14" s="1"/>
  <c r="J464" i="14"/>
  <c r="I464" i="14"/>
  <c r="P463" i="14"/>
  <c r="O463" i="14" s="1"/>
  <c r="N463" i="14"/>
  <c r="M463" i="14" s="1"/>
  <c r="L463" i="14"/>
  <c r="K463" i="14" s="1"/>
  <c r="J463" i="14"/>
  <c r="I463" i="14"/>
  <c r="P462" i="14"/>
  <c r="O462" i="14" s="1"/>
  <c r="N462" i="14"/>
  <c r="M462" i="14" s="1"/>
  <c r="J462" i="14"/>
  <c r="L462" i="14" s="1"/>
  <c r="K462" i="14" s="1"/>
  <c r="I462" i="14"/>
  <c r="P461" i="14"/>
  <c r="O461" i="14" s="1"/>
  <c r="N461" i="14"/>
  <c r="M461" i="14" s="1"/>
  <c r="J461" i="14"/>
  <c r="L461" i="14" s="1"/>
  <c r="K461" i="14" s="1"/>
  <c r="I461" i="14"/>
  <c r="P460" i="14"/>
  <c r="O460" i="14" s="1"/>
  <c r="N460" i="14"/>
  <c r="M460" i="14" s="1"/>
  <c r="L460" i="14"/>
  <c r="K460" i="14" s="1"/>
  <c r="J460" i="14"/>
  <c r="I460" i="14"/>
  <c r="P459" i="14"/>
  <c r="O459" i="14" s="1"/>
  <c r="N459" i="14"/>
  <c r="M459" i="14" s="1"/>
  <c r="L459" i="14"/>
  <c r="K459" i="14" s="1"/>
  <c r="J459" i="14"/>
  <c r="I459" i="14"/>
  <c r="P458" i="14"/>
  <c r="O458" i="14" s="1"/>
  <c r="N458" i="14"/>
  <c r="M458" i="14" s="1"/>
  <c r="L458" i="14"/>
  <c r="K458" i="14" s="1"/>
  <c r="J458" i="14"/>
  <c r="I458" i="14"/>
  <c r="P457" i="14"/>
  <c r="O457" i="14" s="1"/>
  <c r="N457" i="14"/>
  <c r="M457" i="14" s="1"/>
  <c r="L457" i="14"/>
  <c r="K457" i="14" s="1"/>
  <c r="J457" i="14"/>
  <c r="I457" i="14"/>
  <c r="J456" i="14"/>
  <c r="I456" i="14"/>
  <c r="P455" i="14"/>
  <c r="O455" i="14" s="1"/>
  <c r="N455" i="14"/>
  <c r="M455" i="14" s="1"/>
  <c r="L455" i="14"/>
  <c r="K455" i="14" s="1"/>
  <c r="J455" i="14"/>
  <c r="I455" i="14"/>
  <c r="J454" i="14"/>
  <c r="L454" i="14" s="1"/>
  <c r="I454" i="14"/>
  <c r="P453" i="14"/>
  <c r="O453" i="14" s="1"/>
  <c r="N453" i="14"/>
  <c r="M453" i="14" s="1"/>
  <c r="J453" i="14"/>
  <c r="L453" i="14" s="1"/>
  <c r="K453" i="14" s="1"/>
  <c r="I453" i="14"/>
  <c r="P452" i="14"/>
  <c r="O452" i="14" s="1"/>
  <c r="N452" i="14"/>
  <c r="M452" i="14" s="1"/>
  <c r="J452" i="14"/>
  <c r="L452" i="14" s="1"/>
  <c r="K452" i="14" s="1"/>
  <c r="I452" i="14"/>
  <c r="P451" i="14"/>
  <c r="O451" i="14" s="1"/>
  <c r="N451" i="14"/>
  <c r="M451" i="14" s="1"/>
  <c r="L451" i="14"/>
  <c r="K451" i="14" s="1"/>
  <c r="J451" i="14"/>
  <c r="I451" i="14"/>
  <c r="P450" i="14"/>
  <c r="O450" i="14" s="1"/>
  <c r="L450" i="14"/>
  <c r="K450" i="14" s="1"/>
  <c r="J450" i="14"/>
  <c r="I450" i="14"/>
  <c r="P449" i="14"/>
  <c r="O449" i="14" s="1"/>
  <c r="N449" i="14"/>
  <c r="M449" i="14" s="1"/>
  <c r="L449" i="14"/>
  <c r="K449" i="14" s="1"/>
  <c r="J449" i="14"/>
  <c r="I449" i="14"/>
  <c r="P448" i="14"/>
  <c r="O448" i="14" s="1"/>
  <c r="N448" i="14"/>
  <c r="M448" i="14" s="1"/>
  <c r="L448" i="14"/>
  <c r="K448" i="14" s="1"/>
  <c r="J448" i="14"/>
  <c r="I448" i="14"/>
  <c r="P447" i="14"/>
  <c r="O447" i="14" s="1"/>
  <c r="N447" i="14"/>
  <c r="M447" i="14" s="1"/>
  <c r="L447" i="14"/>
  <c r="K447" i="14" s="1"/>
  <c r="J447" i="14"/>
  <c r="I447" i="14"/>
  <c r="P446" i="14"/>
  <c r="O446" i="14" s="1"/>
  <c r="N446" i="14"/>
  <c r="M446" i="14" s="1"/>
  <c r="L446" i="14"/>
  <c r="K446" i="14" s="1"/>
  <c r="J446" i="14"/>
  <c r="I446" i="14"/>
  <c r="J445" i="14"/>
  <c r="I445" i="14"/>
  <c r="P444" i="14"/>
  <c r="O444" i="14" s="1"/>
  <c r="N444" i="14"/>
  <c r="M444" i="14" s="1"/>
  <c r="J444" i="14"/>
  <c r="L444" i="14" s="1"/>
  <c r="K444" i="14" s="1"/>
  <c r="I444" i="14"/>
  <c r="P443" i="14"/>
  <c r="O443" i="14" s="1"/>
  <c r="N443" i="14"/>
  <c r="M443" i="14" s="1"/>
  <c r="L443" i="14"/>
  <c r="K443" i="14" s="1"/>
  <c r="J443" i="14"/>
  <c r="I443" i="14"/>
  <c r="P442" i="14"/>
  <c r="O442" i="14" s="1"/>
  <c r="N442" i="14"/>
  <c r="M442" i="14" s="1"/>
  <c r="L442" i="14"/>
  <c r="K442" i="14" s="1"/>
  <c r="J442" i="14"/>
  <c r="I442" i="14"/>
  <c r="J441" i="14"/>
  <c r="L441" i="14" s="1"/>
  <c r="K441" i="14" s="1"/>
  <c r="I441" i="14"/>
  <c r="P440" i="14"/>
  <c r="O440" i="14" s="1"/>
  <c r="N440" i="14"/>
  <c r="M440" i="14" s="1"/>
  <c r="J440" i="14"/>
  <c r="L440" i="14" s="1"/>
  <c r="K440" i="14" s="1"/>
  <c r="I440" i="14"/>
  <c r="P439" i="14"/>
  <c r="O439" i="14" s="1"/>
  <c r="L439" i="14"/>
  <c r="K439" i="14" s="1"/>
  <c r="J439" i="14"/>
  <c r="I439" i="14"/>
  <c r="P438" i="14"/>
  <c r="O438" i="14" s="1"/>
  <c r="L438" i="14"/>
  <c r="K438" i="14" s="1"/>
  <c r="J438" i="14"/>
  <c r="I438" i="14"/>
  <c r="P437" i="14"/>
  <c r="O437" i="14" s="1"/>
  <c r="L437" i="14"/>
  <c r="K437" i="14" s="1"/>
  <c r="J437" i="14"/>
  <c r="I437" i="14"/>
  <c r="P436" i="14"/>
  <c r="O436" i="14" s="1"/>
  <c r="L436" i="14"/>
  <c r="K436" i="14" s="1"/>
  <c r="J436" i="14"/>
  <c r="I436" i="14"/>
  <c r="P435" i="14"/>
  <c r="O435" i="14" s="1"/>
  <c r="N435" i="14"/>
  <c r="M435" i="14" s="1"/>
  <c r="L435" i="14"/>
  <c r="K435" i="14" s="1"/>
  <c r="J435" i="14"/>
  <c r="I435" i="14"/>
  <c r="J434" i="14"/>
  <c r="I434" i="14"/>
  <c r="P433" i="14"/>
  <c r="O433" i="14" s="1"/>
  <c r="N433" i="14"/>
  <c r="M433" i="14" s="1"/>
  <c r="L433" i="14"/>
  <c r="K433" i="14" s="1"/>
  <c r="J433" i="14"/>
  <c r="I433" i="14"/>
  <c r="J432" i="14"/>
  <c r="I432" i="14"/>
  <c r="P431" i="14"/>
  <c r="O431" i="14" s="1"/>
  <c r="N431" i="14"/>
  <c r="M431" i="14" s="1"/>
  <c r="L431" i="14"/>
  <c r="K431" i="14" s="1"/>
  <c r="J431" i="14"/>
  <c r="I431" i="14"/>
  <c r="J430" i="14"/>
  <c r="I430" i="14"/>
  <c r="P429" i="14"/>
  <c r="O429" i="14" s="1"/>
  <c r="N429" i="14"/>
  <c r="M429" i="14" s="1"/>
  <c r="L429" i="14"/>
  <c r="K429" i="14" s="1"/>
  <c r="J429" i="14"/>
  <c r="I429" i="14"/>
  <c r="P428" i="14"/>
  <c r="O428" i="14" s="1"/>
  <c r="L428" i="14"/>
  <c r="K428" i="14" s="1"/>
  <c r="J428" i="14"/>
  <c r="I428" i="14"/>
  <c r="P427" i="14"/>
  <c r="O427" i="14" s="1"/>
  <c r="L427" i="14"/>
  <c r="K427" i="14" s="1"/>
  <c r="J427" i="14"/>
  <c r="I427" i="14"/>
  <c r="P426" i="14"/>
  <c r="O426" i="14" s="1"/>
  <c r="N426" i="14"/>
  <c r="M426" i="14" s="1"/>
  <c r="J426" i="14"/>
  <c r="L426" i="14" s="1"/>
  <c r="K426" i="14" s="1"/>
  <c r="I426" i="14"/>
  <c r="J425" i="14"/>
  <c r="I425" i="14"/>
  <c r="P424" i="14"/>
  <c r="O424" i="14" s="1"/>
  <c r="N424" i="14"/>
  <c r="M424" i="14" s="1"/>
  <c r="J424" i="14"/>
  <c r="L424" i="14" s="1"/>
  <c r="K424" i="14" s="1"/>
  <c r="I424" i="14"/>
  <c r="P423" i="14"/>
  <c r="O423" i="14" s="1"/>
  <c r="N423" i="14"/>
  <c r="M423" i="14" s="1"/>
  <c r="L423" i="14"/>
  <c r="K423" i="14" s="1"/>
  <c r="J423" i="14"/>
  <c r="I423" i="14"/>
  <c r="P422" i="14"/>
  <c r="O422" i="14" s="1"/>
  <c r="N422" i="14"/>
  <c r="M422" i="14" s="1"/>
  <c r="L422" i="14"/>
  <c r="K422" i="14" s="1"/>
  <c r="J422" i="14"/>
  <c r="I422" i="14"/>
  <c r="J421" i="14"/>
  <c r="L421" i="14" s="1"/>
  <c r="K421" i="14" s="1"/>
  <c r="I421" i="14"/>
  <c r="J420" i="14"/>
  <c r="I420" i="14"/>
  <c r="J419" i="14"/>
  <c r="L419" i="14" s="1"/>
  <c r="K419" i="14" s="1"/>
  <c r="I419" i="14"/>
  <c r="J418" i="14"/>
  <c r="L418" i="14" s="1"/>
  <c r="I418" i="14"/>
  <c r="P417" i="14"/>
  <c r="O417" i="14" s="1"/>
  <c r="N417" i="14"/>
  <c r="M417" i="14" s="1"/>
  <c r="J417" i="14"/>
  <c r="L417" i="14" s="1"/>
  <c r="K417" i="14" s="1"/>
  <c r="I417" i="14"/>
  <c r="P416" i="14"/>
  <c r="O416" i="14" s="1"/>
  <c r="N416" i="14"/>
  <c r="M416" i="14" s="1"/>
  <c r="L416" i="14"/>
  <c r="K416" i="14" s="1"/>
  <c r="J416" i="14"/>
  <c r="I416" i="14"/>
  <c r="P415" i="14"/>
  <c r="O415" i="14" s="1"/>
  <c r="N415" i="14"/>
  <c r="M415" i="14" s="1"/>
  <c r="L415" i="14"/>
  <c r="K415" i="14" s="1"/>
  <c r="J415" i="14"/>
  <c r="I415" i="14"/>
  <c r="P414" i="14"/>
  <c r="O414" i="14" s="1"/>
  <c r="N414" i="14"/>
  <c r="M414" i="14" s="1"/>
  <c r="J414" i="14"/>
  <c r="L414" i="14" s="1"/>
  <c r="K414" i="14" s="1"/>
  <c r="I414" i="14"/>
  <c r="P413" i="14"/>
  <c r="O413" i="14" s="1"/>
  <c r="N413" i="14"/>
  <c r="M413" i="14" s="1"/>
  <c r="L413" i="14"/>
  <c r="K413" i="14" s="1"/>
  <c r="J413" i="14"/>
  <c r="I413" i="14"/>
  <c r="P412" i="14"/>
  <c r="O412" i="14" s="1"/>
  <c r="N412" i="14"/>
  <c r="M412" i="14" s="1"/>
  <c r="L412" i="14"/>
  <c r="K412" i="14" s="1"/>
  <c r="J412" i="14"/>
  <c r="I412" i="14"/>
  <c r="J411" i="14"/>
  <c r="L411" i="14" s="1"/>
  <c r="I411" i="14"/>
  <c r="P410" i="14"/>
  <c r="O410" i="14" s="1"/>
  <c r="N410" i="14"/>
  <c r="M410" i="14" s="1"/>
  <c r="J410" i="14"/>
  <c r="L410" i="14" s="1"/>
  <c r="K410" i="14" s="1"/>
  <c r="I410" i="14"/>
  <c r="P409" i="14"/>
  <c r="O409" i="14" s="1"/>
  <c r="N409" i="14"/>
  <c r="M409" i="14" s="1"/>
  <c r="J409" i="14"/>
  <c r="L409" i="14" s="1"/>
  <c r="K409" i="14" s="1"/>
  <c r="I409" i="14"/>
  <c r="P408" i="14"/>
  <c r="O408" i="14" s="1"/>
  <c r="N408" i="14"/>
  <c r="M408" i="14" s="1"/>
  <c r="L408" i="14"/>
  <c r="K408" i="14" s="1"/>
  <c r="J408" i="14"/>
  <c r="I408" i="14"/>
  <c r="P407" i="14"/>
  <c r="O407" i="14" s="1"/>
  <c r="N407" i="14"/>
  <c r="M407" i="14" s="1"/>
  <c r="L407" i="14"/>
  <c r="K407" i="14" s="1"/>
  <c r="J407" i="14"/>
  <c r="I407" i="14"/>
  <c r="P406" i="14"/>
  <c r="O406" i="14" s="1"/>
  <c r="N406" i="14"/>
  <c r="M406" i="14" s="1"/>
  <c r="L406" i="14"/>
  <c r="K406" i="14" s="1"/>
  <c r="J406" i="14"/>
  <c r="I406" i="14"/>
  <c r="J405" i="14"/>
  <c r="L405" i="14" s="1"/>
  <c r="I405" i="14"/>
  <c r="P404" i="14"/>
  <c r="O404" i="14" s="1"/>
  <c r="N404" i="14"/>
  <c r="M404" i="14" s="1"/>
  <c r="L404" i="14"/>
  <c r="K404" i="14" s="1"/>
  <c r="J404" i="14"/>
  <c r="I404" i="14"/>
  <c r="P403" i="14"/>
  <c r="O403" i="14" s="1"/>
  <c r="N403" i="14"/>
  <c r="M403" i="14" s="1"/>
  <c r="L403" i="14"/>
  <c r="K403" i="14" s="1"/>
  <c r="J403" i="14"/>
  <c r="I403" i="14"/>
  <c r="P402" i="14"/>
  <c r="O402" i="14" s="1"/>
  <c r="N402" i="14"/>
  <c r="M402" i="14" s="1"/>
  <c r="L402" i="14"/>
  <c r="K402" i="14" s="1"/>
  <c r="J402" i="14"/>
  <c r="I402" i="14"/>
  <c r="P401" i="14"/>
  <c r="O401" i="14" s="1"/>
  <c r="L401" i="14"/>
  <c r="K401" i="14" s="1"/>
  <c r="J401" i="14"/>
  <c r="I401" i="14"/>
  <c r="P400" i="14"/>
  <c r="O400" i="14" s="1"/>
  <c r="L400" i="14"/>
  <c r="K400" i="14" s="1"/>
  <c r="J400" i="14"/>
  <c r="I400" i="14"/>
  <c r="P399" i="14"/>
  <c r="O399" i="14" s="1"/>
  <c r="N399" i="14"/>
  <c r="M399" i="14" s="1"/>
  <c r="L399" i="14"/>
  <c r="K399" i="14" s="1"/>
  <c r="J399" i="14"/>
  <c r="I399" i="14"/>
  <c r="P398" i="14"/>
  <c r="O398" i="14" s="1"/>
  <c r="N398" i="14"/>
  <c r="M398" i="14" s="1"/>
  <c r="J398" i="14"/>
  <c r="L398" i="14" s="1"/>
  <c r="K398" i="14" s="1"/>
  <c r="I398" i="14"/>
  <c r="P397" i="14"/>
  <c r="O397" i="14" s="1"/>
  <c r="N397" i="14"/>
  <c r="M397" i="14" s="1"/>
  <c r="J397" i="14"/>
  <c r="L397" i="14" s="1"/>
  <c r="K397" i="14" s="1"/>
  <c r="I397" i="14"/>
  <c r="J396" i="14"/>
  <c r="L396" i="14" s="1"/>
  <c r="K396" i="14" s="1"/>
  <c r="I396" i="14"/>
  <c r="J395" i="14"/>
  <c r="L395" i="14" s="1"/>
  <c r="I395" i="14"/>
  <c r="P394" i="14"/>
  <c r="O394" i="14" s="1"/>
  <c r="L394" i="14"/>
  <c r="J394" i="14"/>
  <c r="I394" i="14"/>
  <c r="P393" i="14"/>
  <c r="O393" i="14" s="1"/>
  <c r="N393" i="14"/>
  <c r="M393" i="14" s="1"/>
  <c r="J393" i="14"/>
  <c r="L393" i="14" s="1"/>
  <c r="K393" i="14" s="1"/>
  <c r="I393" i="14"/>
  <c r="P392" i="14"/>
  <c r="O392" i="14" s="1"/>
  <c r="L392" i="14"/>
  <c r="K392" i="14" s="1"/>
  <c r="J392" i="14"/>
  <c r="I392" i="14"/>
  <c r="P391" i="14"/>
  <c r="O391" i="14" s="1"/>
  <c r="L391" i="14"/>
  <c r="J391" i="14"/>
  <c r="I391" i="14"/>
  <c r="J390" i="14"/>
  <c r="L390" i="14" s="1"/>
  <c r="K390" i="14" s="1"/>
  <c r="I390" i="14"/>
  <c r="P389" i="14"/>
  <c r="O389" i="14" s="1"/>
  <c r="N389" i="14"/>
  <c r="M389" i="14" s="1"/>
  <c r="L389" i="14"/>
  <c r="K389" i="14" s="1"/>
  <c r="J389" i="14"/>
  <c r="I389" i="14"/>
  <c r="P388" i="14"/>
  <c r="O388" i="14" s="1"/>
  <c r="N388" i="14"/>
  <c r="M388" i="14" s="1"/>
  <c r="J388" i="14"/>
  <c r="L388" i="14" s="1"/>
  <c r="K388" i="14" s="1"/>
  <c r="I388" i="14"/>
  <c r="P387" i="14"/>
  <c r="O387" i="14" s="1"/>
  <c r="N387" i="14"/>
  <c r="M387" i="14" s="1"/>
  <c r="L387" i="14"/>
  <c r="K387" i="14" s="1"/>
  <c r="J387" i="14"/>
  <c r="I387" i="14"/>
  <c r="P386" i="14"/>
  <c r="O386" i="14" s="1"/>
  <c r="L386" i="14"/>
  <c r="K386" i="14" s="1"/>
  <c r="J386" i="14"/>
  <c r="I386" i="14"/>
  <c r="J385" i="14"/>
  <c r="L385" i="14" s="1"/>
  <c r="I385" i="14"/>
  <c r="P384" i="14"/>
  <c r="O384" i="14" s="1"/>
  <c r="N384" i="14"/>
  <c r="M384" i="14" s="1"/>
  <c r="L384" i="14"/>
  <c r="K384" i="14" s="1"/>
  <c r="J384" i="14"/>
  <c r="I384" i="14"/>
  <c r="P383" i="14"/>
  <c r="O383" i="14" s="1"/>
  <c r="L383" i="14"/>
  <c r="J383" i="14"/>
  <c r="I383" i="14"/>
  <c r="P382" i="14"/>
  <c r="O382" i="14" s="1"/>
  <c r="N382" i="14"/>
  <c r="M382" i="14" s="1"/>
  <c r="L382" i="14"/>
  <c r="K382" i="14" s="1"/>
  <c r="J382" i="14"/>
  <c r="I382" i="14"/>
  <c r="P381" i="14"/>
  <c r="O381" i="14" s="1"/>
  <c r="N381" i="14"/>
  <c r="M381" i="14" s="1"/>
  <c r="L381" i="14"/>
  <c r="K381" i="14" s="1"/>
  <c r="J381" i="14"/>
  <c r="I381" i="14"/>
  <c r="P380" i="14"/>
  <c r="O380" i="14" s="1"/>
  <c r="L380" i="14"/>
  <c r="K380" i="14" s="1"/>
  <c r="J380" i="14"/>
  <c r="I380" i="14"/>
  <c r="P379" i="14"/>
  <c r="O379" i="14" s="1"/>
  <c r="N379" i="14"/>
  <c r="M379" i="14" s="1"/>
  <c r="L379" i="14"/>
  <c r="K379" i="14" s="1"/>
  <c r="J379" i="14"/>
  <c r="I379" i="14"/>
  <c r="P378" i="14"/>
  <c r="O378" i="14" s="1"/>
  <c r="N378" i="14"/>
  <c r="M378" i="14" s="1"/>
  <c r="J378" i="14"/>
  <c r="L378" i="14" s="1"/>
  <c r="K378" i="14" s="1"/>
  <c r="I378" i="14"/>
  <c r="J377" i="14"/>
  <c r="L377" i="14" s="1"/>
  <c r="I377" i="14"/>
  <c r="P376" i="14"/>
  <c r="O376" i="14" s="1"/>
  <c r="N376" i="14"/>
  <c r="M376" i="14" s="1"/>
  <c r="L376" i="14"/>
  <c r="K376" i="14" s="1"/>
  <c r="J376" i="14"/>
  <c r="I376" i="14"/>
  <c r="P375" i="14"/>
  <c r="O375" i="14" s="1"/>
  <c r="N375" i="14"/>
  <c r="M375" i="14" s="1"/>
  <c r="L375" i="14"/>
  <c r="K375" i="14" s="1"/>
  <c r="J375" i="14"/>
  <c r="I375" i="14"/>
  <c r="P374" i="14"/>
  <c r="O374" i="14" s="1"/>
  <c r="N374" i="14"/>
  <c r="M374" i="14" s="1"/>
  <c r="L374" i="14"/>
  <c r="K374" i="14" s="1"/>
  <c r="J374" i="14"/>
  <c r="I374" i="14"/>
  <c r="J373" i="14"/>
  <c r="L373" i="14" s="1"/>
  <c r="I373" i="14"/>
  <c r="P372" i="14"/>
  <c r="O372" i="14" s="1"/>
  <c r="N372" i="14"/>
  <c r="M372" i="14" s="1"/>
  <c r="L372" i="14"/>
  <c r="K372" i="14" s="1"/>
  <c r="J372" i="14"/>
  <c r="I372" i="14"/>
  <c r="P371" i="14"/>
  <c r="O371" i="14" s="1"/>
  <c r="N371" i="14"/>
  <c r="M371" i="14" s="1"/>
  <c r="L371" i="14"/>
  <c r="K371" i="14" s="1"/>
  <c r="J371" i="14"/>
  <c r="I371" i="14"/>
  <c r="P370" i="14"/>
  <c r="O370" i="14" s="1"/>
  <c r="L370" i="14"/>
  <c r="K370" i="14" s="1"/>
  <c r="J370" i="14"/>
  <c r="I370" i="14"/>
  <c r="P369" i="14"/>
  <c r="O369" i="14" s="1"/>
  <c r="N369" i="14"/>
  <c r="M369" i="14" s="1"/>
  <c r="J369" i="14"/>
  <c r="L369" i="14" s="1"/>
  <c r="K369" i="14" s="1"/>
  <c r="I369" i="14"/>
  <c r="P368" i="14"/>
  <c r="O368" i="14" s="1"/>
  <c r="N368" i="14"/>
  <c r="M368" i="14" s="1"/>
  <c r="L368" i="14"/>
  <c r="K368" i="14" s="1"/>
  <c r="J368" i="14"/>
  <c r="I368" i="14"/>
  <c r="P367" i="14"/>
  <c r="O367" i="14" s="1"/>
  <c r="N367" i="14"/>
  <c r="M367" i="14" s="1"/>
  <c r="L367" i="14"/>
  <c r="K367" i="14" s="1"/>
  <c r="J367" i="14"/>
  <c r="I367" i="14"/>
  <c r="J366" i="14"/>
  <c r="L366" i="14" s="1"/>
  <c r="K366" i="14" s="1"/>
  <c r="I366" i="14"/>
  <c r="J365" i="14"/>
  <c r="L365" i="14" s="1"/>
  <c r="I365" i="14"/>
  <c r="P364" i="14"/>
  <c r="O364" i="14" s="1"/>
  <c r="L364" i="14"/>
  <c r="K364" i="14" s="1"/>
  <c r="J364" i="14"/>
  <c r="I364" i="14"/>
  <c r="J363" i="14"/>
  <c r="L363" i="14" s="1"/>
  <c r="I363" i="14"/>
  <c r="P362" i="14"/>
  <c r="O362" i="14" s="1"/>
  <c r="N362" i="14"/>
  <c r="M362" i="14" s="1"/>
  <c r="J362" i="14"/>
  <c r="L362" i="14" s="1"/>
  <c r="K362" i="14" s="1"/>
  <c r="I362" i="14"/>
  <c r="P361" i="14"/>
  <c r="O361" i="14" s="1"/>
  <c r="N361" i="14"/>
  <c r="M361" i="14" s="1"/>
  <c r="L361" i="14"/>
  <c r="K361" i="14" s="1"/>
  <c r="J361" i="14"/>
  <c r="I361" i="14"/>
  <c r="P360" i="14"/>
  <c r="O360" i="14" s="1"/>
  <c r="N360" i="14"/>
  <c r="M360" i="14" s="1"/>
  <c r="J360" i="14"/>
  <c r="L360" i="14" s="1"/>
  <c r="K360" i="14" s="1"/>
  <c r="I360" i="14"/>
  <c r="P359" i="14"/>
  <c r="O359" i="14" s="1"/>
  <c r="N359" i="14"/>
  <c r="M359" i="14" s="1"/>
  <c r="J359" i="14"/>
  <c r="L359" i="14" s="1"/>
  <c r="K359" i="14" s="1"/>
  <c r="I359" i="14"/>
  <c r="P358" i="14"/>
  <c r="O358" i="14" s="1"/>
  <c r="N358" i="14"/>
  <c r="M358" i="14" s="1"/>
  <c r="L358" i="14"/>
  <c r="K358" i="14" s="1"/>
  <c r="J358" i="14"/>
  <c r="I358" i="14"/>
  <c r="P357" i="14"/>
  <c r="O357" i="14" s="1"/>
  <c r="N357" i="14"/>
  <c r="M357" i="14" s="1"/>
  <c r="L357" i="14"/>
  <c r="K357" i="14" s="1"/>
  <c r="J357" i="14"/>
  <c r="I357" i="14"/>
  <c r="P356" i="14"/>
  <c r="O356" i="14" s="1"/>
  <c r="N356" i="14"/>
  <c r="M356" i="14" s="1"/>
  <c r="L356" i="14"/>
  <c r="K356" i="14" s="1"/>
  <c r="J356" i="14"/>
  <c r="I356" i="14"/>
  <c r="P355" i="14"/>
  <c r="O355" i="14" s="1"/>
  <c r="L355" i="14"/>
  <c r="J355" i="14"/>
  <c r="I355" i="14"/>
  <c r="P354" i="14"/>
  <c r="O354" i="14" s="1"/>
  <c r="N354" i="14"/>
  <c r="M354" i="14" s="1"/>
  <c r="L354" i="14"/>
  <c r="K354" i="14" s="1"/>
  <c r="J354" i="14"/>
  <c r="I354" i="14"/>
  <c r="P353" i="14"/>
  <c r="O353" i="14" s="1"/>
  <c r="N353" i="14"/>
  <c r="M353" i="14" s="1"/>
  <c r="L353" i="14"/>
  <c r="K353" i="14" s="1"/>
  <c r="J353" i="14"/>
  <c r="I353" i="14"/>
  <c r="P352" i="14"/>
  <c r="O352" i="14" s="1"/>
  <c r="N352" i="14"/>
  <c r="M352" i="14" s="1"/>
  <c r="J352" i="14"/>
  <c r="L352" i="14" s="1"/>
  <c r="K352" i="14" s="1"/>
  <c r="I352" i="14"/>
  <c r="P351" i="14"/>
  <c r="O351" i="14" s="1"/>
  <c r="N351" i="14"/>
  <c r="M351" i="14" s="1"/>
  <c r="L351" i="14"/>
  <c r="K351" i="14" s="1"/>
  <c r="J351" i="14"/>
  <c r="I351" i="14"/>
  <c r="P350" i="14"/>
  <c r="O350" i="14" s="1"/>
  <c r="N350" i="14"/>
  <c r="M350" i="14" s="1"/>
  <c r="J350" i="14"/>
  <c r="L350" i="14" s="1"/>
  <c r="K350" i="14" s="1"/>
  <c r="I350" i="14"/>
  <c r="P349" i="14"/>
  <c r="O349" i="14" s="1"/>
  <c r="N349" i="14"/>
  <c r="M349" i="14" s="1"/>
  <c r="L349" i="14"/>
  <c r="K349" i="14" s="1"/>
  <c r="J349" i="14"/>
  <c r="I349" i="14"/>
  <c r="P348" i="14"/>
  <c r="O348" i="14" s="1"/>
  <c r="N348" i="14"/>
  <c r="M348" i="14" s="1"/>
  <c r="J348" i="14"/>
  <c r="L348" i="14" s="1"/>
  <c r="K348" i="14" s="1"/>
  <c r="I348" i="14"/>
  <c r="P347" i="14"/>
  <c r="O347" i="14" s="1"/>
  <c r="N347" i="14"/>
  <c r="M347" i="14" s="1"/>
  <c r="J347" i="14"/>
  <c r="L347" i="14" s="1"/>
  <c r="K347" i="14" s="1"/>
  <c r="I347" i="14"/>
  <c r="P346" i="14"/>
  <c r="O346" i="14" s="1"/>
  <c r="N346" i="14"/>
  <c r="M346" i="14" s="1"/>
  <c r="L346" i="14"/>
  <c r="K346" i="14" s="1"/>
  <c r="J346" i="14"/>
  <c r="I346" i="14"/>
  <c r="P345" i="14"/>
  <c r="O345" i="14" s="1"/>
  <c r="N345" i="14"/>
  <c r="M345" i="14" s="1"/>
  <c r="J345" i="14"/>
  <c r="L345" i="14" s="1"/>
  <c r="K345" i="14" s="1"/>
  <c r="I345" i="14"/>
  <c r="P344" i="14"/>
  <c r="O344" i="14" s="1"/>
  <c r="N344" i="14"/>
  <c r="M344" i="14" s="1"/>
  <c r="L344" i="14"/>
  <c r="K344" i="14" s="1"/>
  <c r="J344" i="14"/>
  <c r="I344" i="14"/>
  <c r="P343" i="14"/>
  <c r="O343" i="14" s="1"/>
  <c r="L343" i="14"/>
  <c r="J343" i="14"/>
  <c r="I343" i="14"/>
  <c r="J342" i="14"/>
  <c r="I342" i="14"/>
  <c r="P341" i="14"/>
  <c r="O341" i="14" s="1"/>
  <c r="N341" i="14"/>
  <c r="M341" i="14" s="1"/>
  <c r="L341" i="14"/>
  <c r="K341" i="14" s="1"/>
  <c r="J341" i="14"/>
  <c r="I341" i="14"/>
  <c r="P340" i="14"/>
  <c r="O340" i="14" s="1"/>
  <c r="N340" i="14"/>
  <c r="M340" i="14" s="1"/>
  <c r="L340" i="14"/>
  <c r="K340" i="14" s="1"/>
  <c r="J340" i="14"/>
  <c r="I340" i="14"/>
  <c r="P339" i="14"/>
  <c r="O339" i="14" s="1"/>
  <c r="N339" i="14"/>
  <c r="M339" i="14" s="1"/>
  <c r="J339" i="14"/>
  <c r="L339" i="14" s="1"/>
  <c r="K339" i="14" s="1"/>
  <c r="I339" i="14"/>
  <c r="P338" i="14"/>
  <c r="O338" i="14" s="1"/>
  <c r="L338" i="14"/>
  <c r="K338" i="14" s="1"/>
  <c r="J338" i="14"/>
  <c r="I338" i="14"/>
  <c r="P337" i="14"/>
  <c r="O337" i="14" s="1"/>
  <c r="N337" i="14"/>
  <c r="M337" i="14" s="1"/>
  <c r="J337" i="14"/>
  <c r="L337" i="14" s="1"/>
  <c r="K337" i="14" s="1"/>
  <c r="I337" i="14"/>
  <c r="P336" i="14"/>
  <c r="O336" i="14" s="1"/>
  <c r="N336" i="14"/>
  <c r="M336" i="14" s="1"/>
  <c r="J336" i="14"/>
  <c r="L336" i="14" s="1"/>
  <c r="K336" i="14" s="1"/>
  <c r="I336" i="14"/>
  <c r="J335" i="14"/>
  <c r="I335" i="14"/>
  <c r="P334" i="14"/>
  <c r="O334" i="14" s="1"/>
  <c r="N334" i="14"/>
  <c r="M334" i="14" s="1"/>
  <c r="L334" i="14"/>
  <c r="K334" i="14" s="1"/>
  <c r="J334" i="14"/>
  <c r="I334" i="14"/>
  <c r="P333" i="14"/>
  <c r="O333" i="14" s="1"/>
  <c r="N333" i="14"/>
  <c r="M333" i="14" s="1"/>
  <c r="L333" i="14"/>
  <c r="K333" i="14" s="1"/>
  <c r="J333" i="14"/>
  <c r="I333" i="14"/>
  <c r="P332" i="14"/>
  <c r="O332" i="14" s="1"/>
  <c r="N332" i="14"/>
  <c r="M332" i="14" s="1"/>
  <c r="J332" i="14"/>
  <c r="L332" i="14" s="1"/>
  <c r="K332" i="14" s="1"/>
  <c r="I332" i="14"/>
  <c r="P331" i="14"/>
  <c r="O331" i="14" s="1"/>
  <c r="N331" i="14"/>
  <c r="M331" i="14" s="1"/>
  <c r="L331" i="14"/>
  <c r="K331" i="14" s="1"/>
  <c r="J331" i="14"/>
  <c r="I331" i="14"/>
  <c r="P330" i="14"/>
  <c r="O330" i="14" s="1"/>
  <c r="L330" i="14"/>
  <c r="K330" i="14" s="1"/>
  <c r="J330" i="14"/>
  <c r="I330" i="14"/>
  <c r="P329" i="14"/>
  <c r="O329" i="14" s="1"/>
  <c r="L329" i="14"/>
  <c r="K329" i="14" s="1"/>
  <c r="J329" i="14"/>
  <c r="I329" i="14"/>
  <c r="P328" i="14"/>
  <c r="O328" i="14" s="1"/>
  <c r="N328" i="14"/>
  <c r="M328" i="14" s="1"/>
  <c r="L328" i="14"/>
  <c r="K328" i="14" s="1"/>
  <c r="J328" i="14"/>
  <c r="I328" i="14"/>
  <c r="P327" i="14"/>
  <c r="O327" i="14" s="1"/>
  <c r="L327" i="14"/>
  <c r="K327" i="14" s="1"/>
  <c r="J327" i="14"/>
  <c r="I327" i="14"/>
  <c r="P326" i="14"/>
  <c r="O326" i="14" s="1"/>
  <c r="N326" i="14"/>
  <c r="M326" i="14" s="1"/>
  <c r="L326" i="14"/>
  <c r="K326" i="14" s="1"/>
  <c r="J326" i="14"/>
  <c r="I326" i="14"/>
  <c r="P325" i="14"/>
  <c r="O325" i="14" s="1"/>
  <c r="N325" i="14"/>
  <c r="M325" i="14" s="1"/>
  <c r="L325" i="14"/>
  <c r="K325" i="14" s="1"/>
  <c r="J325" i="14"/>
  <c r="I325" i="14"/>
  <c r="P324" i="14"/>
  <c r="O324" i="14" s="1"/>
  <c r="L324" i="14"/>
  <c r="K324" i="14" s="1"/>
  <c r="J324" i="14"/>
  <c r="I324" i="14"/>
  <c r="P323" i="14"/>
  <c r="O323" i="14" s="1"/>
  <c r="L323" i="14"/>
  <c r="K323" i="14" s="1"/>
  <c r="J323" i="14"/>
  <c r="I323" i="14"/>
  <c r="P322" i="14"/>
  <c r="O322" i="14" s="1"/>
  <c r="N322" i="14"/>
  <c r="M322" i="14" s="1"/>
  <c r="J322" i="14"/>
  <c r="L322" i="14" s="1"/>
  <c r="K322" i="14" s="1"/>
  <c r="I322" i="14"/>
  <c r="P321" i="14"/>
  <c r="O321" i="14" s="1"/>
  <c r="N321" i="14"/>
  <c r="M321" i="14" s="1"/>
  <c r="L321" i="14"/>
  <c r="K321" i="14" s="1"/>
  <c r="J321" i="14"/>
  <c r="I321" i="14"/>
  <c r="P320" i="14"/>
  <c r="O320" i="14" s="1"/>
  <c r="N320" i="14"/>
  <c r="M320" i="14" s="1"/>
  <c r="L320" i="14"/>
  <c r="K320" i="14" s="1"/>
  <c r="J320" i="14"/>
  <c r="I320" i="14"/>
  <c r="J319" i="14"/>
  <c r="I319" i="14"/>
  <c r="P318" i="14"/>
  <c r="O318" i="14" s="1"/>
  <c r="N318" i="14"/>
  <c r="M318" i="14" s="1"/>
  <c r="L318" i="14"/>
  <c r="K318" i="14" s="1"/>
  <c r="J318" i="14"/>
  <c r="I318" i="14"/>
  <c r="P317" i="14"/>
  <c r="O317" i="14" s="1"/>
  <c r="N317" i="14"/>
  <c r="M317" i="14" s="1"/>
  <c r="L317" i="14"/>
  <c r="K317" i="14" s="1"/>
  <c r="J317" i="14"/>
  <c r="I317" i="14"/>
  <c r="P316" i="14"/>
  <c r="O316" i="14" s="1"/>
  <c r="N316" i="14"/>
  <c r="M316" i="14" s="1"/>
  <c r="L316" i="14"/>
  <c r="K316" i="14" s="1"/>
  <c r="J316" i="14"/>
  <c r="I316" i="14"/>
  <c r="P315" i="14"/>
  <c r="O315" i="14" s="1"/>
  <c r="N315" i="14"/>
  <c r="M315" i="14" s="1"/>
  <c r="L315" i="14"/>
  <c r="K315" i="14" s="1"/>
  <c r="J315" i="14"/>
  <c r="I315" i="14"/>
  <c r="P314" i="14"/>
  <c r="O314" i="14" s="1"/>
  <c r="L314" i="14"/>
  <c r="K314" i="14" s="1"/>
  <c r="J314" i="14"/>
  <c r="I314" i="14"/>
  <c r="P313" i="14"/>
  <c r="O313" i="14" s="1"/>
  <c r="N313" i="14"/>
  <c r="M313" i="14" s="1"/>
  <c r="J313" i="14"/>
  <c r="L313" i="14" s="1"/>
  <c r="K313" i="14" s="1"/>
  <c r="I313" i="14"/>
  <c r="P312" i="14"/>
  <c r="O312" i="14" s="1"/>
  <c r="L312" i="14"/>
  <c r="K312" i="14" s="1"/>
  <c r="J312" i="14"/>
  <c r="I312" i="14"/>
  <c r="P311" i="14"/>
  <c r="O311" i="14" s="1"/>
  <c r="N311" i="14"/>
  <c r="M311" i="14" s="1"/>
  <c r="J311" i="14"/>
  <c r="L311" i="14" s="1"/>
  <c r="K311" i="14" s="1"/>
  <c r="I311" i="14"/>
  <c r="P310" i="14"/>
  <c r="O310" i="14" s="1"/>
  <c r="L310" i="14"/>
  <c r="K310" i="14" s="1"/>
  <c r="J310" i="14"/>
  <c r="I310" i="14"/>
  <c r="J309" i="14"/>
  <c r="I309" i="14"/>
  <c r="P308" i="14"/>
  <c r="O308" i="14" s="1"/>
  <c r="N308" i="14"/>
  <c r="M308" i="14" s="1"/>
  <c r="J308" i="14"/>
  <c r="L308" i="14" s="1"/>
  <c r="K308" i="14" s="1"/>
  <c r="I308" i="14"/>
  <c r="P307" i="14"/>
  <c r="O307" i="14" s="1"/>
  <c r="N307" i="14"/>
  <c r="M307" i="14" s="1"/>
  <c r="J307" i="14"/>
  <c r="L307" i="14" s="1"/>
  <c r="K307" i="14" s="1"/>
  <c r="I307" i="14"/>
  <c r="P306" i="14"/>
  <c r="O306" i="14" s="1"/>
  <c r="N306" i="14"/>
  <c r="M306" i="14" s="1"/>
  <c r="J306" i="14"/>
  <c r="L306" i="14" s="1"/>
  <c r="K306" i="14" s="1"/>
  <c r="I306" i="14"/>
  <c r="P305" i="14"/>
  <c r="O305" i="14" s="1"/>
  <c r="N305" i="14"/>
  <c r="M305" i="14" s="1"/>
  <c r="L305" i="14"/>
  <c r="K305" i="14" s="1"/>
  <c r="J305" i="14"/>
  <c r="I305" i="14"/>
  <c r="P304" i="14"/>
  <c r="O304" i="14" s="1"/>
  <c r="N304" i="14"/>
  <c r="M304" i="14" s="1"/>
  <c r="L304" i="14"/>
  <c r="K304" i="14" s="1"/>
  <c r="J304" i="14"/>
  <c r="I304" i="14"/>
  <c r="P303" i="14"/>
  <c r="O303" i="14" s="1"/>
  <c r="N303" i="14"/>
  <c r="M303" i="14" s="1"/>
  <c r="J303" i="14"/>
  <c r="L303" i="14" s="1"/>
  <c r="K303" i="14" s="1"/>
  <c r="I303" i="14"/>
  <c r="P302" i="14"/>
  <c r="O302" i="14" s="1"/>
  <c r="N302" i="14"/>
  <c r="M302" i="14" s="1"/>
  <c r="L302" i="14"/>
  <c r="K302" i="14" s="1"/>
  <c r="J302" i="14"/>
  <c r="I302" i="14"/>
  <c r="P301" i="14"/>
  <c r="O301" i="14" s="1"/>
  <c r="L301" i="14"/>
  <c r="K301" i="14" s="1"/>
  <c r="J301" i="14"/>
  <c r="I301" i="14"/>
  <c r="J300" i="14"/>
  <c r="I300" i="14"/>
  <c r="P299" i="14"/>
  <c r="O299" i="14" s="1"/>
  <c r="N299" i="14"/>
  <c r="M299" i="14" s="1"/>
  <c r="L299" i="14"/>
  <c r="K299" i="14" s="1"/>
  <c r="J299" i="14"/>
  <c r="I299" i="14"/>
  <c r="P298" i="14"/>
  <c r="O298" i="14" s="1"/>
  <c r="N298" i="14"/>
  <c r="M298" i="14" s="1"/>
  <c r="L298" i="14"/>
  <c r="K298" i="14" s="1"/>
  <c r="J298" i="14"/>
  <c r="I298" i="14"/>
  <c r="J297" i="14"/>
  <c r="I297" i="14"/>
  <c r="J296" i="14"/>
  <c r="I296" i="14"/>
  <c r="P295" i="14"/>
  <c r="O295" i="14" s="1"/>
  <c r="N295" i="14"/>
  <c r="M295" i="14" s="1"/>
  <c r="L295" i="14"/>
  <c r="K295" i="14" s="1"/>
  <c r="J295" i="14"/>
  <c r="I295" i="14"/>
  <c r="P294" i="14"/>
  <c r="O294" i="14" s="1"/>
  <c r="N294" i="14"/>
  <c r="M294" i="14" s="1"/>
  <c r="L294" i="14"/>
  <c r="K294" i="14" s="1"/>
  <c r="J294" i="14"/>
  <c r="I294" i="14"/>
  <c r="P293" i="14"/>
  <c r="O293" i="14" s="1"/>
  <c r="N293" i="14"/>
  <c r="M293" i="14" s="1"/>
  <c r="J293" i="14"/>
  <c r="L293" i="14" s="1"/>
  <c r="K293" i="14" s="1"/>
  <c r="I293" i="14"/>
  <c r="P292" i="14"/>
  <c r="O292" i="14" s="1"/>
  <c r="N292" i="14"/>
  <c r="M292" i="14" s="1"/>
  <c r="L292" i="14"/>
  <c r="K292" i="14" s="1"/>
  <c r="J292" i="14"/>
  <c r="I292" i="14"/>
  <c r="P291" i="14"/>
  <c r="O291" i="14" s="1"/>
  <c r="L291" i="14"/>
  <c r="K291" i="14" s="1"/>
  <c r="J291" i="14"/>
  <c r="I291" i="14"/>
  <c r="P290" i="14"/>
  <c r="O290" i="14" s="1"/>
  <c r="L290" i="14"/>
  <c r="K290" i="14" s="1"/>
  <c r="J290" i="14"/>
  <c r="I290" i="14"/>
  <c r="P289" i="14"/>
  <c r="O289" i="14" s="1"/>
  <c r="L289" i="14"/>
  <c r="K289" i="14" s="1"/>
  <c r="J289" i="14"/>
  <c r="I289" i="14"/>
  <c r="P288" i="14"/>
  <c r="O288" i="14" s="1"/>
  <c r="N288" i="14"/>
  <c r="M288" i="14" s="1"/>
  <c r="L288" i="14"/>
  <c r="K288" i="14" s="1"/>
  <c r="J288" i="14"/>
  <c r="I288" i="14"/>
  <c r="P287" i="14"/>
  <c r="O287" i="14" s="1"/>
  <c r="N287" i="14"/>
  <c r="M287" i="14" s="1"/>
  <c r="L287" i="14"/>
  <c r="K287" i="14" s="1"/>
  <c r="J287" i="14"/>
  <c r="I287" i="14"/>
  <c r="P286" i="14"/>
  <c r="O286" i="14" s="1"/>
  <c r="L286" i="14"/>
  <c r="K286" i="14" s="1"/>
  <c r="J286" i="14"/>
  <c r="I286" i="14"/>
  <c r="P285" i="14"/>
  <c r="O285" i="14" s="1"/>
  <c r="N285" i="14"/>
  <c r="M285" i="14" s="1"/>
  <c r="L285" i="14"/>
  <c r="K285" i="14" s="1"/>
  <c r="J285" i="14"/>
  <c r="I285" i="14"/>
  <c r="J284" i="14"/>
  <c r="I284" i="14"/>
  <c r="P283" i="14"/>
  <c r="O283" i="14" s="1"/>
  <c r="N283" i="14"/>
  <c r="M283" i="14" s="1"/>
  <c r="L283" i="14"/>
  <c r="K283" i="14" s="1"/>
  <c r="J283" i="14"/>
  <c r="I283" i="14"/>
  <c r="P282" i="14"/>
  <c r="O282" i="14" s="1"/>
  <c r="N282" i="14"/>
  <c r="M282" i="14" s="1"/>
  <c r="J282" i="14"/>
  <c r="L282" i="14" s="1"/>
  <c r="K282" i="14" s="1"/>
  <c r="I282" i="14"/>
  <c r="P281" i="14"/>
  <c r="O281" i="14" s="1"/>
  <c r="N281" i="14"/>
  <c r="M281" i="14" s="1"/>
  <c r="L281" i="14"/>
  <c r="K281" i="14" s="1"/>
  <c r="J281" i="14"/>
  <c r="I281" i="14"/>
  <c r="P280" i="14"/>
  <c r="O280" i="14" s="1"/>
  <c r="N280" i="14"/>
  <c r="M280" i="14" s="1"/>
  <c r="L280" i="14"/>
  <c r="K280" i="14" s="1"/>
  <c r="J280" i="14"/>
  <c r="I280" i="14"/>
  <c r="P279" i="14"/>
  <c r="O279" i="14" s="1"/>
  <c r="L279" i="14"/>
  <c r="K279" i="14" s="1"/>
  <c r="J279" i="14"/>
  <c r="I279" i="14"/>
  <c r="J278" i="14"/>
  <c r="I278" i="14"/>
  <c r="J277" i="14"/>
  <c r="I277" i="14"/>
  <c r="P276" i="14"/>
  <c r="O276" i="14" s="1"/>
  <c r="L276" i="14"/>
  <c r="K276" i="14" s="1"/>
  <c r="J276" i="14"/>
  <c r="I276" i="14"/>
  <c r="P275" i="14"/>
  <c r="O275" i="14" s="1"/>
  <c r="N275" i="14"/>
  <c r="M275" i="14" s="1"/>
  <c r="L275" i="14"/>
  <c r="K275" i="14" s="1"/>
  <c r="J275" i="14"/>
  <c r="I275" i="14"/>
  <c r="P274" i="14"/>
  <c r="O274" i="14" s="1"/>
  <c r="N274" i="14"/>
  <c r="M274" i="14" s="1"/>
  <c r="J274" i="14"/>
  <c r="L274" i="14" s="1"/>
  <c r="K274" i="14" s="1"/>
  <c r="I274" i="14"/>
  <c r="P273" i="14"/>
  <c r="O273" i="14" s="1"/>
  <c r="N273" i="14"/>
  <c r="M273" i="14" s="1"/>
  <c r="J273" i="14"/>
  <c r="L273" i="14" s="1"/>
  <c r="K273" i="14" s="1"/>
  <c r="I273" i="14"/>
  <c r="P272" i="14"/>
  <c r="O272" i="14" s="1"/>
  <c r="N272" i="14"/>
  <c r="M272" i="14" s="1"/>
  <c r="L272" i="14"/>
  <c r="K272" i="14" s="1"/>
  <c r="J272" i="14"/>
  <c r="I272" i="14"/>
  <c r="P271" i="14"/>
  <c r="O271" i="14" s="1"/>
  <c r="N271" i="14"/>
  <c r="M271" i="14" s="1"/>
  <c r="L271" i="14"/>
  <c r="K271" i="14" s="1"/>
  <c r="J271" i="14"/>
  <c r="I271" i="14"/>
  <c r="P270" i="14"/>
  <c r="O270" i="14" s="1"/>
  <c r="N270" i="14"/>
  <c r="M270" i="14" s="1"/>
  <c r="J270" i="14"/>
  <c r="L270" i="14" s="1"/>
  <c r="K270" i="14" s="1"/>
  <c r="I270" i="14"/>
  <c r="J269" i="14"/>
  <c r="L269" i="14" s="1"/>
  <c r="I269" i="14"/>
  <c r="P268" i="14"/>
  <c r="O268" i="14" s="1"/>
  <c r="N268" i="14"/>
  <c r="M268" i="14" s="1"/>
  <c r="J268" i="14"/>
  <c r="L268" i="14" s="1"/>
  <c r="K268" i="14" s="1"/>
  <c r="I268" i="14"/>
  <c r="P267" i="14"/>
  <c r="O267" i="14" s="1"/>
  <c r="L267" i="14"/>
  <c r="K267" i="14" s="1"/>
  <c r="J267" i="14"/>
  <c r="I267" i="14"/>
  <c r="P266" i="14"/>
  <c r="O266" i="14" s="1"/>
  <c r="N266" i="14"/>
  <c r="M266" i="14" s="1"/>
  <c r="L266" i="14"/>
  <c r="K266" i="14" s="1"/>
  <c r="J266" i="14"/>
  <c r="I266" i="14"/>
  <c r="J265" i="14"/>
  <c r="I265" i="14"/>
  <c r="P264" i="14"/>
  <c r="O264" i="14" s="1"/>
  <c r="N264" i="14"/>
  <c r="M264" i="14" s="1"/>
  <c r="J264" i="14"/>
  <c r="L264" i="14" s="1"/>
  <c r="K264" i="14" s="1"/>
  <c r="I264" i="14"/>
  <c r="P263" i="14"/>
  <c r="O263" i="14" s="1"/>
  <c r="N263" i="14"/>
  <c r="M263" i="14" s="1"/>
  <c r="J263" i="14"/>
  <c r="L263" i="14" s="1"/>
  <c r="K263" i="14" s="1"/>
  <c r="I263" i="14"/>
  <c r="P262" i="14"/>
  <c r="O262" i="14" s="1"/>
  <c r="L262" i="14"/>
  <c r="K262" i="14" s="1"/>
  <c r="J262" i="14"/>
  <c r="I262" i="14"/>
  <c r="P261" i="14"/>
  <c r="O261" i="14" s="1"/>
  <c r="N261" i="14"/>
  <c r="M261" i="14" s="1"/>
  <c r="L261" i="14"/>
  <c r="K261" i="14" s="1"/>
  <c r="J261" i="14"/>
  <c r="I261" i="14"/>
  <c r="P260" i="14"/>
  <c r="O260" i="14" s="1"/>
  <c r="N260" i="14"/>
  <c r="M260" i="14" s="1"/>
  <c r="J260" i="14"/>
  <c r="L260" i="14" s="1"/>
  <c r="K260" i="14" s="1"/>
  <c r="I260" i="14"/>
  <c r="P259" i="14"/>
  <c r="O259" i="14" s="1"/>
  <c r="N259" i="14"/>
  <c r="M259" i="14" s="1"/>
  <c r="L259" i="14"/>
  <c r="K259" i="14" s="1"/>
  <c r="J259" i="14"/>
  <c r="I259" i="14"/>
  <c r="J258" i="14"/>
  <c r="L258" i="14" s="1"/>
  <c r="I258" i="14"/>
  <c r="P257" i="14"/>
  <c r="O257" i="14" s="1"/>
  <c r="L257" i="14"/>
  <c r="K257" i="14" s="1"/>
  <c r="J257" i="14"/>
  <c r="I257" i="14"/>
  <c r="P256" i="14"/>
  <c r="O256" i="14" s="1"/>
  <c r="L256" i="14"/>
  <c r="K256" i="14" s="1"/>
  <c r="J256" i="14"/>
  <c r="I256" i="14"/>
  <c r="P255" i="14"/>
  <c r="O255" i="14" s="1"/>
  <c r="N255" i="14"/>
  <c r="M255" i="14" s="1"/>
  <c r="L255" i="14"/>
  <c r="K255" i="14" s="1"/>
  <c r="J255" i="14"/>
  <c r="I255" i="14"/>
  <c r="J254" i="14"/>
  <c r="I254" i="14"/>
  <c r="P253" i="14"/>
  <c r="O253" i="14" s="1"/>
  <c r="N253" i="14"/>
  <c r="M253" i="14" s="1"/>
  <c r="L253" i="14"/>
  <c r="K253" i="14" s="1"/>
  <c r="J253" i="14"/>
  <c r="I253" i="14"/>
  <c r="P252" i="14"/>
  <c r="O252" i="14" s="1"/>
  <c r="L252" i="14"/>
  <c r="K252" i="14" s="1"/>
  <c r="J252" i="14"/>
  <c r="I252" i="14"/>
  <c r="J251" i="14"/>
  <c r="L251" i="14" s="1"/>
  <c r="K251" i="14" s="1"/>
  <c r="I251" i="14"/>
  <c r="J250" i="14"/>
  <c r="I250" i="14"/>
  <c r="P249" i="14"/>
  <c r="O249" i="14" s="1"/>
  <c r="N249" i="14"/>
  <c r="M249" i="14" s="1"/>
  <c r="J249" i="14"/>
  <c r="L249" i="14" s="1"/>
  <c r="K249" i="14" s="1"/>
  <c r="I249" i="14"/>
  <c r="P248" i="14"/>
  <c r="O248" i="14" s="1"/>
  <c r="L248" i="14"/>
  <c r="K248" i="14" s="1"/>
  <c r="J248" i="14"/>
  <c r="I248" i="14"/>
  <c r="P247" i="14"/>
  <c r="O247" i="14" s="1"/>
  <c r="L247" i="14"/>
  <c r="K247" i="14" s="1"/>
  <c r="J247" i="14"/>
  <c r="I247" i="14"/>
  <c r="P246" i="14"/>
  <c r="O246" i="14" s="1"/>
  <c r="L246" i="14"/>
  <c r="K246" i="14" s="1"/>
  <c r="J246" i="14"/>
  <c r="I246" i="14"/>
  <c r="J245" i="14"/>
  <c r="L245" i="14" s="1"/>
  <c r="K245" i="14" s="1"/>
  <c r="I245" i="14"/>
  <c r="P244" i="14"/>
  <c r="O244" i="14" s="1"/>
  <c r="L244" i="14"/>
  <c r="K244" i="14" s="1"/>
  <c r="J244" i="14"/>
  <c r="I244" i="14"/>
  <c r="P243" i="14"/>
  <c r="O243" i="14" s="1"/>
  <c r="N243" i="14"/>
  <c r="M243" i="14" s="1"/>
  <c r="L243" i="14"/>
  <c r="K243" i="14" s="1"/>
  <c r="J243" i="14"/>
  <c r="I243" i="14"/>
  <c r="P242" i="14"/>
  <c r="O242" i="14" s="1"/>
  <c r="L242" i="14"/>
  <c r="K242" i="14" s="1"/>
  <c r="J242" i="14"/>
  <c r="I242" i="14"/>
  <c r="P241" i="14"/>
  <c r="O241" i="14" s="1"/>
  <c r="N241" i="14"/>
  <c r="M241" i="14" s="1"/>
  <c r="J241" i="14"/>
  <c r="L241" i="14" s="1"/>
  <c r="K241" i="14" s="1"/>
  <c r="I241" i="14"/>
  <c r="P240" i="14"/>
  <c r="O240" i="14" s="1"/>
  <c r="N240" i="14"/>
  <c r="M240" i="14" s="1"/>
  <c r="J240" i="14"/>
  <c r="L240" i="14" s="1"/>
  <c r="K240" i="14" s="1"/>
  <c r="I240" i="14"/>
  <c r="P239" i="14"/>
  <c r="O239" i="14" s="1"/>
  <c r="N239" i="14"/>
  <c r="M239" i="14" s="1"/>
  <c r="L239" i="14"/>
  <c r="K239" i="14" s="1"/>
  <c r="J239" i="14"/>
  <c r="I239" i="14"/>
  <c r="P238" i="14"/>
  <c r="O238" i="14" s="1"/>
  <c r="L238" i="14"/>
  <c r="K238" i="14" s="1"/>
  <c r="J238" i="14"/>
  <c r="I238" i="14"/>
  <c r="J237" i="14"/>
  <c r="L237" i="14" s="1"/>
  <c r="K237" i="14" s="1"/>
  <c r="I237" i="14"/>
  <c r="P236" i="14"/>
  <c r="O236" i="14" s="1"/>
  <c r="N236" i="14"/>
  <c r="M236" i="14" s="1"/>
  <c r="L236" i="14"/>
  <c r="K236" i="14" s="1"/>
  <c r="J236" i="14"/>
  <c r="I236" i="14"/>
  <c r="J235" i="14"/>
  <c r="L235" i="14" s="1"/>
  <c r="K235" i="14" s="1"/>
  <c r="I235" i="14"/>
  <c r="J234" i="14"/>
  <c r="I234" i="14"/>
  <c r="P233" i="14"/>
  <c r="O233" i="14" s="1"/>
  <c r="N233" i="14"/>
  <c r="M233" i="14" s="1"/>
  <c r="L233" i="14"/>
  <c r="K233" i="14" s="1"/>
  <c r="J233" i="14"/>
  <c r="I233" i="14"/>
  <c r="P232" i="14"/>
  <c r="O232" i="14" s="1"/>
  <c r="N232" i="14"/>
  <c r="M232" i="14" s="1"/>
  <c r="L232" i="14"/>
  <c r="K232" i="14" s="1"/>
  <c r="J232" i="14"/>
  <c r="I232" i="14"/>
  <c r="P231" i="14"/>
  <c r="O231" i="14" s="1"/>
  <c r="L231" i="14"/>
  <c r="K231" i="14" s="1"/>
  <c r="J231" i="14"/>
  <c r="I231" i="14"/>
  <c r="P230" i="14"/>
  <c r="O230" i="14" s="1"/>
  <c r="N230" i="14"/>
  <c r="M230" i="14" s="1"/>
  <c r="L230" i="14"/>
  <c r="K230" i="14" s="1"/>
  <c r="J230" i="14"/>
  <c r="I230" i="14"/>
  <c r="P229" i="14"/>
  <c r="O229" i="14" s="1"/>
  <c r="L229" i="14"/>
  <c r="K229" i="14" s="1"/>
  <c r="J229" i="14"/>
  <c r="I229" i="14"/>
  <c r="J228" i="14"/>
  <c r="I228" i="14"/>
  <c r="P227" i="14"/>
  <c r="O227" i="14" s="1"/>
  <c r="L227" i="14"/>
  <c r="K227" i="14" s="1"/>
  <c r="J227" i="14"/>
  <c r="I227" i="14"/>
  <c r="P226" i="14"/>
  <c r="O226" i="14" s="1"/>
  <c r="N226" i="14"/>
  <c r="M226" i="14" s="1"/>
  <c r="J226" i="14"/>
  <c r="L226" i="14" s="1"/>
  <c r="K226" i="14" s="1"/>
  <c r="I226" i="14"/>
  <c r="P225" i="14"/>
  <c r="O225" i="14" s="1"/>
  <c r="L225" i="14"/>
  <c r="K225" i="14" s="1"/>
  <c r="J225" i="14"/>
  <c r="I225" i="14"/>
  <c r="P224" i="14"/>
  <c r="O224" i="14" s="1"/>
  <c r="L224" i="14"/>
  <c r="K224" i="14" s="1"/>
  <c r="J224" i="14"/>
  <c r="I224" i="14"/>
  <c r="P223" i="14"/>
  <c r="O223" i="14" s="1"/>
  <c r="N223" i="14"/>
  <c r="M223" i="14" s="1"/>
  <c r="J223" i="14"/>
  <c r="L223" i="14" s="1"/>
  <c r="K223" i="14" s="1"/>
  <c r="I223" i="14"/>
  <c r="P222" i="14"/>
  <c r="O222" i="14" s="1"/>
  <c r="N222" i="14"/>
  <c r="M222" i="14" s="1"/>
  <c r="L222" i="14"/>
  <c r="K222" i="14" s="1"/>
  <c r="J222" i="14"/>
  <c r="I222" i="14"/>
  <c r="P221" i="14"/>
  <c r="O221" i="14" s="1"/>
  <c r="N221" i="14"/>
  <c r="M221" i="14" s="1"/>
  <c r="L221" i="14"/>
  <c r="K221" i="14" s="1"/>
  <c r="J221" i="14"/>
  <c r="I221" i="14"/>
  <c r="P220" i="14"/>
  <c r="O220" i="14" s="1"/>
  <c r="N220" i="14"/>
  <c r="M220" i="14" s="1"/>
  <c r="J220" i="14"/>
  <c r="L220" i="14" s="1"/>
  <c r="K220" i="14" s="1"/>
  <c r="I220" i="14"/>
  <c r="P219" i="14"/>
  <c r="O219" i="14" s="1"/>
  <c r="L219" i="14"/>
  <c r="K219" i="14" s="1"/>
  <c r="J219" i="14"/>
  <c r="I219" i="14"/>
  <c r="P218" i="14"/>
  <c r="O218" i="14" s="1"/>
  <c r="N218" i="14"/>
  <c r="M218" i="14" s="1"/>
  <c r="J218" i="14"/>
  <c r="L218" i="14" s="1"/>
  <c r="K218" i="14" s="1"/>
  <c r="I218" i="14"/>
  <c r="P217" i="14"/>
  <c r="O217" i="14" s="1"/>
  <c r="L217" i="14"/>
  <c r="K217" i="14" s="1"/>
  <c r="J217" i="14"/>
  <c r="I217" i="14"/>
  <c r="P216" i="14"/>
  <c r="O216" i="14" s="1"/>
  <c r="N216" i="14"/>
  <c r="M216" i="14" s="1"/>
  <c r="L216" i="14"/>
  <c r="K216" i="14" s="1"/>
  <c r="J216" i="14"/>
  <c r="I216" i="14"/>
  <c r="P215" i="14"/>
  <c r="O215" i="14" s="1"/>
  <c r="N215" i="14"/>
  <c r="M215" i="14" s="1"/>
  <c r="L215" i="14"/>
  <c r="K215" i="14" s="1"/>
  <c r="J215" i="14"/>
  <c r="I215" i="14"/>
  <c r="P214" i="14"/>
  <c r="O214" i="14" s="1"/>
  <c r="L214" i="14"/>
  <c r="K214" i="14" s="1"/>
  <c r="J214" i="14"/>
  <c r="I214" i="14"/>
  <c r="P213" i="14"/>
  <c r="O213" i="14" s="1"/>
  <c r="L213" i="14"/>
  <c r="K213" i="14" s="1"/>
  <c r="J213" i="14"/>
  <c r="I213" i="14"/>
  <c r="P212" i="14"/>
  <c r="O212" i="14" s="1"/>
  <c r="N212" i="14"/>
  <c r="M212" i="14" s="1"/>
  <c r="L212" i="14"/>
  <c r="K212" i="14" s="1"/>
  <c r="J212" i="14"/>
  <c r="I212" i="14"/>
  <c r="P211" i="14"/>
  <c r="O211" i="14" s="1"/>
  <c r="N211" i="14"/>
  <c r="M211" i="14" s="1"/>
  <c r="L211" i="14"/>
  <c r="K211" i="14" s="1"/>
  <c r="J211" i="14"/>
  <c r="I211" i="14"/>
  <c r="P210" i="14"/>
  <c r="O210" i="14" s="1"/>
  <c r="N210" i="14"/>
  <c r="M210" i="14" s="1"/>
  <c r="J210" i="14"/>
  <c r="L210" i="14" s="1"/>
  <c r="K210" i="14" s="1"/>
  <c r="I210" i="14"/>
  <c r="P209" i="14"/>
  <c r="O209" i="14" s="1"/>
  <c r="N209" i="14"/>
  <c r="M209" i="14" s="1"/>
  <c r="L209" i="14"/>
  <c r="K209" i="14" s="1"/>
  <c r="J209" i="14"/>
  <c r="I209" i="14"/>
  <c r="P208" i="14"/>
  <c r="O208" i="14" s="1"/>
  <c r="L208" i="14"/>
  <c r="K208" i="14" s="1"/>
  <c r="J208" i="14"/>
  <c r="I208" i="14"/>
  <c r="P207" i="14"/>
  <c r="O207" i="14" s="1"/>
  <c r="N207" i="14"/>
  <c r="M207" i="14" s="1"/>
  <c r="L207" i="14"/>
  <c r="K207" i="14" s="1"/>
  <c r="J207" i="14"/>
  <c r="I207" i="14"/>
  <c r="P206" i="14"/>
  <c r="O206" i="14" s="1"/>
  <c r="N206" i="14"/>
  <c r="M206" i="14" s="1"/>
  <c r="L206" i="14"/>
  <c r="K206" i="14" s="1"/>
  <c r="J206" i="14"/>
  <c r="I206" i="14"/>
  <c r="P205" i="14"/>
  <c r="O205" i="14" s="1"/>
  <c r="N205" i="14"/>
  <c r="M205" i="14" s="1"/>
  <c r="J205" i="14"/>
  <c r="L205" i="14" s="1"/>
  <c r="K205" i="14" s="1"/>
  <c r="I205" i="14"/>
  <c r="J204" i="14"/>
  <c r="L204" i="14" s="1"/>
  <c r="K204" i="14" s="1"/>
  <c r="I204" i="14"/>
  <c r="P203" i="14"/>
  <c r="O203" i="14" s="1"/>
  <c r="L203" i="14"/>
  <c r="K203" i="14" s="1"/>
  <c r="J203" i="14"/>
  <c r="I203" i="14"/>
  <c r="P202" i="14"/>
  <c r="O202" i="14" s="1"/>
  <c r="N202" i="14"/>
  <c r="M202" i="14" s="1"/>
  <c r="J202" i="14"/>
  <c r="L202" i="14" s="1"/>
  <c r="K202" i="14" s="1"/>
  <c r="I202" i="14"/>
  <c r="P201" i="14"/>
  <c r="O201" i="14" s="1"/>
  <c r="N201" i="14"/>
  <c r="M201" i="14" s="1"/>
  <c r="J201" i="14"/>
  <c r="L201" i="14" s="1"/>
  <c r="K201" i="14" s="1"/>
  <c r="I201" i="14"/>
  <c r="P200" i="14"/>
  <c r="O200" i="14" s="1"/>
  <c r="N200" i="14"/>
  <c r="M200" i="14" s="1"/>
  <c r="L200" i="14"/>
  <c r="K200" i="14" s="1"/>
  <c r="J200" i="14"/>
  <c r="I200" i="14"/>
  <c r="P199" i="14"/>
  <c r="O199" i="14" s="1"/>
  <c r="L199" i="14"/>
  <c r="K199" i="14" s="1"/>
  <c r="J199" i="14"/>
  <c r="I199" i="14"/>
  <c r="J198" i="14"/>
  <c r="I198" i="14"/>
  <c r="P197" i="14"/>
  <c r="O197" i="14" s="1"/>
  <c r="N197" i="14"/>
  <c r="M197" i="14" s="1"/>
  <c r="L197" i="14"/>
  <c r="K197" i="14" s="1"/>
  <c r="J197" i="14"/>
  <c r="I197" i="14"/>
  <c r="P196" i="14"/>
  <c r="O196" i="14" s="1"/>
  <c r="N196" i="14"/>
  <c r="M196" i="14" s="1"/>
  <c r="L196" i="14"/>
  <c r="K196" i="14" s="1"/>
  <c r="J196" i="14"/>
  <c r="I196" i="14"/>
  <c r="P195" i="14"/>
  <c r="O195" i="14" s="1"/>
  <c r="N195" i="14"/>
  <c r="M195" i="14" s="1"/>
  <c r="L195" i="14"/>
  <c r="K195" i="14" s="1"/>
  <c r="J195" i="14"/>
  <c r="I195" i="14"/>
  <c r="P194" i="14"/>
  <c r="O194" i="14" s="1"/>
  <c r="N194" i="14"/>
  <c r="M194" i="14" s="1"/>
  <c r="L194" i="14"/>
  <c r="K194" i="14" s="1"/>
  <c r="J194" i="14"/>
  <c r="I194" i="14"/>
  <c r="P193" i="14"/>
  <c r="O193" i="14" s="1"/>
  <c r="L193" i="14"/>
  <c r="K193" i="14" s="1"/>
  <c r="J193" i="14"/>
  <c r="I193" i="14"/>
  <c r="J192" i="14"/>
  <c r="I192" i="14"/>
  <c r="P191" i="14"/>
  <c r="O191" i="14" s="1"/>
  <c r="N191" i="14"/>
  <c r="M191" i="14" s="1"/>
  <c r="L191" i="14"/>
  <c r="K191" i="14" s="1"/>
  <c r="J191" i="14"/>
  <c r="I191" i="14"/>
  <c r="P190" i="14"/>
  <c r="O190" i="14" s="1"/>
  <c r="N190" i="14"/>
  <c r="M190" i="14" s="1"/>
  <c r="L190" i="14"/>
  <c r="K190" i="14" s="1"/>
  <c r="J190" i="14"/>
  <c r="I190" i="14"/>
  <c r="P189" i="14"/>
  <c r="O189" i="14" s="1"/>
  <c r="N189" i="14"/>
  <c r="M189" i="14" s="1"/>
  <c r="L189" i="14"/>
  <c r="K189" i="14" s="1"/>
  <c r="J189" i="14"/>
  <c r="I189" i="14"/>
  <c r="P188" i="14"/>
  <c r="O188" i="14" s="1"/>
  <c r="L188" i="14"/>
  <c r="K188" i="14" s="1"/>
  <c r="J188" i="14"/>
  <c r="I188" i="14"/>
  <c r="P187" i="14"/>
  <c r="O187" i="14" s="1"/>
  <c r="N187" i="14"/>
  <c r="M187" i="14" s="1"/>
  <c r="L187" i="14"/>
  <c r="K187" i="14" s="1"/>
  <c r="J187" i="14"/>
  <c r="I187" i="14"/>
  <c r="P186" i="14"/>
  <c r="O186" i="14" s="1"/>
  <c r="N186" i="14"/>
  <c r="M186" i="14" s="1"/>
  <c r="J186" i="14"/>
  <c r="L186" i="14" s="1"/>
  <c r="K186" i="14" s="1"/>
  <c r="I186" i="14"/>
  <c r="P185" i="14"/>
  <c r="O185" i="14" s="1"/>
  <c r="N185" i="14"/>
  <c r="M185" i="14" s="1"/>
  <c r="L185" i="14"/>
  <c r="K185" i="14" s="1"/>
  <c r="J185" i="14"/>
  <c r="I185" i="14"/>
  <c r="P184" i="14"/>
  <c r="O184" i="14" s="1"/>
  <c r="L184" i="14"/>
  <c r="K184" i="14" s="1"/>
  <c r="J184" i="14"/>
  <c r="I184" i="14"/>
  <c r="P183" i="14"/>
  <c r="O183" i="14" s="1"/>
  <c r="L183" i="14"/>
  <c r="K183" i="14" s="1"/>
  <c r="J183" i="14"/>
  <c r="I183" i="14"/>
  <c r="P182" i="14"/>
  <c r="O182" i="14" s="1"/>
  <c r="L182" i="14"/>
  <c r="K182" i="14" s="1"/>
  <c r="J182" i="14"/>
  <c r="I182" i="14"/>
  <c r="P181" i="14"/>
  <c r="O181" i="14" s="1"/>
  <c r="N181" i="14"/>
  <c r="M181" i="14" s="1"/>
  <c r="L181" i="14"/>
  <c r="K181" i="14" s="1"/>
  <c r="J181" i="14"/>
  <c r="I181" i="14"/>
  <c r="P180" i="14"/>
  <c r="O180" i="14" s="1"/>
  <c r="N180" i="14"/>
  <c r="M180" i="14" s="1"/>
  <c r="L180" i="14"/>
  <c r="K180" i="14" s="1"/>
  <c r="J180" i="14"/>
  <c r="I180" i="14"/>
  <c r="J179" i="14"/>
  <c r="L179" i="14" s="1"/>
  <c r="K179" i="14" s="1"/>
  <c r="I179" i="14"/>
  <c r="J178" i="14"/>
  <c r="I178" i="14"/>
  <c r="J177" i="14"/>
  <c r="L177" i="14" s="1"/>
  <c r="I177" i="14"/>
  <c r="P176" i="14"/>
  <c r="O176" i="14" s="1"/>
  <c r="N176" i="14"/>
  <c r="M176" i="14" s="1"/>
  <c r="J176" i="14"/>
  <c r="L176" i="14" s="1"/>
  <c r="K176" i="14" s="1"/>
  <c r="I176" i="14"/>
  <c r="P175" i="14"/>
  <c r="O175" i="14" s="1"/>
  <c r="N175" i="14"/>
  <c r="M175" i="14" s="1"/>
  <c r="L175" i="14"/>
  <c r="K175" i="14" s="1"/>
  <c r="J175" i="14"/>
  <c r="I175" i="14"/>
  <c r="P174" i="14"/>
  <c r="O174" i="14" s="1"/>
  <c r="L174" i="14"/>
  <c r="K174" i="14" s="1"/>
  <c r="J174" i="14"/>
  <c r="I174" i="14"/>
  <c r="P173" i="14"/>
  <c r="O173" i="14" s="1"/>
  <c r="L173" i="14"/>
  <c r="K173" i="14" s="1"/>
  <c r="J173" i="14"/>
  <c r="I173" i="14"/>
  <c r="P172" i="14"/>
  <c r="O172" i="14" s="1"/>
  <c r="N172" i="14"/>
  <c r="M172" i="14" s="1"/>
  <c r="L172" i="14"/>
  <c r="K172" i="14" s="1"/>
  <c r="J172" i="14"/>
  <c r="I172" i="14"/>
  <c r="P171" i="14"/>
  <c r="O171" i="14" s="1"/>
  <c r="N171" i="14"/>
  <c r="M171" i="14" s="1"/>
  <c r="J171" i="14"/>
  <c r="L171" i="14" s="1"/>
  <c r="K171" i="14" s="1"/>
  <c r="I171" i="14"/>
  <c r="P170" i="14"/>
  <c r="O170" i="14" s="1"/>
  <c r="L170" i="14"/>
  <c r="K170" i="14" s="1"/>
  <c r="J170" i="14"/>
  <c r="I170" i="14"/>
  <c r="P169" i="14"/>
  <c r="O169" i="14" s="1"/>
  <c r="L169" i="14"/>
  <c r="K169" i="14" s="1"/>
  <c r="J169" i="14"/>
  <c r="I169" i="14"/>
  <c r="J168" i="14"/>
  <c r="L168" i="14" s="1"/>
  <c r="I168" i="14"/>
  <c r="P167" i="14"/>
  <c r="O167" i="14" s="1"/>
  <c r="N167" i="14"/>
  <c r="M167" i="14" s="1"/>
  <c r="L167" i="14"/>
  <c r="K167" i="14" s="1"/>
  <c r="J167" i="14"/>
  <c r="I167" i="14"/>
  <c r="P166" i="14"/>
  <c r="O166" i="14" s="1"/>
  <c r="L166" i="14"/>
  <c r="K166" i="14" s="1"/>
  <c r="J166" i="14"/>
  <c r="I166" i="14"/>
  <c r="J165" i="14"/>
  <c r="L165" i="14" s="1"/>
  <c r="I165" i="14"/>
  <c r="J164" i="14"/>
  <c r="L164" i="14" s="1"/>
  <c r="I164" i="14"/>
  <c r="P163" i="14"/>
  <c r="O163" i="14" s="1"/>
  <c r="N163" i="14"/>
  <c r="M163" i="14" s="1"/>
  <c r="L163" i="14"/>
  <c r="K163" i="14" s="1"/>
  <c r="J163" i="14"/>
  <c r="I163" i="14"/>
  <c r="P162" i="14"/>
  <c r="O162" i="14" s="1"/>
  <c r="N162" i="14"/>
  <c r="M162" i="14" s="1"/>
  <c r="J162" i="14"/>
  <c r="L162" i="14" s="1"/>
  <c r="K162" i="14" s="1"/>
  <c r="I162" i="14"/>
  <c r="P161" i="14"/>
  <c r="O161" i="14" s="1"/>
  <c r="N161" i="14"/>
  <c r="M161" i="14" s="1"/>
  <c r="L161" i="14"/>
  <c r="K161" i="14" s="1"/>
  <c r="J161" i="14"/>
  <c r="I161" i="14"/>
  <c r="P160" i="14"/>
  <c r="O160" i="14" s="1"/>
  <c r="N160" i="14"/>
  <c r="M160" i="14" s="1"/>
  <c r="L160" i="14"/>
  <c r="K160" i="14" s="1"/>
  <c r="J160" i="14"/>
  <c r="I160" i="14"/>
  <c r="P159" i="14"/>
  <c r="O159" i="14" s="1"/>
  <c r="L159" i="14"/>
  <c r="K159" i="14" s="1"/>
  <c r="J159" i="14"/>
  <c r="I159" i="14"/>
  <c r="J158" i="14"/>
  <c r="I158" i="14"/>
  <c r="P157" i="14"/>
  <c r="O157" i="14" s="1"/>
  <c r="N157" i="14"/>
  <c r="M157" i="14" s="1"/>
  <c r="L157" i="14"/>
  <c r="K157" i="14" s="1"/>
  <c r="J157" i="14"/>
  <c r="I157" i="14"/>
  <c r="P156" i="14"/>
  <c r="O156" i="14" s="1"/>
  <c r="N156" i="14"/>
  <c r="M156" i="14" s="1"/>
  <c r="L156" i="14"/>
  <c r="K156" i="14" s="1"/>
  <c r="J156" i="14"/>
  <c r="I156" i="14"/>
  <c r="P155" i="14"/>
  <c r="O155" i="14" s="1"/>
  <c r="N155" i="14"/>
  <c r="M155" i="14" s="1"/>
  <c r="L155" i="14"/>
  <c r="K155" i="14" s="1"/>
  <c r="J155" i="14"/>
  <c r="I155" i="14"/>
  <c r="P154" i="14"/>
  <c r="O154" i="14" s="1"/>
  <c r="N154" i="14"/>
  <c r="M154" i="14" s="1"/>
  <c r="L154" i="14"/>
  <c r="K154" i="14" s="1"/>
  <c r="J154" i="14"/>
  <c r="I154" i="14"/>
  <c r="P153" i="14"/>
  <c r="O153" i="14" s="1"/>
  <c r="N153" i="14"/>
  <c r="M153" i="14" s="1"/>
  <c r="L153" i="14"/>
  <c r="K153" i="14" s="1"/>
  <c r="J153" i="14"/>
  <c r="I153" i="14"/>
  <c r="P152" i="14"/>
  <c r="O152" i="14" s="1"/>
  <c r="L152" i="14"/>
  <c r="K152" i="14" s="1"/>
  <c r="J152" i="14"/>
  <c r="I152" i="14"/>
  <c r="J151" i="14"/>
  <c r="I151" i="14"/>
  <c r="J150" i="14"/>
  <c r="I150" i="14"/>
  <c r="P149" i="14"/>
  <c r="O149" i="14" s="1"/>
  <c r="L149" i="14"/>
  <c r="K149" i="14" s="1"/>
  <c r="J149" i="14"/>
  <c r="I149" i="14"/>
  <c r="P148" i="14"/>
  <c r="O148" i="14" s="1"/>
  <c r="L148" i="14"/>
  <c r="K148" i="14" s="1"/>
  <c r="J148" i="14"/>
  <c r="I148" i="14"/>
  <c r="P147" i="14"/>
  <c r="O147" i="14" s="1"/>
  <c r="N147" i="14"/>
  <c r="M147" i="14" s="1"/>
  <c r="J147" i="14"/>
  <c r="L147" i="14" s="1"/>
  <c r="K147" i="14" s="1"/>
  <c r="I147" i="14"/>
  <c r="P146" i="14"/>
  <c r="O146" i="14" s="1"/>
  <c r="N146" i="14"/>
  <c r="M146" i="14" s="1"/>
  <c r="L146" i="14"/>
  <c r="K146" i="14" s="1"/>
  <c r="J146" i="14"/>
  <c r="I146" i="14"/>
  <c r="P145" i="14"/>
  <c r="O145" i="14" s="1"/>
  <c r="N145" i="14"/>
  <c r="M145" i="14" s="1"/>
  <c r="L145" i="14"/>
  <c r="K145" i="14" s="1"/>
  <c r="J145" i="14"/>
  <c r="I145" i="14"/>
  <c r="P144" i="14"/>
  <c r="O144" i="14" s="1"/>
  <c r="N144" i="14"/>
  <c r="M144" i="14" s="1"/>
  <c r="L144" i="14"/>
  <c r="K144" i="14" s="1"/>
  <c r="J144" i="14"/>
  <c r="I144" i="14"/>
  <c r="P143" i="14"/>
  <c r="O143" i="14" s="1"/>
  <c r="N143" i="14"/>
  <c r="M143" i="14" s="1"/>
  <c r="L143" i="14"/>
  <c r="K143" i="14" s="1"/>
  <c r="J143" i="14"/>
  <c r="I143" i="14"/>
  <c r="P142" i="14"/>
  <c r="O142" i="14" s="1"/>
  <c r="N142" i="14"/>
  <c r="M142" i="14" s="1"/>
  <c r="L142" i="14"/>
  <c r="K142" i="14" s="1"/>
  <c r="J142" i="14"/>
  <c r="I142" i="14"/>
  <c r="P141" i="14"/>
  <c r="O141" i="14" s="1"/>
  <c r="N141" i="14"/>
  <c r="M141" i="14" s="1"/>
  <c r="L141" i="14"/>
  <c r="K141" i="14" s="1"/>
  <c r="J141" i="14"/>
  <c r="I141" i="14"/>
  <c r="P140" i="14"/>
  <c r="O140" i="14" s="1"/>
  <c r="N140" i="14"/>
  <c r="M140" i="14" s="1"/>
  <c r="L140" i="14"/>
  <c r="K140" i="14" s="1"/>
  <c r="J140" i="14"/>
  <c r="I140" i="14"/>
  <c r="P139" i="14"/>
  <c r="O139" i="14" s="1"/>
  <c r="N139" i="14"/>
  <c r="M139" i="14" s="1"/>
  <c r="L139" i="14"/>
  <c r="K139" i="14" s="1"/>
  <c r="J139" i="14"/>
  <c r="I139" i="14"/>
  <c r="P138" i="14"/>
  <c r="O138" i="14" s="1"/>
  <c r="L138" i="14"/>
  <c r="K138" i="14" s="1"/>
  <c r="J138" i="14"/>
  <c r="I138" i="14"/>
  <c r="P137" i="14"/>
  <c r="O137" i="14" s="1"/>
  <c r="N137" i="14"/>
  <c r="M137" i="14" s="1"/>
  <c r="J137" i="14"/>
  <c r="L137" i="14" s="1"/>
  <c r="K137" i="14" s="1"/>
  <c r="I137" i="14"/>
  <c r="P136" i="14"/>
  <c r="O136" i="14" s="1"/>
  <c r="N136" i="14"/>
  <c r="M136" i="14" s="1"/>
  <c r="L136" i="14"/>
  <c r="K136" i="14" s="1"/>
  <c r="J136" i="14"/>
  <c r="I136" i="14"/>
  <c r="J135" i="14"/>
  <c r="I135" i="14"/>
  <c r="P134" i="14"/>
  <c r="O134" i="14" s="1"/>
  <c r="N134" i="14"/>
  <c r="M134" i="14" s="1"/>
  <c r="J134" i="14"/>
  <c r="L134" i="14" s="1"/>
  <c r="K134" i="14" s="1"/>
  <c r="I134" i="14"/>
  <c r="P133" i="14"/>
  <c r="O133" i="14" s="1"/>
  <c r="N133" i="14"/>
  <c r="M133" i="14" s="1"/>
  <c r="L133" i="14"/>
  <c r="K133" i="14" s="1"/>
  <c r="J133" i="14"/>
  <c r="I133" i="14"/>
  <c r="P132" i="14"/>
  <c r="O132" i="14" s="1"/>
  <c r="N132" i="14"/>
  <c r="M132" i="14" s="1"/>
  <c r="L132" i="14"/>
  <c r="K132" i="14" s="1"/>
  <c r="J132" i="14"/>
  <c r="I132" i="14"/>
  <c r="P131" i="14"/>
  <c r="O131" i="14" s="1"/>
  <c r="N131" i="14"/>
  <c r="M131" i="14" s="1"/>
  <c r="L131" i="14"/>
  <c r="K131" i="14" s="1"/>
  <c r="J131" i="14"/>
  <c r="I131" i="14"/>
  <c r="P130" i="14"/>
  <c r="O130" i="14" s="1"/>
  <c r="L130" i="14"/>
  <c r="K130" i="14" s="1"/>
  <c r="J130" i="14"/>
  <c r="I130" i="14"/>
  <c r="P129" i="14"/>
  <c r="O129" i="14" s="1"/>
  <c r="N129" i="14"/>
  <c r="M129" i="14" s="1"/>
  <c r="L129" i="14"/>
  <c r="K129" i="14" s="1"/>
  <c r="J129" i="14"/>
  <c r="I129" i="14"/>
  <c r="P128" i="14"/>
  <c r="O128" i="14" s="1"/>
  <c r="N128" i="14"/>
  <c r="M128" i="14" s="1"/>
  <c r="L128" i="14"/>
  <c r="K128" i="14" s="1"/>
  <c r="J128" i="14"/>
  <c r="I128" i="14"/>
  <c r="P127" i="14"/>
  <c r="O127" i="14" s="1"/>
  <c r="N127" i="14"/>
  <c r="M127" i="14" s="1"/>
  <c r="J127" i="14"/>
  <c r="L127" i="14" s="1"/>
  <c r="K127" i="14" s="1"/>
  <c r="I127" i="14"/>
  <c r="P126" i="14"/>
  <c r="O126" i="14" s="1"/>
  <c r="N126" i="14"/>
  <c r="M126" i="14" s="1"/>
  <c r="L126" i="14"/>
  <c r="K126" i="14" s="1"/>
  <c r="J126" i="14"/>
  <c r="I126" i="14"/>
  <c r="P125" i="14"/>
  <c r="O125" i="14" s="1"/>
  <c r="N125" i="14"/>
  <c r="M125" i="14" s="1"/>
  <c r="L125" i="14"/>
  <c r="K125" i="14" s="1"/>
  <c r="J125" i="14"/>
  <c r="I125" i="14"/>
  <c r="P124" i="14"/>
  <c r="O124" i="14" s="1"/>
  <c r="L124" i="14"/>
  <c r="K124" i="14" s="1"/>
  <c r="J124" i="14"/>
  <c r="I124" i="14"/>
  <c r="P123" i="14"/>
  <c r="O123" i="14" s="1"/>
  <c r="N123" i="14"/>
  <c r="M123" i="14" s="1"/>
  <c r="J123" i="14"/>
  <c r="L123" i="14" s="1"/>
  <c r="K123" i="14" s="1"/>
  <c r="I123" i="14"/>
  <c r="P122" i="14"/>
  <c r="O122" i="14" s="1"/>
  <c r="N122" i="14"/>
  <c r="M122" i="14" s="1"/>
  <c r="J122" i="14"/>
  <c r="L122" i="14" s="1"/>
  <c r="K122" i="14" s="1"/>
  <c r="I122" i="14"/>
  <c r="J121" i="14"/>
  <c r="L121" i="14" s="1"/>
  <c r="K121" i="14" s="1"/>
  <c r="I121" i="14"/>
  <c r="J120" i="14"/>
  <c r="I120" i="14"/>
  <c r="P119" i="14"/>
  <c r="O119" i="14" s="1"/>
  <c r="N119" i="14"/>
  <c r="M119" i="14" s="1"/>
  <c r="L119" i="14"/>
  <c r="K119" i="14" s="1"/>
  <c r="J119" i="14"/>
  <c r="I119" i="14"/>
  <c r="P118" i="14"/>
  <c r="O118" i="14" s="1"/>
  <c r="N118" i="14"/>
  <c r="M118" i="14" s="1"/>
  <c r="J118" i="14"/>
  <c r="L118" i="14" s="1"/>
  <c r="K118" i="14" s="1"/>
  <c r="I118" i="14"/>
  <c r="P117" i="14"/>
  <c r="O117" i="14" s="1"/>
  <c r="L117" i="14"/>
  <c r="K117" i="14" s="1"/>
  <c r="J117" i="14"/>
  <c r="I117" i="14"/>
  <c r="P116" i="14"/>
  <c r="O116" i="14" s="1"/>
  <c r="L116" i="14"/>
  <c r="K116" i="14" s="1"/>
  <c r="J116" i="14"/>
  <c r="I116" i="14"/>
  <c r="P115" i="14"/>
  <c r="O115" i="14" s="1"/>
  <c r="L115" i="14"/>
  <c r="K115" i="14" s="1"/>
  <c r="J115" i="14"/>
  <c r="I115" i="14"/>
  <c r="J114" i="14"/>
  <c r="I114" i="14"/>
  <c r="P113" i="14"/>
  <c r="O113" i="14" s="1"/>
  <c r="L113" i="14"/>
  <c r="K113" i="14" s="1"/>
  <c r="J113" i="14"/>
  <c r="I113" i="14"/>
  <c r="P112" i="14"/>
  <c r="O112" i="14" s="1"/>
  <c r="L112" i="14"/>
  <c r="K112" i="14" s="1"/>
  <c r="J112" i="14"/>
  <c r="I112" i="14"/>
  <c r="P111" i="14"/>
  <c r="O111" i="14" s="1"/>
  <c r="L111" i="14"/>
  <c r="K111" i="14" s="1"/>
  <c r="J111" i="14"/>
  <c r="I111" i="14"/>
  <c r="J110" i="14"/>
  <c r="L110" i="14" s="1"/>
  <c r="K110" i="14" s="1"/>
  <c r="I110" i="14"/>
  <c r="P109" i="14"/>
  <c r="O109" i="14" s="1"/>
  <c r="N109" i="14"/>
  <c r="M109" i="14" s="1"/>
  <c r="L109" i="14"/>
  <c r="K109" i="14" s="1"/>
  <c r="J109" i="14"/>
  <c r="I109" i="14"/>
  <c r="P108" i="14"/>
  <c r="O108" i="14" s="1"/>
  <c r="N108" i="14"/>
  <c r="M108" i="14" s="1"/>
  <c r="J108" i="14"/>
  <c r="L108" i="14" s="1"/>
  <c r="K108" i="14" s="1"/>
  <c r="I108" i="14"/>
  <c r="P107" i="14"/>
  <c r="O107" i="14" s="1"/>
  <c r="N107" i="14"/>
  <c r="M107" i="14" s="1"/>
  <c r="L107" i="14"/>
  <c r="K107" i="14" s="1"/>
  <c r="J107" i="14"/>
  <c r="I107" i="14"/>
  <c r="P106" i="14"/>
  <c r="O106" i="14" s="1"/>
  <c r="N106" i="14"/>
  <c r="M106" i="14" s="1"/>
  <c r="L106" i="14"/>
  <c r="K106" i="14" s="1"/>
  <c r="J106" i="14"/>
  <c r="I106" i="14"/>
  <c r="P105" i="14"/>
  <c r="O105" i="14" s="1"/>
  <c r="N105" i="14"/>
  <c r="M105" i="14" s="1"/>
  <c r="L105" i="14"/>
  <c r="K105" i="14" s="1"/>
  <c r="J105" i="14"/>
  <c r="I105" i="14"/>
  <c r="J104" i="14"/>
  <c r="I104" i="14"/>
  <c r="P103" i="14"/>
  <c r="O103" i="14" s="1"/>
  <c r="N103" i="14"/>
  <c r="M103" i="14" s="1"/>
  <c r="J103" i="14"/>
  <c r="L103" i="14" s="1"/>
  <c r="K103" i="14" s="1"/>
  <c r="I103" i="14"/>
  <c r="P102" i="14"/>
  <c r="O102" i="14" s="1"/>
  <c r="N102" i="14"/>
  <c r="M102" i="14" s="1"/>
  <c r="L102" i="14"/>
  <c r="K102" i="14" s="1"/>
  <c r="J102" i="14"/>
  <c r="I102" i="14"/>
  <c r="P101" i="14"/>
  <c r="O101" i="14" s="1"/>
  <c r="L101" i="14"/>
  <c r="K101" i="14" s="1"/>
  <c r="J101" i="14"/>
  <c r="I101" i="14"/>
  <c r="P100" i="14"/>
  <c r="O100" i="14" s="1"/>
  <c r="L100" i="14"/>
  <c r="K100" i="14" s="1"/>
  <c r="J100" i="14"/>
  <c r="I100" i="14"/>
  <c r="P99" i="14"/>
  <c r="O99" i="14" s="1"/>
  <c r="N99" i="14"/>
  <c r="M99" i="14" s="1"/>
  <c r="L99" i="14"/>
  <c r="K99" i="14" s="1"/>
  <c r="J99" i="14"/>
  <c r="I99" i="14"/>
  <c r="J98" i="14"/>
  <c r="I98" i="14"/>
  <c r="P97" i="14"/>
  <c r="O97" i="14" s="1"/>
  <c r="N97" i="14"/>
  <c r="M97" i="14" s="1"/>
  <c r="J97" i="14"/>
  <c r="L97" i="14" s="1"/>
  <c r="K97" i="14" s="1"/>
  <c r="I97" i="14"/>
  <c r="P96" i="14"/>
  <c r="O96" i="14" s="1"/>
  <c r="N96" i="14"/>
  <c r="M96" i="14" s="1"/>
  <c r="L96" i="14"/>
  <c r="K96" i="14" s="1"/>
  <c r="J96" i="14"/>
  <c r="I96" i="14"/>
  <c r="P95" i="14"/>
  <c r="O95" i="14" s="1"/>
  <c r="N95" i="14"/>
  <c r="M95" i="14" s="1"/>
  <c r="L95" i="14"/>
  <c r="K95" i="14" s="1"/>
  <c r="J95" i="14"/>
  <c r="I95" i="14"/>
  <c r="P94" i="14"/>
  <c r="O94" i="14" s="1"/>
  <c r="L94" i="14"/>
  <c r="K94" i="14" s="1"/>
  <c r="J94" i="14"/>
  <c r="I94" i="14"/>
  <c r="J93" i="14"/>
  <c r="I93" i="14"/>
  <c r="P92" i="14"/>
  <c r="O92" i="14" s="1"/>
  <c r="N92" i="14"/>
  <c r="M92" i="14" s="1"/>
  <c r="L92" i="14"/>
  <c r="K92" i="14" s="1"/>
  <c r="J92" i="14"/>
  <c r="I92" i="14"/>
  <c r="P91" i="14"/>
  <c r="O91" i="14" s="1"/>
  <c r="N91" i="14"/>
  <c r="M91" i="14" s="1"/>
  <c r="L91" i="14"/>
  <c r="K91" i="14" s="1"/>
  <c r="J91" i="14"/>
  <c r="I91" i="14"/>
  <c r="P90" i="14"/>
  <c r="O90" i="14" s="1"/>
  <c r="N90" i="14"/>
  <c r="M90" i="14" s="1"/>
  <c r="L90" i="14"/>
  <c r="K90" i="14" s="1"/>
  <c r="J90" i="14"/>
  <c r="I90" i="14"/>
  <c r="J89" i="14"/>
  <c r="L89" i="14" s="1"/>
  <c r="K89" i="14" s="1"/>
  <c r="I89" i="14"/>
  <c r="P88" i="14"/>
  <c r="N88" i="14"/>
  <c r="M88" i="14" s="1"/>
  <c r="J88" i="14"/>
  <c r="L88" i="14" s="1"/>
  <c r="K88" i="14" s="1"/>
  <c r="I88" i="14"/>
  <c r="P87" i="14"/>
  <c r="N87" i="14"/>
  <c r="M87" i="14" s="1"/>
  <c r="J87" i="14"/>
  <c r="L87" i="14" s="1"/>
  <c r="K87" i="14" s="1"/>
  <c r="I87" i="14"/>
  <c r="P86" i="14"/>
  <c r="N86" i="14"/>
  <c r="M86" i="14" s="1"/>
  <c r="L86" i="14"/>
  <c r="K86" i="14" s="1"/>
  <c r="J86" i="14"/>
  <c r="I86" i="14"/>
  <c r="P85" i="14"/>
  <c r="N85" i="14"/>
  <c r="M85" i="14" s="1"/>
  <c r="J85" i="14"/>
  <c r="L85" i="14" s="1"/>
  <c r="K85" i="14" s="1"/>
  <c r="I85" i="14"/>
  <c r="P84" i="14"/>
  <c r="L84" i="14"/>
  <c r="K84" i="14" s="1"/>
  <c r="J84" i="14"/>
  <c r="I84" i="14"/>
  <c r="P83" i="14"/>
  <c r="N83" i="14"/>
  <c r="M83" i="14" s="1"/>
  <c r="L83" i="14"/>
  <c r="K83" i="14" s="1"/>
  <c r="J83" i="14"/>
  <c r="I83" i="14"/>
  <c r="P82" i="14"/>
  <c r="N82" i="14"/>
  <c r="M82" i="14" s="1"/>
  <c r="L82" i="14"/>
  <c r="K82" i="14" s="1"/>
  <c r="J82" i="14"/>
  <c r="I82" i="14"/>
  <c r="P81" i="14"/>
  <c r="N81" i="14"/>
  <c r="M81" i="14" s="1"/>
  <c r="L81" i="14"/>
  <c r="K81" i="14" s="1"/>
  <c r="J81" i="14"/>
  <c r="I81" i="14"/>
  <c r="P80" i="14"/>
  <c r="N80" i="14"/>
  <c r="M80" i="14" s="1"/>
  <c r="L80" i="14"/>
  <c r="K80" i="14" s="1"/>
  <c r="J80" i="14"/>
  <c r="I80" i="14"/>
  <c r="P79" i="14"/>
  <c r="N79" i="14"/>
  <c r="M79" i="14" s="1"/>
  <c r="L79" i="14"/>
  <c r="K79" i="14" s="1"/>
  <c r="J79" i="14"/>
  <c r="I79" i="14"/>
  <c r="P78" i="14"/>
  <c r="N78" i="14"/>
  <c r="M78" i="14" s="1"/>
  <c r="J78" i="14"/>
  <c r="L78" i="14" s="1"/>
  <c r="K78" i="14" s="1"/>
  <c r="I78" i="14"/>
  <c r="P77" i="14"/>
  <c r="O77" i="14" s="1"/>
  <c r="L77" i="14"/>
  <c r="K77" i="14" s="1"/>
  <c r="J77" i="14"/>
  <c r="I77" i="14"/>
  <c r="J76" i="14"/>
  <c r="I76" i="14"/>
  <c r="P75" i="14"/>
  <c r="N75" i="14"/>
  <c r="M75" i="14" s="1"/>
  <c r="L75" i="14"/>
  <c r="K75" i="14" s="1"/>
  <c r="J75" i="14"/>
  <c r="I75" i="14"/>
  <c r="J74" i="14"/>
  <c r="L74" i="14" s="1"/>
  <c r="K74" i="14" s="1"/>
  <c r="I74" i="14"/>
  <c r="J73" i="14"/>
  <c r="I73" i="14"/>
  <c r="P72" i="14"/>
  <c r="N72" i="14"/>
  <c r="M72" i="14" s="1"/>
  <c r="L72" i="14"/>
  <c r="K72" i="14" s="1"/>
  <c r="J72" i="14"/>
  <c r="I72" i="14"/>
  <c r="P71" i="14"/>
  <c r="O71" i="14" s="1"/>
  <c r="L71" i="14"/>
  <c r="K71" i="14" s="1"/>
  <c r="J71" i="14"/>
  <c r="I71" i="14"/>
  <c r="J70" i="14"/>
  <c r="I70" i="14"/>
  <c r="J69" i="14"/>
  <c r="I69" i="14"/>
  <c r="J68" i="14"/>
  <c r="I68" i="14"/>
  <c r="P67" i="14"/>
  <c r="N67" i="14"/>
  <c r="M67" i="14" s="1"/>
  <c r="J67" i="14"/>
  <c r="L67" i="14" s="1"/>
  <c r="K67" i="14" s="1"/>
  <c r="I67" i="14"/>
  <c r="P66" i="14"/>
  <c r="N66" i="14"/>
  <c r="M66" i="14" s="1"/>
  <c r="J66" i="14"/>
  <c r="L66" i="14" s="1"/>
  <c r="K66" i="14" s="1"/>
  <c r="I66" i="14"/>
  <c r="P65" i="14"/>
  <c r="N65" i="14"/>
  <c r="M65" i="14" s="1"/>
  <c r="J65" i="14"/>
  <c r="L65" i="14" s="1"/>
  <c r="K65" i="14" s="1"/>
  <c r="I65" i="14"/>
  <c r="P64" i="14"/>
  <c r="O64" i="14" s="1"/>
  <c r="L64" i="14"/>
  <c r="K64" i="14" s="1"/>
  <c r="J64" i="14"/>
  <c r="I64" i="14"/>
  <c r="P63" i="14"/>
  <c r="O63" i="14" s="1"/>
  <c r="L63" i="14"/>
  <c r="K63" i="14" s="1"/>
  <c r="J63" i="14"/>
  <c r="I63" i="14"/>
  <c r="P62" i="14"/>
  <c r="N62" i="14"/>
  <c r="M62" i="14" s="1"/>
  <c r="L62" i="14"/>
  <c r="K62" i="14" s="1"/>
  <c r="J62" i="14"/>
  <c r="I62" i="14"/>
  <c r="P61" i="14"/>
  <c r="N61" i="14"/>
  <c r="M61" i="14" s="1"/>
  <c r="L61" i="14"/>
  <c r="K61" i="14" s="1"/>
  <c r="J61" i="14"/>
  <c r="I61" i="14"/>
  <c r="J60" i="14"/>
  <c r="I60" i="14"/>
  <c r="P59" i="14"/>
  <c r="N59" i="14"/>
  <c r="M59" i="14" s="1"/>
  <c r="L59" i="14"/>
  <c r="K59" i="14" s="1"/>
  <c r="J59" i="14"/>
  <c r="I59" i="14"/>
  <c r="P58" i="14"/>
  <c r="N58" i="14"/>
  <c r="M58" i="14" s="1"/>
  <c r="L58" i="14"/>
  <c r="K58" i="14" s="1"/>
  <c r="J58" i="14"/>
  <c r="I58" i="14"/>
  <c r="P57" i="14"/>
  <c r="L57" i="14"/>
  <c r="K57" i="14" s="1"/>
  <c r="J57" i="14"/>
  <c r="I57" i="14"/>
  <c r="P56" i="14"/>
  <c r="N56" i="14"/>
  <c r="M56" i="14" s="1"/>
  <c r="J56" i="14"/>
  <c r="L56" i="14" s="1"/>
  <c r="K56" i="14" s="1"/>
  <c r="I56" i="14"/>
  <c r="P55" i="14"/>
  <c r="L55" i="14"/>
  <c r="K55" i="14" s="1"/>
  <c r="J55" i="14"/>
  <c r="I55" i="14"/>
  <c r="P54" i="14"/>
  <c r="N54" i="14"/>
  <c r="M54" i="14" s="1"/>
  <c r="L54" i="14"/>
  <c r="K54" i="14" s="1"/>
  <c r="J54" i="14"/>
  <c r="I54" i="14"/>
  <c r="P53" i="14"/>
  <c r="L53" i="14"/>
  <c r="K53" i="14" s="1"/>
  <c r="J53" i="14"/>
  <c r="I53" i="14"/>
  <c r="P52" i="14"/>
  <c r="N52" i="14"/>
  <c r="M52" i="14" s="1"/>
  <c r="J52" i="14"/>
  <c r="L52" i="14" s="1"/>
  <c r="K52" i="14" s="1"/>
  <c r="I52" i="14"/>
  <c r="P51" i="14"/>
  <c r="N51" i="14"/>
  <c r="M51" i="14" s="1"/>
  <c r="L51" i="14"/>
  <c r="K51" i="14" s="1"/>
  <c r="J51" i="14"/>
  <c r="I51" i="14"/>
  <c r="P50" i="14"/>
  <c r="N50" i="14"/>
  <c r="M50" i="14" s="1"/>
  <c r="L50" i="14"/>
  <c r="K50" i="14" s="1"/>
  <c r="J50" i="14"/>
  <c r="I50" i="14"/>
  <c r="P49" i="14"/>
  <c r="L49" i="14"/>
  <c r="K49" i="14" s="1"/>
  <c r="J49" i="14"/>
  <c r="I49" i="14"/>
  <c r="P48" i="14"/>
  <c r="N48" i="14"/>
  <c r="M48" i="14" s="1"/>
  <c r="L48" i="14"/>
  <c r="K48" i="14" s="1"/>
  <c r="J48" i="14"/>
  <c r="I48" i="14"/>
  <c r="J47" i="14"/>
  <c r="I47" i="14"/>
  <c r="P46" i="14"/>
  <c r="N46" i="14"/>
  <c r="M46" i="14" s="1"/>
  <c r="L46" i="14"/>
  <c r="K46" i="14" s="1"/>
  <c r="J46" i="14"/>
  <c r="I46" i="14"/>
  <c r="J45" i="14"/>
  <c r="I45" i="14"/>
  <c r="P44" i="14"/>
  <c r="N44" i="14"/>
  <c r="M44" i="14" s="1"/>
  <c r="L44" i="14"/>
  <c r="K44" i="14" s="1"/>
  <c r="J44" i="14"/>
  <c r="I44" i="14"/>
  <c r="P43" i="14"/>
  <c r="L43" i="14"/>
  <c r="K43" i="14" s="1"/>
  <c r="J43" i="14"/>
  <c r="I43" i="14"/>
  <c r="P42" i="14"/>
  <c r="N42" i="14"/>
  <c r="M42" i="14" s="1"/>
  <c r="J42" i="14"/>
  <c r="L42" i="14" s="1"/>
  <c r="K42" i="14" s="1"/>
  <c r="I42" i="14"/>
  <c r="P41" i="14"/>
  <c r="N41" i="14"/>
  <c r="M41" i="14" s="1"/>
  <c r="L41" i="14"/>
  <c r="K41" i="14" s="1"/>
  <c r="J41" i="14"/>
  <c r="I41" i="14"/>
  <c r="P40" i="14"/>
  <c r="L40" i="14"/>
  <c r="K40" i="14" s="1"/>
  <c r="J40" i="14"/>
  <c r="I40" i="14"/>
  <c r="P39" i="14"/>
  <c r="N39" i="14"/>
  <c r="M39" i="14" s="1"/>
  <c r="L39" i="14"/>
  <c r="K39" i="14" s="1"/>
  <c r="J39" i="14"/>
  <c r="I39" i="14"/>
  <c r="P38" i="14"/>
  <c r="N38" i="14"/>
  <c r="M38" i="14" s="1"/>
  <c r="L38" i="14"/>
  <c r="K38" i="14" s="1"/>
  <c r="J38" i="14"/>
  <c r="I38" i="14"/>
  <c r="P37" i="14"/>
  <c r="N37" i="14"/>
  <c r="M37" i="14" s="1"/>
  <c r="L37" i="14"/>
  <c r="K37" i="14" s="1"/>
  <c r="J37" i="14"/>
  <c r="I37" i="14"/>
  <c r="P36" i="14"/>
  <c r="N36" i="14"/>
  <c r="M36" i="14" s="1"/>
  <c r="J36" i="14"/>
  <c r="L36" i="14" s="1"/>
  <c r="K36" i="14" s="1"/>
  <c r="I36" i="14"/>
  <c r="P35" i="14"/>
  <c r="N35" i="14"/>
  <c r="M35" i="14" s="1"/>
  <c r="L35" i="14"/>
  <c r="K35" i="14" s="1"/>
  <c r="J35" i="14"/>
  <c r="I35" i="14"/>
  <c r="P34" i="14"/>
  <c r="L34" i="14"/>
  <c r="K34" i="14" s="1"/>
  <c r="J34" i="14"/>
  <c r="I34" i="14"/>
  <c r="P33" i="14"/>
  <c r="N33" i="14"/>
  <c r="M33" i="14" s="1"/>
  <c r="L33" i="14"/>
  <c r="K33" i="14" s="1"/>
  <c r="J33" i="14"/>
  <c r="I33" i="14"/>
  <c r="J32" i="14"/>
  <c r="I32" i="14"/>
  <c r="J31" i="14"/>
  <c r="I31" i="14"/>
  <c r="P30" i="14"/>
  <c r="L30" i="14"/>
  <c r="K30" i="14" s="1"/>
  <c r="J30" i="14"/>
  <c r="I30" i="14"/>
  <c r="P29" i="14"/>
  <c r="L29" i="14"/>
  <c r="K29" i="14" s="1"/>
  <c r="J29" i="14"/>
  <c r="I29" i="14"/>
  <c r="P28" i="14"/>
  <c r="N28" i="14"/>
  <c r="M28" i="14" s="1"/>
  <c r="J28" i="14"/>
  <c r="L28" i="14" s="1"/>
  <c r="K28" i="14" s="1"/>
  <c r="I28" i="14"/>
  <c r="P27" i="14"/>
  <c r="N27" i="14"/>
  <c r="M27" i="14" s="1"/>
  <c r="L27" i="14"/>
  <c r="K27" i="14" s="1"/>
  <c r="J27" i="14"/>
  <c r="I27" i="14"/>
  <c r="P26" i="14"/>
  <c r="N26" i="14"/>
  <c r="M26" i="14" s="1"/>
  <c r="L26" i="14"/>
  <c r="K26" i="14" s="1"/>
  <c r="J26" i="14"/>
  <c r="I26" i="14"/>
  <c r="P25" i="14"/>
  <c r="L25" i="14"/>
  <c r="K25" i="14" s="1"/>
  <c r="J25" i="14"/>
  <c r="I25" i="14"/>
  <c r="P24" i="14"/>
  <c r="N24" i="14"/>
  <c r="M24" i="14" s="1"/>
  <c r="L24" i="14"/>
  <c r="K24" i="14" s="1"/>
  <c r="J24" i="14"/>
  <c r="I24" i="14"/>
  <c r="P23" i="14"/>
  <c r="L23" i="14"/>
  <c r="K23" i="14" s="1"/>
  <c r="J23" i="14"/>
  <c r="I23" i="14"/>
  <c r="P22" i="14"/>
  <c r="N22" i="14"/>
  <c r="M22" i="14" s="1"/>
  <c r="L22" i="14"/>
  <c r="K22" i="14" s="1"/>
  <c r="J22" i="14"/>
  <c r="I22" i="14"/>
  <c r="J21" i="14"/>
  <c r="L21" i="14" s="1"/>
  <c r="K21" i="14" s="1"/>
  <c r="I21" i="14"/>
  <c r="P20" i="14"/>
  <c r="N20" i="14"/>
  <c r="M20" i="14" s="1"/>
  <c r="L20" i="14"/>
  <c r="K20" i="14" s="1"/>
  <c r="J20" i="14"/>
  <c r="I20" i="14"/>
  <c r="P19" i="14"/>
  <c r="N19" i="14"/>
  <c r="M19" i="14" s="1"/>
  <c r="L19" i="14"/>
  <c r="K19" i="14" s="1"/>
  <c r="J19" i="14"/>
  <c r="I19" i="14"/>
  <c r="P18" i="14"/>
  <c r="O18" i="14" s="1"/>
  <c r="L18" i="14"/>
  <c r="K18" i="14" s="1"/>
  <c r="J18" i="14"/>
  <c r="I18" i="14"/>
  <c r="P17" i="14"/>
  <c r="O17" i="14" s="1"/>
  <c r="L17" i="14"/>
  <c r="K17" i="14" s="1"/>
  <c r="J17" i="14"/>
  <c r="I17" i="14"/>
  <c r="J16" i="14"/>
  <c r="L16" i="14" s="1"/>
  <c r="K16" i="14" s="1"/>
  <c r="I16" i="14"/>
  <c r="J15" i="14"/>
  <c r="L15" i="14" s="1"/>
  <c r="K15" i="14" s="1"/>
  <c r="I15" i="14"/>
  <c r="P14" i="14"/>
  <c r="O14" i="14" s="1"/>
  <c r="N14" i="14"/>
  <c r="M14" i="14" s="1"/>
  <c r="L14" i="14"/>
  <c r="K14" i="14" s="1"/>
  <c r="J14" i="14"/>
  <c r="I14" i="14"/>
  <c r="J13" i="14"/>
  <c r="I13" i="14"/>
  <c r="J12" i="14"/>
  <c r="I12" i="14"/>
  <c r="P11" i="14"/>
  <c r="O11" i="14" s="1"/>
  <c r="N11" i="14"/>
  <c r="M11" i="14" s="1"/>
  <c r="J11" i="14"/>
  <c r="L11" i="14" s="1"/>
  <c r="K11" i="14" s="1"/>
  <c r="I11" i="14"/>
  <c r="J10" i="14"/>
  <c r="L10" i="14" s="1"/>
  <c r="K10" i="14" s="1"/>
  <c r="I10" i="14"/>
  <c r="J9" i="14"/>
  <c r="L9" i="14" s="1"/>
  <c r="K9" i="14" s="1"/>
  <c r="I9" i="14"/>
  <c r="P8" i="14"/>
  <c r="O8" i="14" s="1"/>
  <c r="N8" i="14"/>
  <c r="M8" i="14" s="1"/>
  <c r="L8" i="14"/>
  <c r="K8" i="14" s="1"/>
  <c r="J8" i="14"/>
  <c r="I8" i="14"/>
  <c r="J7" i="14"/>
  <c r="I7" i="14"/>
  <c r="P6" i="14"/>
  <c r="O6" i="14" s="1"/>
  <c r="L6" i="14"/>
  <c r="K6" i="14" s="1"/>
  <c r="J6" i="14"/>
  <c r="I6" i="14"/>
  <c r="P5" i="14"/>
  <c r="O5" i="14" s="1"/>
  <c r="L5" i="14"/>
  <c r="K5" i="14" s="1"/>
  <c r="J5" i="14"/>
  <c r="I5" i="14"/>
  <c r="P4" i="14"/>
  <c r="O4" i="14" s="1"/>
  <c r="N4" i="14"/>
  <c r="M4" i="14" s="1"/>
  <c r="J4" i="14"/>
  <c r="L4" i="14" s="1"/>
  <c r="K4" i="14" s="1"/>
  <c r="I4" i="14"/>
  <c r="P3" i="14"/>
  <c r="O3" i="14" s="1"/>
  <c r="N3" i="14"/>
  <c r="M3" i="14" s="1"/>
  <c r="L3" i="14"/>
  <c r="K3" i="14" s="1"/>
  <c r="J3" i="14"/>
  <c r="I3" i="14"/>
  <c r="N494" i="14" l="1"/>
  <c r="M494" i="14" s="1"/>
  <c r="P74" i="15"/>
  <c r="O74" i="15" s="1"/>
  <c r="P31" i="15"/>
  <c r="O31" i="15" s="1"/>
  <c r="P32" i="15"/>
  <c r="O32" i="15" s="1"/>
  <c r="N68" i="15"/>
  <c r="M68" i="15" s="1"/>
  <c r="N9" i="15"/>
  <c r="M9" i="15" s="1"/>
  <c r="N13" i="15"/>
  <c r="M13" i="15" s="1"/>
  <c r="P21" i="15"/>
  <c r="O21" i="15" s="1"/>
  <c r="L68" i="15"/>
  <c r="K68" i="15" s="1"/>
  <c r="P69" i="15"/>
  <c r="O69" i="15" s="1"/>
  <c r="P70" i="15"/>
  <c r="O70" i="15" s="1"/>
  <c r="K104" i="15"/>
  <c r="N12" i="15"/>
  <c r="M12" i="15" s="1"/>
  <c r="L7" i="15"/>
  <c r="L9" i="15"/>
  <c r="K9" i="15" s="1"/>
  <c r="P9" i="15"/>
  <c r="O9" i="15" s="1"/>
  <c r="L10" i="15"/>
  <c r="K10" i="15" s="1"/>
  <c r="L12" i="15"/>
  <c r="K12" i="15" s="1"/>
  <c r="L13" i="15"/>
  <c r="K13" i="15" s="1"/>
  <c r="L15" i="15"/>
  <c r="K15" i="15" s="1"/>
  <c r="L16" i="15"/>
  <c r="K16" i="15" s="1"/>
  <c r="L47" i="15"/>
  <c r="K47" i="15" s="1"/>
  <c r="L60" i="15"/>
  <c r="K60" i="15" s="1"/>
  <c r="N89" i="15"/>
  <c r="M89" i="15" s="1"/>
  <c r="N100" i="15"/>
  <c r="M100" i="15" s="1"/>
  <c r="P150" i="15"/>
  <c r="O150" i="15" s="1"/>
  <c r="P151" i="15"/>
  <c r="O151" i="15" s="1"/>
  <c r="P164" i="15"/>
  <c r="O164" i="15" s="1"/>
  <c r="P165" i="15"/>
  <c r="O165" i="15" s="1"/>
  <c r="P198" i="15"/>
  <c r="O198" i="15" s="1"/>
  <c r="K73" i="15"/>
  <c r="K74" i="15"/>
  <c r="L76" i="15"/>
  <c r="K76" i="15" s="1"/>
  <c r="K89" i="15"/>
  <c r="N98" i="15"/>
  <c r="N110" i="15"/>
  <c r="M110" i="15" s="1"/>
  <c r="P120" i="15"/>
  <c r="O120" i="15" s="1"/>
  <c r="P204" i="15"/>
  <c r="O204" i="15" s="1"/>
  <c r="N204" i="15"/>
  <c r="M204" i="15" s="1"/>
  <c r="P250" i="15"/>
  <c r="O250" i="15" s="1"/>
  <c r="M342" i="15"/>
  <c r="P342" i="15"/>
  <c r="O342" i="15" s="1"/>
  <c r="N365" i="15"/>
  <c r="M365" i="15" s="1"/>
  <c r="M366" i="15"/>
  <c r="P366" i="15"/>
  <c r="O366" i="15" s="1"/>
  <c r="N225" i="15"/>
  <c r="M225" i="15" s="1"/>
  <c r="N228" i="15"/>
  <c r="M228" i="15" s="1"/>
  <c r="N231" i="15"/>
  <c r="M231" i="15" s="1"/>
  <c r="N235" i="15"/>
  <c r="M235" i="15" s="1"/>
  <c r="N238" i="15"/>
  <c r="M238" i="15" s="1"/>
  <c r="P245" i="15"/>
  <c r="O245" i="15" s="1"/>
  <c r="P251" i="15"/>
  <c r="O251" i="15" s="1"/>
  <c r="P265" i="15"/>
  <c r="O265" i="15" s="1"/>
  <c r="P277" i="15"/>
  <c r="O277" i="15" s="1"/>
  <c r="P278" i="15"/>
  <c r="O278" i="15" s="1"/>
  <c r="P309" i="15"/>
  <c r="O309" i="15" s="1"/>
  <c r="N224" i="15"/>
  <c r="M224" i="15" s="1"/>
  <c r="P234" i="15"/>
  <c r="O234" i="15" s="1"/>
  <c r="P237" i="15"/>
  <c r="O237" i="15" s="1"/>
  <c r="N319" i="15"/>
  <c r="M319" i="15" s="1"/>
  <c r="N323" i="15"/>
  <c r="M323" i="15" s="1"/>
  <c r="N327" i="15"/>
  <c r="M327" i="15" s="1"/>
  <c r="N335" i="15"/>
  <c r="M335" i="15" s="1"/>
  <c r="N343" i="15"/>
  <c r="M343" i="15" s="1"/>
  <c r="N355" i="15"/>
  <c r="M355" i="15" s="1"/>
  <c r="N363" i="15"/>
  <c r="M363" i="15" s="1"/>
  <c r="P365" i="15"/>
  <c r="O365" i="15" s="1"/>
  <c r="P396" i="15"/>
  <c r="O396" i="15" s="1"/>
  <c r="P405" i="15"/>
  <c r="O405" i="15" s="1"/>
  <c r="P434" i="15"/>
  <c r="O434" i="15" s="1"/>
  <c r="L365" i="15"/>
  <c r="K365" i="15" s="1"/>
  <c r="N377" i="15"/>
  <c r="M377" i="15" s="1"/>
  <c r="P377" i="15"/>
  <c r="O377" i="15" s="1"/>
  <c r="N380" i="15"/>
  <c r="M380" i="15" s="1"/>
  <c r="N383" i="15"/>
  <c r="M383" i="15" s="1"/>
  <c r="N391" i="15"/>
  <c r="M391" i="15" s="1"/>
  <c r="N401" i="15"/>
  <c r="M401" i="15" s="1"/>
  <c r="N411" i="15"/>
  <c r="M411" i="15" s="1"/>
  <c r="N418" i="15"/>
  <c r="M418" i="15" s="1"/>
  <c r="P418" i="15"/>
  <c r="O418" i="15" s="1"/>
  <c r="N420" i="15"/>
  <c r="M420" i="15" s="1"/>
  <c r="N428" i="15"/>
  <c r="M428" i="15" s="1"/>
  <c r="N370" i="15"/>
  <c r="M370" i="15" s="1"/>
  <c r="N373" i="15"/>
  <c r="M373" i="15" s="1"/>
  <c r="N385" i="15"/>
  <c r="M385" i="15" s="1"/>
  <c r="N395" i="15"/>
  <c r="M395" i="15" s="1"/>
  <c r="N425" i="15"/>
  <c r="M425" i="15" s="1"/>
  <c r="N430" i="15"/>
  <c r="M430" i="15" s="1"/>
  <c r="P441" i="15"/>
  <c r="O441" i="15" s="1"/>
  <c r="P390" i="15"/>
  <c r="O390" i="15" s="1"/>
  <c r="P419" i="15"/>
  <c r="O419" i="15" s="1"/>
  <c r="P421" i="15"/>
  <c r="O421" i="15" s="1"/>
  <c r="P432" i="15"/>
  <c r="O432" i="15" s="1"/>
  <c r="L481" i="15"/>
  <c r="K481" i="15" s="1"/>
  <c r="P490" i="15"/>
  <c r="O490" i="15" s="1"/>
  <c r="L489" i="15"/>
  <c r="N489" i="15" s="1"/>
  <c r="M489" i="15" s="1"/>
  <c r="N496" i="15"/>
  <c r="N497" i="15"/>
  <c r="M497" i="15" s="1"/>
  <c r="N498" i="15"/>
  <c r="N491" i="15"/>
  <c r="M491" i="15" s="1"/>
  <c r="N63" i="14"/>
  <c r="M63" i="14" s="1"/>
  <c r="N64" i="14"/>
  <c r="M64" i="14" s="1"/>
  <c r="N229" i="14"/>
  <c r="M229" i="14" s="1"/>
  <c r="N111" i="14"/>
  <c r="M111" i="14" s="1"/>
  <c r="N112" i="14"/>
  <c r="M112" i="14" s="1"/>
  <c r="N113" i="14"/>
  <c r="M113" i="14" s="1"/>
  <c r="N213" i="14"/>
  <c r="M213" i="14" s="1"/>
  <c r="N214" i="14"/>
  <c r="M214" i="14" s="1"/>
  <c r="N29" i="14"/>
  <c r="M29" i="14" s="1"/>
  <c r="N169" i="14"/>
  <c r="M169" i="14" s="1"/>
  <c r="N148" i="14"/>
  <c r="M148" i="14" s="1"/>
  <c r="N149" i="14"/>
  <c r="M149" i="14" s="1"/>
  <c r="N152" i="14"/>
  <c r="M152" i="14" s="1"/>
  <c r="N224" i="14"/>
  <c r="M224" i="14" s="1"/>
  <c r="N225" i="14"/>
  <c r="M225" i="14" s="1"/>
  <c r="N5" i="14"/>
  <c r="M5" i="14" s="1"/>
  <c r="N267" i="14"/>
  <c r="M267" i="14" s="1"/>
  <c r="N427" i="14"/>
  <c r="M427" i="14" s="1"/>
  <c r="N428" i="14"/>
  <c r="M428" i="14" s="1"/>
  <c r="N244" i="14"/>
  <c r="M244" i="14" s="1"/>
  <c r="N380" i="14"/>
  <c r="M380" i="14" s="1"/>
  <c r="N53" i="14"/>
  <c r="M53" i="14" s="1"/>
  <c r="N115" i="14"/>
  <c r="M115" i="14" s="1"/>
  <c r="N116" i="14"/>
  <c r="M116" i="14" s="1"/>
  <c r="N117" i="14"/>
  <c r="M117" i="14" s="1"/>
  <c r="N130" i="14"/>
  <c r="M130" i="14" s="1"/>
  <c r="N173" i="14"/>
  <c r="M173" i="14" s="1"/>
  <c r="N252" i="14"/>
  <c r="M252" i="14" s="1"/>
  <c r="N301" i="14"/>
  <c r="M301" i="14" s="1"/>
  <c r="N310" i="14"/>
  <c r="M310" i="14" s="1"/>
  <c r="N312" i="14"/>
  <c r="M312" i="14" s="1"/>
  <c r="N370" i="14"/>
  <c r="M370" i="14" s="1"/>
  <c r="N23" i="14"/>
  <c r="M23" i="14" s="1"/>
  <c r="N262" i="14"/>
  <c r="M262" i="14" s="1"/>
  <c r="N276" i="14"/>
  <c r="M276" i="14" s="1"/>
  <c r="N279" i="14"/>
  <c r="M279" i="14" s="1"/>
  <c r="N327" i="14"/>
  <c r="M327" i="14" s="1"/>
  <c r="N338" i="14"/>
  <c r="M338" i="14" s="1"/>
  <c r="N364" i="14"/>
  <c r="M364" i="14" s="1"/>
  <c r="N392" i="14"/>
  <c r="M392" i="14" s="1"/>
  <c r="N478" i="14"/>
  <c r="M478" i="14" s="1"/>
  <c r="N421" i="14"/>
  <c r="M421" i="14" s="1"/>
  <c r="L425" i="14"/>
  <c r="K425" i="14" s="1"/>
  <c r="N18" i="14"/>
  <c r="M18" i="14" s="1"/>
  <c r="N34" i="14"/>
  <c r="M34" i="14" s="1"/>
  <c r="N57" i="14"/>
  <c r="M57" i="14" s="1"/>
  <c r="N71" i="14"/>
  <c r="M71" i="14" s="1"/>
  <c r="N100" i="14"/>
  <c r="M100" i="14" s="1"/>
  <c r="N101" i="14"/>
  <c r="M101" i="14" s="1"/>
  <c r="N170" i="14"/>
  <c r="M170" i="14" s="1"/>
  <c r="N183" i="14"/>
  <c r="M183" i="14" s="1"/>
  <c r="N217" i="14"/>
  <c r="M217" i="14" s="1"/>
  <c r="N219" i="14"/>
  <c r="M219" i="14" s="1"/>
  <c r="N330" i="14"/>
  <c r="M330" i="14" s="1"/>
  <c r="N366" i="14"/>
  <c r="M366" i="14" s="1"/>
  <c r="N386" i="14"/>
  <c r="M386" i="14" s="1"/>
  <c r="N401" i="14"/>
  <c r="M401" i="14" s="1"/>
  <c r="N436" i="14"/>
  <c r="M436" i="14" s="1"/>
  <c r="N437" i="14"/>
  <c r="M437" i="14" s="1"/>
  <c r="N438" i="14"/>
  <c r="M438" i="14" s="1"/>
  <c r="L70" i="14"/>
  <c r="N74" i="14"/>
  <c r="M74" i="14" s="1"/>
  <c r="L93" i="14"/>
  <c r="K93" i="14" s="1"/>
  <c r="L135" i="14"/>
  <c r="K135" i="14" s="1"/>
  <c r="L98" i="14"/>
  <c r="K98" i="14" s="1"/>
  <c r="L120" i="14"/>
  <c r="K120" i="14" s="1"/>
  <c r="L69" i="14"/>
  <c r="N69" i="14" s="1"/>
  <c r="M69" i="14" s="1"/>
  <c r="N121" i="14"/>
  <c r="M121" i="14" s="1"/>
  <c r="N138" i="14"/>
  <c r="M138" i="14" s="1"/>
  <c r="L151" i="14"/>
  <c r="K151" i="14" s="1"/>
  <c r="L68" i="14"/>
  <c r="L73" i="14"/>
  <c r="K73" i="14" s="1"/>
  <c r="N17" i="14"/>
  <c r="M17" i="14" s="1"/>
  <c r="N30" i="14"/>
  <c r="M30" i="14" s="1"/>
  <c r="N43" i="14"/>
  <c r="M43" i="14" s="1"/>
  <c r="N49" i="14"/>
  <c r="M49" i="14" s="1"/>
  <c r="N84" i="14"/>
  <c r="M84" i="14" s="1"/>
  <c r="L265" i="14"/>
  <c r="N265" i="14" s="1"/>
  <c r="L445" i="14"/>
  <c r="K445" i="14" s="1"/>
  <c r="N269" i="14"/>
  <c r="M269" i="14" s="1"/>
  <c r="L342" i="14"/>
  <c r="K342" i="14" s="1"/>
  <c r="K394" i="14"/>
  <c r="N394" i="14"/>
  <c r="M394" i="14" s="1"/>
  <c r="L490" i="14"/>
  <c r="K490" i="14" s="1"/>
  <c r="N6" i="14"/>
  <c r="M6" i="14" s="1"/>
  <c r="N21" i="14"/>
  <c r="M21" i="14" s="1"/>
  <c r="N25" i="14"/>
  <c r="M25" i="14" s="1"/>
  <c r="N40" i="14"/>
  <c r="M40" i="14" s="1"/>
  <c r="N55" i="14"/>
  <c r="M55" i="14" s="1"/>
  <c r="N77" i="14"/>
  <c r="M77" i="14" s="1"/>
  <c r="N89" i="14"/>
  <c r="M89" i="14" s="1"/>
  <c r="N94" i="14"/>
  <c r="M94" i="14" s="1"/>
  <c r="L104" i="14"/>
  <c r="K104" i="14" s="1"/>
  <c r="N110" i="14"/>
  <c r="M110" i="14" s="1"/>
  <c r="L114" i="14"/>
  <c r="K114" i="14" s="1"/>
  <c r="N124" i="14"/>
  <c r="M124" i="14" s="1"/>
  <c r="L150" i="14"/>
  <c r="K150" i="14" s="1"/>
  <c r="N159" i="14"/>
  <c r="M159" i="14" s="1"/>
  <c r="N166" i="14"/>
  <c r="M166" i="14" s="1"/>
  <c r="N174" i="14"/>
  <c r="M174" i="14" s="1"/>
  <c r="N182" i="14"/>
  <c r="M182" i="14" s="1"/>
  <c r="L192" i="14"/>
  <c r="K192" i="14" s="1"/>
  <c r="L198" i="14"/>
  <c r="K198" i="14" s="1"/>
  <c r="N227" i="14"/>
  <c r="M227" i="14" s="1"/>
  <c r="N231" i="14"/>
  <c r="M231" i="14" s="1"/>
  <c r="N257" i="14"/>
  <c r="M257" i="14" s="1"/>
  <c r="N258" i="14"/>
  <c r="M258" i="14" s="1"/>
  <c r="N289" i="14"/>
  <c r="M289" i="14" s="1"/>
  <c r="N290" i="14"/>
  <c r="M290" i="14" s="1"/>
  <c r="K411" i="14"/>
  <c r="N179" i="14"/>
  <c r="P179" i="14" s="1"/>
  <c r="O179" i="14" s="1"/>
  <c r="N208" i="14"/>
  <c r="M208" i="14" s="1"/>
  <c r="N238" i="14"/>
  <c r="M238" i="14" s="1"/>
  <c r="N242" i="14"/>
  <c r="M242" i="14" s="1"/>
  <c r="N246" i="14"/>
  <c r="M246" i="14" s="1"/>
  <c r="N247" i="14"/>
  <c r="M247" i="14" s="1"/>
  <c r="N248" i="14"/>
  <c r="M248" i="14" s="1"/>
  <c r="N314" i="14"/>
  <c r="M314" i="14" s="1"/>
  <c r="N323" i="14"/>
  <c r="M323" i="14" s="1"/>
  <c r="N324" i="14"/>
  <c r="M324" i="14" s="1"/>
  <c r="N419" i="14"/>
  <c r="M419" i="14" s="1"/>
  <c r="P421" i="14"/>
  <c r="O421" i="14" s="1"/>
  <c r="N441" i="14"/>
  <c r="N465" i="14"/>
  <c r="M465" i="14" s="1"/>
  <c r="N489" i="14"/>
  <c r="M489" i="14" s="1"/>
  <c r="N286" i="14"/>
  <c r="M286" i="14" s="1"/>
  <c r="N291" i="14"/>
  <c r="M291" i="14" s="1"/>
  <c r="N329" i="14"/>
  <c r="M329" i="14" s="1"/>
  <c r="N396" i="14"/>
  <c r="M396" i="14" s="1"/>
  <c r="N411" i="14"/>
  <c r="M411" i="14" s="1"/>
  <c r="N450" i="14"/>
  <c r="M450" i="14" s="1"/>
  <c r="L456" i="14"/>
  <c r="K456" i="14" s="1"/>
  <c r="N475" i="14"/>
  <c r="M475" i="14" s="1"/>
  <c r="N482" i="14"/>
  <c r="M482" i="14" s="1"/>
  <c r="L484" i="14"/>
  <c r="K484" i="14" s="1"/>
  <c r="N491" i="14"/>
  <c r="M491" i="14" s="1"/>
  <c r="K177" i="14"/>
  <c r="N177" i="14"/>
  <c r="M177" i="14" s="1"/>
  <c r="N165" i="14"/>
  <c r="M165" i="14" s="1"/>
  <c r="K165" i="14"/>
  <c r="N9" i="14"/>
  <c r="M9" i="14" s="1"/>
  <c r="L234" i="14"/>
  <c r="K234" i="14" s="1"/>
  <c r="N164" i="14"/>
  <c r="M164" i="14" s="1"/>
  <c r="N168" i="14"/>
  <c r="M168" i="14" s="1"/>
  <c r="N184" i="14"/>
  <c r="M184" i="14" s="1"/>
  <c r="L228" i="14"/>
  <c r="K228" i="14" s="1"/>
  <c r="K355" i="14"/>
  <c r="N355" i="14"/>
  <c r="M355" i="14" s="1"/>
  <c r="K373" i="14"/>
  <c r="N373" i="14"/>
  <c r="M373" i="14" s="1"/>
  <c r="N15" i="14"/>
  <c r="M15" i="14" s="1"/>
  <c r="K405" i="14"/>
  <c r="L7" i="14"/>
  <c r="K7" i="14" s="1"/>
  <c r="L13" i="14"/>
  <c r="K13" i="14" s="1"/>
  <c r="L47" i="14"/>
  <c r="K47" i="14" s="1"/>
  <c r="L60" i="14"/>
  <c r="K60" i="14" s="1"/>
  <c r="L158" i="14"/>
  <c r="K158" i="14" s="1"/>
  <c r="L178" i="14"/>
  <c r="K178" i="14" s="1"/>
  <c r="N188" i="14"/>
  <c r="M188" i="14" s="1"/>
  <c r="N203" i="14"/>
  <c r="M203" i="14" s="1"/>
  <c r="N204" i="14"/>
  <c r="L250" i="14"/>
  <c r="N250" i="14" s="1"/>
  <c r="M250" i="14" s="1"/>
  <c r="L254" i="14"/>
  <c r="K254" i="14" s="1"/>
  <c r="N10" i="14"/>
  <c r="M10" i="14" s="1"/>
  <c r="N16" i="14"/>
  <c r="M16" i="14" s="1"/>
  <c r="P74" i="14"/>
  <c r="O74" i="14" s="1"/>
  <c r="L420" i="14"/>
  <c r="K420" i="14" s="1"/>
  <c r="K454" i="14"/>
  <c r="L12" i="14"/>
  <c r="K12" i="14" s="1"/>
  <c r="L31" i="14"/>
  <c r="K31" i="14" s="1"/>
  <c r="L32" i="14"/>
  <c r="K32" i="14" s="1"/>
  <c r="L45" i="14"/>
  <c r="K45" i="14" s="1"/>
  <c r="L76" i="14"/>
  <c r="K76" i="14" s="1"/>
  <c r="K164" i="14"/>
  <c r="K168" i="14"/>
  <c r="N193" i="14"/>
  <c r="M193" i="14" s="1"/>
  <c r="N199" i="14"/>
  <c r="M199" i="14" s="1"/>
  <c r="N235" i="14"/>
  <c r="M235" i="14" s="1"/>
  <c r="N237" i="14"/>
  <c r="M237" i="14" s="1"/>
  <c r="N245" i="14"/>
  <c r="M245" i="14" s="1"/>
  <c r="N251" i="14"/>
  <c r="M251" i="14" s="1"/>
  <c r="K343" i="14"/>
  <c r="N343" i="14"/>
  <c r="M343" i="14" s="1"/>
  <c r="K418" i="14"/>
  <c r="K377" i="14"/>
  <c r="N377" i="14"/>
  <c r="M377" i="14" s="1"/>
  <c r="K383" i="14"/>
  <c r="N383" i="14"/>
  <c r="M383" i="14" s="1"/>
  <c r="K391" i="14"/>
  <c r="N391" i="14"/>
  <c r="M391" i="14" s="1"/>
  <c r="K395" i="14"/>
  <c r="N256" i="14"/>
  <c r="M256" i="14" s="1"/>
  <c r="K363" i="14"/>
  <c r="N363" i="14"/>
  <c r="M363" i="14" s="1"/>
  <c r="K365" i="14"/>
  <c r="N365" i="14"/>
  <c r="M365" i="14" s="1"/>
  <c r="K385" i="14"/>
  <c r="N385" i="14"/>
  <c r="M385" i="14" s="1"/>
  <c r="N390" i="14"/>
  <c r="M390" i="14" s="1"/>
  <c r="L430" i="14"/>
  <c r="K430" i="14" s="1"/>
  <c r="L481" i="14"/>
  <c r="K481" i="14" s="1"/>
  <c r="K258" i="14"/>
  <c r="K265" i="14"/>
  <c r="K269" i="14"/>
  <c r="L432" i="14"/>
  <c r="K432" i="14" s="1"/>
  <c r="L277" i="14"/>
  <c r="K277" i="14" s="1"/>
  <c r="L278" i="14"/>
  <c r="K278" i="14" s="1"/>
  <c r="L284" i="14"/>
  <c r="K284" i="14" s="1"/>
  <c r="L296" i="14"/>
  <c r="K296" i="14" s="1"/>
  <c r="L297" i="14"/>
  <c r="K297" i="14" s="1"/>
  <c r="L300" i="14"/>
  <c r="K300" i="14" s="1"/>
  <c r="L309" i="14"/>
  <c r="K309" i="14" s="1"/>
  <c r="L319" i="14"/>
  <c r="K319" i="14" s="1"/>
  <c r="L335" i="14"/>
  <c r="K335" i="14" s="1"/>
  <c r="N395" i="14"/>
  <c r="M395" i="14" s="1"/>
  <c r="N400" i="14"/>
  <c r="M400" i="14" s="1"/>
  <c r="N405" i="14"/>
  <c r="M405" i="14" s="1"/>
  <c r="N418" i="14"/>
  <c r="M418" i="14" s="1"/>
  <c r="L434" i="14"/>
  <c r="N434" i="14" s="1"/>
  <c r="M434" i="14" s="1"/>
  <c r="N439" i="14"/>
  <c r="M439" i="14" s="1"/>
  <c r="N454" i="14"/>
  <c r="M454" i="14" s="1"/>
  <c r="N470" i="14"/>
  <c r="M470" i="14" s="1"/>
  <c r="N496" i="14"/>
  <c r="N497" i="14"/>
  <c r="M497" i="14" s="1"/>
  <c r="N498" i="14"/>
  <c r="P396" i="14" l="1"/>
  <c r="O396" i="14" s="1"/>
  <c r="M496" i="15"/>
  <c r="P496" i="15"/>
  <c r="O496" i="15" s="1"/>
  <c r="M498" i="15"/>
  <c r="P498" i="15"/>
  <c r="O498" i="15" s="1"/>
  <c r="P491" i="15"/>
  <c r="O491" i="15" s="1"/>
  <c r="P420" i="15"/>
  <c r="O420" i="15" s="1"/>
  <c r="P411" i="15"/>
  <c r="O411" i="15" s="1"/>
  <c r="P385" i="15"/>
  <c r="O385" i="15" s="1"/>
  <c r="P395" i="15"/>
  <c r="O395" i="15" s="1"/>
  <c r="P228" i="15"/>
  <c r="O228" i="15" s="1"/>
  <c r="P373" i="15"/>
  <c r="O373" i="15" s="1"/>
  <c r="P98" i="15"/>
  <c r="O98" i="15" s="1"/>
  <c r="M98" i="15"/>
  <c r="P60" i="15"/>
  <c r="O60" i="15" s="1"/>
  <c r="P68" i="15"/>
  <c r="O68" i="15" s="1"/>
  <c r="N10" i="15"/>
  <c r="M10" i="15" s="1"/>
  <c r="P89" i="15"/>
  <c r="O89" i="15" s="1"/>
  <c r="N60" i="15"/>
  <c r="M60" i="15" s="1"/>
  <c r="N16" i="15"/>
  <c r="M16" i="15" s="1"/>
  <c r="P363" i="15"/>
  <c r="O363" i="15" s="1"/>
  <c r="P319" i="15"/>
  <c r="O319" i="15" s="1"/>
  <c r="P235" i="15"/>
  <c r="O235" i="15" s="1"/>
  <c r="N7" i="15"/>
  <c r="K7" i="15"/>
  <c r="N76" i="15"/>
  <c r="M76" i="15" s="1"/>
  <c r="P12" i="15"/>
  <c r="O12" i="15" s="1"/>
  <c r="N47" i="15"/>
  <c r="M47" i="15" s="1"/>
  <c r="N481" i="15"/>
  <c r="M481" i="15" s="1"/>
  <c r="P335" i="15"/>
  <c r="O335" i="15" s="1"/>
  <c r="N15" i="15"/>
  <c r="P13" i="15"/>
  <c r="O13" i="15" s="1"/>
  <c r="K489" i="15"/>
  <c r="P489" i="15"/>
  <c r="O489" i="15" s="1"/>
  <c r="P425" i="15"/>
  <c r="O425" i="15" s="1"/>
  <c r="P430" i="15"/>
  <c r="O430" i="15" s="1"/>
  <c r="P110" i="15"/>
  <c r="O110" i="15" s="1"/>
  <c r="P10" i="15"/>
  <c r="O10" i="15" s="1"/>
  <c r="N13" i="14"/>
  <c r="M13" i="14" s="1"/>
  <c r="P373" i="14"/>
  <c r="O373" i="14" s="1"/>
  <c r="N73" i="14"/>
  <c r="M73" i="14" s="1"/>
  <c r="P235" i="14"/>
  <c r="O235" i="14" s="1"/>
  <c r="P121" i="14"/>
  <c r="O121" i="14" s="1"/>
  <c r="P489" i="14"/>
  <c r="O489" i="14" s="1"/>
  <c r="P482" i="14"/>
  <c r="O482" i="14" s="1"/>
  <c r="P9" i="14"/>
  <c r="O9" i="14" s="1"/>
  <c r="P177" i="14"/>
  <c r="O177" i="14" s="1"/>
  <c r="P366" i="14"/>
  <c r="O366" i="14" s="1"/>
  <c r="P89" i="14"/>
  <c r="O89" i="14" s="1"/>
  <c r="M179" i="14"/>
  <c r="N425" i="14"/>
  <c r="P258" i="14"/>
  <c r="O258" i="14" s="1"/>
  <c r="N430" i="14"/>
  <c r="M430" i="14" s="1"/>
  <c r="P390" i="14"/>
  <c r="O390" i="14" s="1"/>
  <c r="P491" i="14"/>
  <c r="O491" i="14" s="1"/>
  <c r="N432" i="14"/>
  <c r="M432" i="14" s="1"/>
  <c r="N76" i="14"/>
  <c r="M76" i="14" s="1"/>
  <c r="P21" i="14"/>
  <c r="O21" i="14" s="1"/>
  <c r="N192" i="14"/>
  <c r="M192" i="14" s="1"/>
  <c r="P251" i="14"/>
  <c r="O251" i="14" s="1"/>
  <c r="P165" i="14"/>
  <c r="O165" i="14" s="1"/>
  <c r="N98" i="14"/>
  <c r="P419" i="14"/>
  <c r="O419" i="14" s="1"/>
  <c r="P110" i="14"/>
  <c r="O110" i="14" s="1"/>
  <c r="N151" i="14"/>
  <c r="P269" i="14"/>
  <c r="O269" i="14" s="1"/>
  <c r="M265" i="14"/>
  <c r="P265" i="14"/>
  <c r="O265" i="14" s="1"/>
  <c r="K68" i="14"/>
  <c r="P411" i="14"/>
  <c r="O411" i="14" s="1"/>
  <c r="N490" i="14"/>
  <c r="N342" i="14"/>
  <c r="M342" i="14" s="1"/>
  <c r="N445" i="14"/>
  <c r="N150" i="14"/>
  <c r="N68" i="14"/>
  <c r="M68" i="14" s="1"/>
  <c r="N120" i="14"/>
  <c r="K70" i="14"/>
  <c r="P470" i="14"/>
  <c r="O470" i="14" s="1"/>
  <c r="P245" i="14"/>
  <c r="O245" i="14" s="1"/>
  <c r="P15" i="14"/>
  <c r="O15" i="14" s="1"/>
  <c r="N234" i="14"/>
  <c r="M234" i="14" s="1"/>
  <c r="N484" i="14"/>
  <c r="M441" i="14"/>
  <c r="P441" i="14"/>
  <c r="O441" i="14" s="1"/>
  <c r="N114" i="14"/>
  <c r="P69" i="14"/>
  <c r="O69" i="14" s="1"/>
  <c r="K69" i="14"/>
  <c r="N135" i="14"/>
  <c r="N70" i="14"/>
  <c r="M70" i="14" s="1"/>
  <c r="P237" i="14"/>
  <c r="O237" i="14" s="1"/>
  <c r="N420" i="14"/>
  <c r="M420" i="14" s="1"/>
  <c r="N456" i="14"/>
  <c r="N198" i="14"/>
  <c r="N104" i="14"/>
  <c r="N93" i="14"/>
  <c r="N481" i="14"/>
  <c r="M481" i="14" s="1"/>
  <c r="N335" i="14"/>
  <c r="M335" i="14" s="1"/>
  <c r="N297" i="14"/>
  <c r="M297" i="14" s="1"/>
  <c r="N277" i="14"/>
  <c r="M277" i="14" s="1"/>
  <c r="P363" i="14"/>
  <c r="O363" i="14" s="1"/>
  <c r="P418" i="14"/>
  <c r="O418" i="14" s="1"/>
  <c r="N254" i="14"/>
  <c r="M204" i="14"/>
  <c r="P204" i="14"/>
  <c r="O204" i="14" s="1"/>
  <c r="N31" i="14"/>
  <c r="M31" i="14" s="1"/>
  <c r="P168" i="14"/>
  <c r="O168" i="14" s="1"/>
  <c r="N178" i="14"/>
  <c r="M178" i="14" s="1"/>
  <c r="M496" i="14"/>
  <c r="P496" i="14"/>
  <c r="O496" i="14" s="1"/>
  <c r="N319" i="14"/>
  <c r="M319" i="14" s="1"/>
  <c r="N296" i="14"/>
  <c r="M296" i="14" s="1"/>
  <c r="K250" i="14"/>
  <c r="P250" i="14"/>
  <c r="O250" i="14" s="1"/>
  <c r="P10" i="14"/>
  <c r="O10" i="14" s="1"/>
  <c r="P405" i="14"/>
  <c r="O405" i="14" s="1"/>
  <c r="N228" i="14"/>
  <c r="N45" i="14"/>
  <c r="M45" i="14" s="1"/>
  <c r="N47" i="14"/>
  <c r="M47" i="14" s="1"/>
  <c r="N60" i="14"/>
  <c r="K434" i="14"/>
  <c r="P434" i="14"/>
  <c r="O434" i="14" s="1"/>
  <c r="N309" i="14"/>
  <c r="M309" i="14" s="1"/>
  <c r="N284" i="14"/>
  <c r="M284" i="14" s="1"/>
  <c r="P395" i="14"/>
  <c r="O395" i="14" s="1"/>
  <c r="P385" i="14"/>
  <c r="O385" i="14" s="1"/>
  <c r="P377" i="14"/>
  <c r="O377" i="14" s="1"/>
  <c r="P16" i="14"/>
  <c r="O16" i="14" s="1"/>
  <c r="N7" i="14"/>
  <c r="M7" i="14" s="1"/>
  <c r="N32" i="14"/>
  <c r="M32" i="14" s="1"/>
  <c r="P164" i="14"/>
  <c r="O164" i="14" s="1"/>
  <c r="M498" i="14"/>
  <c r="P498" i="14"/>
  <c r="O498" i="14" s="1"/>
  <c r="N300" i="14"/>
  <c r="M300" i="14" s="1"/>
  <c r="N278" i="14"/>
  <c r="M278" i="14" s="1"/>
  <c r="P365" i="14"/>
  <c r="O365" i="14" s="1"/>
  <c r="P454" i="14"/>
  <c r="O454" i="14" s="1"/>
  <c r="N12" i="14"/>
  <c r="M12" i="14" s="1"/>
  <c r="N158" i="14"/>
  <c r="M158" i="14" s="1"/>
  <c r="P13" i="14" l="1"/>
  <c r="O13" i="14" s="1"/>
  <c r="P432" i="14"/>
  <c r="O432" i="14" s="1"/>
  <c r="M15" i="15"/>
  <c r="P15" i="15"/>
  <c r="O15" i="15" s="1"/>
  <c r="P47" i="15"/>
  <c r="O47" i="15" s="1"/>
  <c r="M7" i="15"/>
  <c r="P7" i="15"/>
  <c r="O7" i="15" s="1"/>
  <c r="P481" i="15"/>
  <c r="O481" i="15" s="1"/>
  <c r="P76" i="15"/>
  <c r="O76" i="15" s="1"/>
  <c r="P16" i="15"/>
  <c r="O16" i="15" s="1"/>
  <c r="P73" i="14"/>
  <c r="O73" i="14" s="1"/>
  <c r="P481" i="14"/>
  <c r="O481" i="14" s="1"/>
  <c r="P45" i="14"/>
  <c r="O45" i="14" s="1"/>
  <c r="P192" i="14"/>
  <c r="O192" i="14" s="1"/>
  <c r="P284" i="14"/>
  <c r="O284" i="14" s="1"/>
  <c r="P7" i="14"/>
  <c r="O7" i="14" s="1"/>
  <c r="P300" i="14"/>
  <c r="O300" i="14" s="1"/>
  <c r="P309" i="14"/>
  <c r="O309" i="14" s="1"/>
  <c r="P342" i="14"/>
  <c r="O342" i="14" s="1"/>
  <c r="P430" i="14"/>
  <c r="O430" i="14" s="1"/>
  <c r="P335" i="14"/>
  <c r="O335" i="14" s="1"/>
  <c r="P76" i="14"/>
  <c r="O76" i="14" s="1"/>
  <c r="M425" i="14"/>
  <c r="P425" i="14"/>
  <c r="O425" i="14" s="1"/>
  <c r="P47" i="14"/>
  <c r="O47" i="14" s="1"/>
  <c r="M151" i="14"/>
  <c r="P151" i="14"/>
  <c r="O151" i="14" s="1"/>
  <c r="M98" i="14"/>
  <c r="P98" i="14"/>
  <c r="O98" i="14" s="1"/>
  <c r="P31" i="14"/>
  <c r="O31" i="14" s="1"/>
  <c r="P178" i="14"/>
  <c r="O178" i="14" s="1"/>
  <c r="P277" i="14"/>
  <c r="O277" i="14" s="1"/>
  <c r="M456" i="14"/>
  <c r="P456" i="14"/>
  <c r="O456" i="14" s="1"/>
  <c r="M114" i="14"/>
  <c r="P114" i="14"/>
  <c r="O114" i="14" s="1"/>
  <c r="M484" i="14"/>
  <c r="P484" i="14"/>
  <c r="O484" i="14" s="1"/>
  <c r="P420" i="14"/>
  <c r="O420" i="14" s="1"/>
  <c r="P70" i="14"/>
  <c r="O70" i="14" s="1"/>
  <c r="M445" i="14"/>
  <c r="P445" i="14"/>
  <c r="O445" i="14" s="1"/>
  <c r="P32" i="14"/>
  <c r="O32" i="14" s="1"/>
  <c r="M93" i="14"/>
  <c r="P93" i="14"/>
  <c r="O93" i="14" s="1"/>
  <c r="M135" i="14"/>
  <c r="P135" i="14"/>
  <c r="O135" i="14" s="1"/>
  <c r="M120" i="14"/>
  <c r="P120" i="14"/>
  <c r="O120" i="14" s="1"/>
  <c r="P68" i="14"/>
  <c r="O68" i="14" s="1"/>
  <c r="M104" i="14"/>
  <c r="P104" i="14"/>
  <c r="O104" i="14" s="1"/>
  <c r="P234" i="14"/>
  <c r="O234" i="14" s="1"/>
  <c r="M490" i="14"/>
  <c r="P490" i="14"/>
  <c r="O490" i="14" s="1"/>
  <c r="M198" i="14"/>
  <c r="P198" i="14"/>
  <c r="O198" i="14" s="1"/>
  <c r="M150" i="14"/>
  <c r="P150" i="14"/>
  <c r="O150" i="14" s="1"/>
  <c r="P12" i="14"/>
  <c r="O12" i="14" s="1"/>
  <c r="P278" i="14"/>
  <c r="O278" i="14" s="1"/>
  <c r="M60" i="14"/>
  <c r="P60" i="14"/>
  <c r="O60" i="14" s="1"/>
  <c r="P319" i="14"/>
  <c r="O319" i="14" s="1"/>
  <c r="P158" i="14"/>
  <c r="O158" i="14" s="1"/>
  <c r="M254" i="14"/>
  <c r="P254" i="14"/>
  <c r="O254" i="14" s="1"/>
  <c r="M228" i="14"/>
  <c r="P228" i="14"/>
  <c r="O228" i="14" s="1"/>
  <c r="P296" i="14"/>
  <c r="O296" i="14" s="1"/>
  <c r="P297" i="14"/>
  <c r="O297" i="14" s="1"/>
</calcChain>
</file>

<file path=xl/sharedStrings.xml><?xml version="1.0" encoding="utf-8"?>
<sst xmlns="http://schemas.openxmlformats.org/spreadsheetml/2006/main" count="6264" uniqueCount="659">
  <si>
    <t>EMISSOR</t>
  </si>
  <si>
    <t>DATA DE EMISSÃO</t>
  </si>
  <si>
    <t>NATUREZA DA OPERAÇÃO</t>
  </si>
  <si>
    <t>R$ TOTAL</t>
  </si>
  <si>
    <t>1ª Parcela</t>
  </si>
  <si>
    <t>R$ 1ª Parcela</t>
  </si>
  <si>
    <t>2ª Parcela</t>
  </si>
  <si>
    <t>R$ 2ª Parcela</t>
  </si>
  <si>
    <t>3ª Parcela</t>
  </si>
  <si>
    <t>R$ 3ª Parcela</t>
  </si>
  <si>
    <t>4ª Parcela</t>
  </si>
  <si>
    <t>R$ 4ª Parcela</t>
  </si>
  <si>
    <t>QuantumWave Industries</t>
  </si>
  <si>
    <t>OmniGlobe Enterprises</t>
  </si>
  <si>
    <t>StellarFusion Corp.</t>
  </si>
  <si>
    <t>ApexNexus Innovations</t>
  </si>
  <si>
    <t>TerraVista Holdings</t>
  </si>
  <si>
    <t>VortexDynamics Inc.</t>
  </si>
  <si>
    <t>FusionPeak Technologies</t>
  </si>
  <si>
    <t>HorizonEcho Group</t>
  </si>
  <si>
    <t>SilverStone Ventures</t>
  </si>
  <si>
    <t>LuminaCore Systems</t>
  </si>
  <si>
    <t>InfinityPulse LLC</t>
  </si>
  <si>
    <t>BlueWave Networks</t>
  </si>
  <si>
    <t>RadiantSky Labs</t>
  </si>
  <si>
    <t>TitanEdge Enterprises</t>
  </si>
  <si>
    <t>VertexSolar Power</t>
  </si>
  <si>
    <t>CrimsonCrest Dynamics</t>
  </si>
  <si>
    <t>ZenithStream Technologies</t>
  </si>
  <si>
    <t>AeroMatrix Solutions</t>
  </si>
  <si>
    <t>NovaSphere Industries</t>
  </si>
  <si>
    <t>BrightLeaf Innovations</t>
  </si>
  <si>
    <t>CyberLink Corporation</t>
  </si>
  <si>
    <t>QuantumPulse LLC</t>
  </si>
  <si>
    <t>ElevateX Solutions</t>
  </si>
  <si>
    <t>TerraFusion Industries</t>
  </si>
  <si>
    <t>ApexSphere Enterprises</t>
  </si>
  <si>
    <t>StellarWave Technologies</t>
  </si>
  <si>
    <t>FusionEdge Systems</t>
  </si>
  <si>
    <t>VortexPeak Dynamics</t>
  </si>
  <si>
    <t>HorizonNexus Corp.</t>
  </si>
  <si>
    <t>RadiantVista Holdings</t>
  </si>
  <si>
    <t>LuminaWave Innovations</t>
  </si>
  <si>
    <t>SilverPulse Ventures</t>
  </si>
  <si>
    <t>BlueStone Networks</t>
  </si>
  <si>
    <t>OmniCore Systems</t>
  </si>
  <si>
    <t>InfinitySky Labs</t>
  </si>
  <si>
    <t>TitanFusion Power</t>
  </si>
  <si>
    <t>CrimsonEdge Dynamics</t>
  </si>
  <si>
    <t>ZenTech Solutions</t>
  </si>
  <si>
    <t>AeroVista Holdings</t>
  </si>
  <si>
    <t>QuantumStream Corp.</t>
  </si>
  <si>
    <t>TerraPeak Enterprises</t>
  </si>
  <si>
    <t>BrightWave Technologies</t>
  </si>
  <si>
    <t>CyberSphere Innovations</t>
  </si>
  <si>
    <t>QuantumEcho Labs</t>
  </si>
  <si>
    <t>ElevatePulse LLC</t>
  </si>
  <si>
    <t>StellarCore Systems</t>
  </si>
  <si>
    <t>FusionVista Ventures</t>
  </si>
  <si>
    <t>VortexLeaf Dynamics</t>
  </si>
  <si>
    <t>HorizonTech Solutions</t>
  </si>
  <si>
    <t>01.234.567/0001-89</t>
  </si>
  <si>
    <t>12.345.678/0001-56</t>
  </si>
  <si>
    <t>23.456.789/0001-23</t>
  </si>
  <si>
    <t>34.567.890/0001-90</t>
  </si>
  <si>
    <t>45.678.901/0001-67</t>
  </si>
  <si>
    <t>56.789.012/0001-34</t>
  </si>
  <si>
    <t>67.890.123/0001-01</t>
  </si>
  <si>
    <t>78.901.234/0001-78</t>
  </si>
  <si>
    <t>89.012.345/0001-45</t>
  </si>
  <si>
    <t>90.123.456/0001-12</t>
  </si>
  <si>
    <t>11.234.567/0001-89</t>
  </si>
  <si>
    <t>22.345.678/0001-56</t>
  </si>
  <si>
    <t>33.456.789/0001-23</t>
  </si>
  <si>
    <t>44.567.890/0001-90</t>
  </si>
  <si>
    <t>55.678.901/0001-67</t>
  </si>
  <si>
    <t>66.789.012/0001-34</t>
  </si>
  <si>
    <t>77.890.123/0001-01</t>
  </si>
  <si>
    <t>88.901.234/0001-78</t>
  </si>
  <si>
    <t>99.012.345/0001-45</t>
  </si>
  <si>
    <t>10.123.456/0001-12</t>
  </si>
  <si>
    <t>21.234.567/0001-89</t>
  </si>
  <si>
    <t>32.345.678/0001-56</t>
  </si>
  <si>
    <t>43.456.789/0001-23</t>
  </si>
  <si>
    <t>54.567.890/0001-90</t>
  </si>
  <si>
    <t>65.678.901/0001-67</t>
  </si>
  <si>
    <t>76.789.012/0001-34</t>
  </si>
  <si>
    <t>87.890.123/0001-01</t>
  </si>
  <si>
    <t>98.901.234/0001-78</t>
  </si>
  <si>
    <t>09.012.345/0001-45</t>
  </si>
  <si>
    <t>20.123.456/0001-12</t>
  </si>
  <si>
    <t>31.234.567/0001-89</t>
  </si>
  <si>
    <t>42.345.678/0001-56</t>
  </si>
  <si>
    <t>53.456.789/0001-23</t>
  </si>
  <si>
    <t>64.567.890/0001-90</t>
  </si>
  <si>
    <t>75.678.901/0001-67</t>
  </si>
  <si>
    <t>86.789.012/0001-34</t>
  </si>
  <si>
    <t>97.890.123/0001-01</t>
  </si>
  <si>
    <t>08.901.234/0001-78</t>
  </si>
  <si>
    <t>19.012.345/0001-45</t>
  </si>
  <si>
    <t>30.123.456/0001-12</t>
  </si>
  <si>
    <t>41.234.567/0001-89</t>
  </si>
  <si>
    <t>52.345.678/0001-56</t>
  </si>
  <si>
    <t>63.456.789/0001-23</t>
  </si>
  <si>
    <t>74.567.890/0001-90</t>
  </si>
  <si>
    <t>85.678.901/0001-67</t>
  </si>
  <si>
    <t>96.789.012/0001-34</t>
  </si>
  <si>
    <t>07.890.123/0001-01</t>
  </si>
  <si>
    <t>18.901.234/0001-78</t>
  </si>
  <si>
    <t>29.012.345/0001-45</t>
  </si>
  <si>
    <t>Saída</t>
  </si>
  <si>
    <t>Entrada</t>
  </si>
  <si>
    <t>Estornos</t>
  </si>
  <si>
    <t>Pagamentos ADMs</t>
  </si>
  <si>
    <t>Impostos</t>
  </si>
  <si>
    <t>TIPO DE PAGAMENTO</t>
  </si>
  <si>
    <t>CENTRO DE CUSTO</t>
  </si>
  <si>
    <t>MATERIAL A</t>
  </si>
  <si>
    <t>MATERIAL B</t>
  </si>
  <si>
    <t>MATERIAL C</t>
  </si>
  <si>
    <t>MATERIAL E</t>
  </si>
  <si>
    <t>MATERIAL D</t>
  </si>
  <si>
    <t>EXTRAVIADO</t>
  </si>
  <si>
    <t>ENVIO INCORRETO</t>
  </si>
  <si>
    <t>Consultoria</t>
  </si>
  <si>
    <t>Factoring Fee</t>
  </si>
  <si>
    <t>A VISTA</t>
  </si>
  <si>
    <t>PRIMEIRO PAG</t>
  </si>
  <si>
    <t>SEG PAG</t>
  </si>
  <si>
    <t>TER PAG</t>
  </si>
  <si>
    <t>QUAR PAG</t>
  </si>
  <si>
    <t>N° NOTA FISCAL</t>
  </si>
  <si>
    <t>1 + 2</t>
  </si>
  <si>
    <t>1 + 1</t>
  </si>
  <si>
    <t>1 + 3</t>
  </si>
  <si>
    <t>FORMAS DE PAGAMENTO</t>
  </si>
  <si>
    <t>1+3</t>
  </si>
  <si>
    <t>1+2</t>
  </si>
  <si>
    <t>1+1</t>
  </si>
  <si>
    <t>CNPJ</t>
  </si>
  <si>
    <t>9214109</t>
  </si>
  <si>
    <t>27133159</t>
  </si>
  <si>
    <t>670197</t>
  </si>
  <si>
    <t>76149193</t>
  </si>
  <si>
    <t>3913638</t>
  </si>
  <si>
    <t>97107228</t>
  </si>
  <si>
    <t>6410648</t>
  </si>
  <si>
    <t>7654233</t>
  </si>
  <si>
    <t>1414734</t>
  </si>
  <si>
    <t>648161</t>
  </si>
  <si>
    <t>2213748</t>
  </si>
  <si>
    <t>1023235</t>
  </si>
  <si>
    <t>676859</t>
  </si>
  <si>
    <t>3312978</t>
  </si>
  <si>
    <t>644941</t>
  </si>
  <si>
    <t>95143197</t>
  </si>
  <si>
    <t>10081180</t>
  </si>
  <si>
    <t>63193</t>
  </si>
  <si>
    <t>3841113</t>
  </si>
  <si>
    <t>27119245</t>
  </si>
  <si>
    <t>4866227</t>
  </si>
  <si>
    <t>5212318</t>
  </si>
  <si>
    <t>471166</t>
  </si>
  <si>
    <t>3122158</t>
  </si>
  <si>
    <t>6936233</t>
  </si>
  <si>
    <t>6555138</t>
  </si>
  <si>
    <t>914118</t>
  </si>
  <si>
    <t>6610263</t>
  </si>
  <si>
    <t>535828</t>
  </si>
  <si>
    <t>422865</t>
  </si>
  <si>
    <t>94130169</t>
  </si>
  <si>
    <t>2710416</t>
  </si>
  <si>
    <t>151262</t>
  </si>
  <si>
    <t>3710348</t>
  </si>
  <si>
    <t>171063</t>
  </si>
  <si>
    <t>95102140</t>
  </si>
  <si>
    <t>7121249</t>
  </si>
  <si>
    <t>8276221</t>
  </si>
  <si>
    <t>8741236</t>
  </si>
  <si>
    <t>10028157</t>
  </si>
  <si>
    <t>68123137</t>
  </si>
  <si>
    <t>152129</t>
  </si>
  <si>
    <t>15114171</t>
  </si>
  <si>
    <t>6544183</t>
  </si>
  <si>
    <t>8679126</t>
  </si>
  <si>
    <t>1113916</t>
  </si>
  <si>
    <t>37122235</t>
  </si>
  <si>
    <t>77644</t>
  </si>
  <si>
    <t>8217192</t>
  </si>
  <si>
    <t>117291</t>
  </si>
  <si>
    <t>52463</t>
  </si>
  <si>
    <t>123108</t>
  </si>
  <si>
    <t>754310</t>
  </si>
  <si>
    <t>7791167</t>
  </si>
  <si>
    <t>607644</t>
  </si>
  <si>
    <t>79105139</t>
  </si>
  <si>
    <t>1839177</t>
  </si>
  <si>
    <t>1591129</t>
  </si>
  <si>
    <t>4733141</t>
  </si>
  <si>
    <t>354578</t>
  </si>
  <si>
    <t>60132167</t>
  </si>
  <si>
    <t>9111424</t>
  </si>
  <si>
    <t>8510552</t>
  </si>
  <si>
    <t>7346196</t>
  </si>
  <si>
    <t>4068245</t>
  </si>
  <si>
    <t>322103</t>
  </si>
  <si>
    <t>4512027</t>
  </si>
  <si>
    <t>2497189</t>
  </si>
  <si>
    <t>939197</t>
  </si>
  <si>
    <t>8911711</t>
  </si>
  <si>
    <t>313851</t>
  </si>
  <si>
    <t>497243</t>
  </si>
  <si>
    <t>532165</t>
  </si>
  <si>
    <t>1759131</t>
  </si>
  <si>
    <t>35111149</t>
  </si>
  <si>
    <t>2028238</t>
  </si>
  <si>
    <t>8746206</t>
  </si>
  <si>
    <t>201011</t>
  </si>
  <si>
    <t>74104229</t>
  </si>
  <si>
    <t>39146219</t>
  </si>
  <si>
    <t>2186128</t>
  </si>
  <si>
    <t>468060</t>
  </si>
  <si>
    <t>1910926</t>
  </si>
  <si>
    <t>1959104</t>
  </si>
  <si>
    <t>3877150</t>
  </si>
  <si>
    <t>6641123</t>
  </si>
  <si>
    <t>315539</t>
  </si>
  <si>
    <t>9131147</t>
  </si>
  <si>
    <t>7434236</t>
  </si>
  <si>
    <t>3842155</t>
  </si>
  <si>
    <t>33136192</t>
  </si>
  <si>
    <t>1310947</t>
  </si>
  <si>
    <t>6436221</t>
  </si>
  <si>
    <t>8517139</t>
  </si>
  <si>
    <t>6977148</t>
  </si>
  <si>
    <t>8559110</t>
  </si>
  <si>
    <t>83149247</t>
  </si>
  <si>
    <t>95138144</t>
  </si>
  <si>
    <t>9092126</t>
  </si>
  <si>
    <t>6849113</t>
  </si>
  <si>
    <t>16489</t>
  </si>
  <si>
    <t>8213553</t>
  </si>
  <si>
    <t>67538</t>
  </si>
  <si>
    <t>1918114</t>
  </si>
  <si>
    <t>7697221</t>
  </si>
  <si>
    <t>1179228</t>
  </si>
  <si>
    <t>286133</t>
  </si>
  <si>
    <t>8652244</t>
  </si>
  <si>
    <t>5781198</t>
  </si>
  <si>
    <t>645775</t>
  </si>
  <si>
    <t>7842125</t>
  </si>
  <si>
    <t>2519139</t>
  </si>
  <si>
    <t>2913460</t>
  </si>
  <si>
    <t>186221</t>
  </si>
  <si>
    <t>9114220</t>
  </si>
  <si>
    <t>7946185</t>
  </si>
  <si>
    <t>644186</t>
  </si>
  <si>
    <t>185791</t>
  </si>
  <si>
    <t>32283</t>
  </si>
  <si>
    <t>171413</t>
  </si>
  <si>
    <t>9488162</t>
  </si>
  <si>
    <t>43112157</t>
  </si>
  <si>
    <t>5034129</t>
  </si>
  <si>
    <t>1121121</t>
  </si>
  <si>
    <t>8147182</t>
  </si>
  <si>
    <t>2113917</t>
  </si>
  <si>
    <t>9170233</t>
  </si>
  <si>
    <t>982798</t>
  </si>
  <si>
    <t>88147120</t>
  </si>
  <si>
    <t>6754168</t>
  </si>
  <si>
    <t>97121196</t>
  </si>
  <si>
    <t>91788</t>
  </si>
  <si>
    <t>9822152</t>
  </si>
  <si>
    <t>132220</t>
  </si>
  <si>
    <t>8588203</t>
  </si>
  <si>
    <t>5538165</t>
  </si>
  <si>
    <t>7825163</t>
  </si>
  <si>
    <t>69105126</t>
  </si>
  <si>
    <t>7497194</t>
  </si>
  <si>
    <t>61577</t>
  </si>
  <si>
    <t>4698238</t>
  </si>
  <si>
    <t>3066161</t>
  </si>
  <si>
    <t>713027</t>
  </si>
  <si>
    <t>18191</t>
  </si>
  <si>
    <t>93136207</t>
  </si>
  <si>
    <t>1667195</t>
  </si>
  <si>
    <t>226152</t>
  </si>
  <si>
    <t>6913013</t>
  </si>
  <si>
    <t>20120141</t>
  </si>
  <si>
    <t>564130</t>
  </si>
  <si>
    <t>106912</t>
  </si>
  <si>
    <t>3665246</t>
  </si>
  <si>
    <t>2258154</t>
  </si>
  <si>
    <t>2838139</t>
  </si>
  <si>
    <t>7286108</t>
  </si>
  <si>
    <t>19140231</t>
  </si>
  <si>
    <t>1001062</t>
  </si>
  <si>
    <t>894220</t>
  </si>
  <si>
    <t>5829196</t>
  </si>
  <si>
    <t>753074</t>
  </si>
  <si>
    <t>3639128</t>
  </si>
  <si>
    <t>542101</t>
  </si>
  <si>
    <t>778514</t>
  </si>
  <si>
    <t>2750196</t>
  </si>
  <si>
    <t>8440216</t>
  </si>
  <si>
    <t>15146178</t>
  </si>
  <si>
    <t>10063112</t>
  </si>
  <si>
    <t>51103250</t>
  </si>
  <si>
    <t>588161</t>
  </si>
  <si>
    <t>7913746</t>
  </si>
  <si>
    <t>91110230</t>
  </si>
  <si>
    <t>934218</t>
  </si>
  <si>
    <t>66137145</t>
  </si>
  <si>
    <t>57823</t>
  </si>
  <si>
    <t>3411048</t>
  </si>
  <si>
    <t>94109121</t>
  </si>
  <si>
    <t>3850241</t>
  </si>
  <si>
    <t>5580188</t>
  </si>
  <si>
    <t>8964247</t>
  </si>
  <si>
    <t>629594</t>
  </si>
  <si>
    <t>3210360</t>
  </si>
  <si>
    <t>2170202</t>
  </si>
  <si>
    <t>644718</t>
  </si>
  <si>
    <t>787119</t>
  </si>
  <si>
    <t>5211210</t>
  </si>
  <si>
    <t>4410640</t>
  </si>
  <si>
    <t>39132213</t>
  </si>
  <si>
    <t>952518</t>
  </si>
  <si>
    <t>818660</t>
  </si>
  <si>
    <t>710534</t>
  </si>
  <si>
    <t>8778179</t>
  </si>
  <si>
    <t>1247246</t>
  </si>
  <si>
    <t>73111110</t>
  </si>
  <si>
    <t>957959</t>
  </si>
  <si>
    <t>193890</t>
  </si>
  <si>
    <t>9875163</t>
  </si>
  <si>
    <t>48148206</t>
  </si>
  <si>
    <t>5396100</t>
  </si>
  <si>
    <t>3362247</t>
  </si>
  <si>
    <t>15125100</t>
  </si>
  <si>
    <t>3113123</t>
  </si>
  <si>
    <t>9043102</t>
  </si>
  <si>
    <t>138511</t>
  </si>
  <si>
    <t>8501</t>
  </si>
  <si>
    <t>35146245</t>
  </si>
  <si>
    <t>7397189</t>
  </si>
  <si>
    <t>253743</t>
  </si>
  <si>
    <t>7345174</t>
  </si>
  <si>
    <t>797357</t>
  </si>
  <si>
    <t>256010</t>
  </si>
  <si>
    <t>5558215</t>
  </si>
  <si>
    <t>2465227</t>
  </si>
  <si>
    <t>33133224</t>
  </si>
  <si>
    <t>74110</t>
  </si>
  <si>
    <t>7850245</t>
  </si>
  <si>
    <t>1859110</t>
  </si>
  <si>
    <t>1778233</t>
  </si>
  <si>
    <t>25140249</t>
  </si>
  <si>
    <t>6021225</t>
  </si>
  <si>
    <t>1814479</t>
  </si>
  <si>
    <t>6712518</t>
  </si>
  <si>
    <t>52767</t>
  </si>
  <si>
    <t>6109247</t>
  </si>
  <si>
    <t>743206</t>
  </si>
  <si>
    <t>1672150</t>
  </si>
  <si>
    <t>2412331</t>
  </si>
  <si>
    <t>13144219</t>
  </si>
  <si>
    <t>5711428</t>
  </si>
  <si>
    <t>726943</t>
  </si>
  <si>
    <t>5350202</t>
  </si>
  <si>
    <t>1864118</t>
  </si>
  <si>
    <t>232162</t>
  </si>
  <si>
    <t>1114574</t>
  </si>
  <si>
    <t>4143216</t>
  </si>
  <si>
    <t>4110676</t>
  </si>
  <si>
    <t>2128125</t>
  </si>
  <si>
    <t>40149178</t>
  </si>
  <si>
    <t>3712757</t>
  </si>
  <si>
    <t>7103160</t>
  </si>
  <si>
    <t>297967</t>
  </si>
  <si>
    <t>30102206</t>
  </si>
  <si>
    <t>2490245</t>
  </si>
  <si>
    <t>121323</t>
  </si>
  <si>
    <t>346752</t>
  </si>
  <si>
    <t>413053</t>
  </si>
  <si>
    <t>318786</t>
  </si>
  <si>
    <t>197522</t>
  </si>
  <si>
    <t>20111207</t>
  </si>
  <si>
    <t>5511239</t>
  </si>
  <si>
    <t>583817</t>
  </si>
  <si>
    <t>366553</t>
  </si>
  <si>
    <t>769526</t>
  </si>
  <si>
    <t>972539</t>
  </si>
  <si>
    <t>8451156</t>
  </si>
  <si>
    <t>4738199</t>
  </si>
  <si>
    <t>3011765</t>
  </si>
  <si>
    <t>803266</t>
  </si>
  <si>
    <t>5512918</t>
  </si>
  <si>
    <t>818167</t>
  </si>
  <si>
    <t>82107185</t>
  </si>
  <si>
    <t>783100</t>
  </si>
  <si>
    <t>7828186</t>
  </si>
  <si>
    <t>764295</t>
  </si>
  <si>
    <t>26120222</t>
  </si>
  <si>
    <t>38144173</t>
  </si>
  <si>
    <t>2011895</t>
  </si>
  <si>
    <t>54137150</t>
  </si>
  <si>
    <t>5110046</t>
  </si>
  <si>
    <t>24131149</t>
  </si>
  <si>
    <t>16121146</t>
  </si>
  <si>
    <t>28519</t>
  </si>
  <si>
    <t>6178158</t>
  </si>
  <si>
    <t>379725</t>
  </si>
  <si>
    <t>7176110</t>
  </si>
  <si>
    <t>32126101</t>
  </si>
  <si>
    <t>2843217</t>
  </si>
  <si>
    <t>3412106</t>
  </si>
  <si>
    <t>332566</t>
  </si>
  <si>
    <t>52145124</t>
  </si>
  <si>
    <t>402273</t>
  </si>
  <si>
    <t>459414</t>
  </si>
  <si>
    <t>8530209</t>
  </si>
  <si>
    <t>8351175</t>
  </si>
  <si>
    <t>302522</t>
  </si>
  <si>
    <t>9913520</t>
  </si>
  <si>
    <t>1212910</t>
  </si>
  <si>
    <t>806206</t>
  </si>
  <si>
    <t>8710160</t>
  </si>
  <si>
    <t>22146121</t>
  </si>
  <si>
    <t>245343</t>
  </si>
  <si>
    <t>2654155</t>
  </si>
  <si>
    <t>82134241</t>
  </si>
  <si>
    <t>924128</t>
  </si>
  <si>
    <t>746861</t>
  </si>
  <si>
    <t>96106186</t>
  </si>
  <si>
    <t>3080193</t>
  </si>
  <si>
    <t>5312116</t>
  </si>
  <si>
    <t>6463139</t>
  </si>
  <si>
    <t>12146234</t>
  </si>
  <si>
    <t>758694</t>
  </si>
  <si>
    <t>4128136</t>
  </si>
  <si>
    <t>351440</t>
  </si>
  <si>
    <t>419914</t>
  </si>
  <si>
    <t>893021</t>
  </si>
  <si>
    <t>325596</t>
  </si>
  <si>
    <t>6076244</t>
  </si>
  <si>
    <t>61137172</t>
  </si>
  <si>
    <t>2769183</t>
  </si>
  <si>
    <t>6211014</t>
  </si>
  <si>
    <t>7747226</t>
  </si>
  <si>
    <t>252366</t>
  </si>
  <si>
    <t>2568243</t>
  </si>
  <si>
    <t>4067108</t>
  </si>
  <si>
    <t>20148198</t>
  </si>
  <si>
    <t>96114182</t>
  </si>
  <si>
    <t>8532115</t>
  </si>
  <si>
    <t>144843</t>
  </si>
  <si>
    <t>5255136</t>
  </si>
  <si>
    <t>51123105</t>
  </si>
  <si>
    <t>6011474</t>
  </si>
  <si>
    <t>32134162</t>
  </si>
  <si>
    <t>2254171</t>
  </si>
  <si>
    <t>939187</t>
  </si>
  <si>
    <t>4093131</t>
  </si>
  <si>
    <t>913332</t>
  </si>
  <si>
    <t>2212229</t>
  </si>
  <si>
    <t>12135177</t>
  </si>
  <si>
    <t>511227</t>
  </si>
  <si>
    <t>88125144</t>
  </si>
  <si>
    <t>545512</t>
  </si>
  <si>
    <t>7310572</t>
  </si>
  <si>
    <t>2179119</t>
  </si>
  <si>
    <t>8228195</t>
  </si>
  <si>
    <t>7846137</t>
  </si>
  <si>
    <t>958682</t>
  </si>
  <si>
    <t>2611058</t>
  </si>
  <si>
    <t>1363182</t>
  </si>
  <si>
    <t>8713131</t>
  </si>
  <si>
    <t>368093</t>
  </si>
  <si>
    <t>80120226</t>
  </si>
  <si>
    <t>98571</t>
  </si>
  <si>
    <t>601372</t>
  </si>
  <si>
    <t>1107132</t>
  </si>
  <si>
    <t>337214</t>
  </si>
  <si>
    <t>651469</t>
  </si>
  <si>
    <t>1710191</t>
  </si>
  <si>
    <t>29113155</t>
  </si>
  <si>
    <t>21491</t>
  </si>
  <si>
    <t>171669</t>
  </si>
  <si>
    <t>30116195</t>
  </si>
  <si>
    <t>78482</t>
  </si>
  <si>
    <t>4620138</t>
  </si>
  <si>
    <t>6938108</t>
  </si>
  <si>
    <t>811941</t>
  </si>
  <si>
    <t>951374</t>
  </si>
  <si>
    <t>76138137</t>
  </si>
  <si>
    <t>644256</t>
  </si>
  <si>
    <t>1383104</t>
  </si>
  <si>
    <t>6151225</t>
  </si>
  <si>
    <t>37125213</t>
  </si>
  <si>
    <t>64120219</t>
  </si>
  <si>
    <t>9010100</t>
  </si>
  <si>
    <t>9674130</t>
  </si>
  <si>
    <t>66176</t>
  </si>
  <si>
    <t>423255</t>
  </si>
  <si>
    <t>8166192</t>
  </si>
  <si>
    <t>33146185</t>
  </si>
  <si>
    <t>308109</t>
  </si>
  <si>
    <t>174957</t>
  </si>
  <si>
    <t>1611479</t>
  </si>
  <si>
    <t>37146159</t>
  </si>
  <si>
    <t>42111201</t>
  </si>
  <si>
    <t>31144110</t>
  </si>
  <si>
    <t>4882105</t>
  </si>
  <si>
    <t>76122</t>
  </si>
  <si>
    <t>88127225</t>
  </si>
  <si>
    <t>51125189</t>
  </si>
  <si>
    <t>6730231</t>
  </si>
  <si>
    <t>206214</t>
  </si>
  <si>
    <t>50139145</t>
  </si>
  <si>
    <t>31053</t>
  </si>
  <si>
    <t>186928</t>
  </si>
  <si>
    <t>62119221</t>
  </si>
  <si>
    <t>29936</t>
  </si>
  <si>
    <t>66107125</t>
  </si>
  <si>
    <t>7461236</t>
  </si>
  <si>
    <t>516352</t>
  </si>
  <si>
    <t>72129196</t>
  </si>
  <si>
    <t>4366136</t>
  </si>
  <si>
    <t>7613818</t>
  </si>
  <si>
    <t>9578114</t>
  </si>
  <si>
    <t>56112220</t>
  </si>
  <si>
    <t>695212</t>
  </si>
  <si>
    <t>1411337</t>
  </si>
  <si>
    <t>515344</t>
  </si>
  <si>
    <t>233899</t>
  </si>
  <si>
    <t>100133200</t>
  </si>
  <si>
    <t>6443186</t>
  </si>
  <si>
    <t>8129234</t>
  </si>
  <si>
    <t>377330</t>
  </si>
  <si>
    <t>9936137</t>
  </si>
  <si>
    <t>708050</t>
  </si>
  <si>
    <t>5012374</t>
  </si>
  <si>
    <t>221841</t>
  </si>
  <si>
    <t>91143</t>
  </si>
  <si>
    <t>22114169</t>
  </si>
  <si>
    <t>2341193</t>
  </si>
  <si>
    <t>674468</t>
  </si>
  <si>
    <t>543743</t>
  </si>
  <si>
    <t>9273149</t>
  </si>
  <si>
    <t>705624</t>
  </si>
  <si>
    <t>411692</t>
  </si>
  <si>
    <t>523143</t>
  </si>
  <si>
    <t>845723</t>
  </si>
  <si>
    <t>10091143</t>
  </si>
  <si>
    <t>415162</t>
  </si>
  <si>
    <t>325873</t>
  </si>
  <si>
    <t>1412067</t>
  </si>
  <si>
    <t>9311066</t>
  </si>
  <si>
    <t>9793167</t>
  </si>
  <si>
    <t>431414</t>
  </si>
  <si>
    <t>98103143</t>
  </si>
  <si>
    <t>465350</t>
  </si>
  <si>
    <t>835264</t>
  </si>
  <si>
    <t>5969219</t>
  </si>
  <si>
    <t>6749231</t>
  </si>
  <si>
    <t>151257</t>
  </si>
  <si>
    <t>2892209</t>
  </si>
  <si>
    <t>26104101</t>
  </si>
  <si>
    <t>6614986</t>
  </si>
  <si>
    <t>552460</t>
  </si>
  <si>
    <t>2674156</t>
  </si>
  <si>
    <t>523216</t>
  </si>
  <si>
    <t>9993160</t>
  </si>
  <si>
    <t>70138149</t>
  </si>
  <si>
    <t>877346</t>
  </si>
  <si>
    <t>41124194</t>
  </si>
  <si>
    <t>9117218</t>
  </si>
  <si>
    <t>3266151</t>
  </si>
  <si>
    <t>24128229</t>
  </si>
  <si>
    <t>88893</t>
  </si>
  <si>
    <t>691853</t>
  </si>
  <si>
    <t>4781183</t>
  </si>
  <si>
    <t>279390</t>
  </si>
  <si>
    <t>783129</t>
  </si>
  <si>
    <t>5410111</t>
  </si>
  <si>
    <t>78113195</t>
  </si>
  <si>
    <t>54115174</t>
  </si>
  <si>
    <t>5569179</t>
  </si>
  <si>
    <t>9493176</t>
  </si>
  <si>
    <t>4511089</t>
  </si>
  <si>
    <t>3775123</t>
  </si>
  <si>
    <t>66621</t>
  </si>
  <si>
    <t>8713113</t>
  </si>
  <si>
    <t>9798240</t>
  </si>
  <si>
    <t>648764</t>
  </si>
  <si>
    <t>9692243</t>
  </si>
  <si>
    <t>788142</t>
  </si>
  <si>
    <t>2623180</t>
  </si>
  <si>
    <t>69126179</t>
  </si>
  <si>
    <t>21111180</t>
  </si>
  <si>
    <t>5987113</t>
  </si>
  <si>
    <t>2912028</t>
  </si>
  <si>
    <t>358144</t>
  </si>
  <si>
    <t>96376</t>
  </si>
  <si>
    <t>8926142</t>
  </si>
  <si>
    <t>877120</t>
  </si>
  <si>
    <t>3812224</t>
  </si>
  <si>
    <t>3711246</t>
  </si>
  <si>
    <t>105897</t>
  </si>
  <si>
    <t>61497</t>
  </si>
  <si>
    <t>6414549</t>
  </si>
  <si>
    <t>1211519</t>
  </si>
  <si>
    <t>58597</t>
  </si>
  <si>
    <t>567102</t>
  </si>
  <si>
    <t>127655</t>
  </si>
  <si>
    <t>67127212</t>
  </si>
  <si>
    <t>306368</t>
  </si>
  <si>
    <t>36144250</t>
  </si>
  <si>
    <t>6146155</t>
  </si>
  <si>
    <t>204473</t>
  </si>
  <si>
    <t>981209</t>
  </si>
  <si>
    <t>53140107</t>
  </si>
  <si>
    <t>8314373</t>
  </si>
  <si>
    <t>41312</t>
  </si>
  <si>
    <t>91684</t>
  </si>
  <si>
    <t>37128172</t>
  </si>
  <si>
    <t>6010124</t>
  </si>
  <si>
    <t>4378109</t>
  </si>
  <si>
    <t>914330</t>
  </si>
  <si>
    <t>1004763</t>
  </si>
  <si>
    <t>31545</t>
  </si>
  <si>
    <t>2445233</t>
  </si>
  <si>
    <t>43128136</t>
  </si>
  <si>
    <t>3636179</t>
  </si>
  <si>
    <t>19148124</t>
  </si>
  <si>
    <t>8082135</t>
  </si>
  <si>
    <t>Soma de R$ TOTAL</t>
  </si>
  <si>
    <t>Rótulos de Linha</t>
  </si>
  <si>
    <t>Total Geral</t>
  </si>
  <si>
    <t>2023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</si>
  <si>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</si>
  <si>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</si>
  <si>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</si>
  <si>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</si>
  <si>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</si>
  <si>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</si>
  <si>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</si>
  <si>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</si>
  <si>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</si>
  <si>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</si>
  <si>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2024</t>
  </si>
  <si>
    <t>jan</t>
  </si>
  <si>
    <t>fev</t>
  </si>
  <si>
    <t>(Tudo)</t>
  </si>
  <si>
    <t>Contagem de DATA DE EMISSÃO</t>
  </si>
  <si>
    <t>Rótulos de Coluna</t>
  </si>
  <si>
    <t>Total Contagem de DATA DE EMISSÃO</t>
  </si>
  <si>
    <t>Total Soma de R$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</si>
</sst>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£&quot;* #,##0.00_-;\-&quot;£&quot;* #,##0.00_-;_-&quot;£&quot;* &quot;-&quot;??_-;_-@_-"/>
    <numFmt numFmtId="165" formatCode="_-[$R$-416]\ * #,##0.00_-;\-[$R$-416]\ * #,##0.00_-;_-[$R$-416]\ * &quot;-&quot;??_-;_-@_-"/>
  </numFmts>
  <fonts count="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8"/>
      <color theme="0"/>
      <name val="Arial"/>
      <family val="2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3" xfId="0" applyBorder="1"/>
    <xf numFmtId="0" fontId="0" fillId="0" borderId="4" xfId="0" applyBorder="1"/>
    <xf numFmtId="14" fontId="0" fillId="0" borderId="4" xfId="0" applyNumberFormat="1" applyBorder="1"/>
    <xf numFmtId="0" fontId="0" fillId="0" borderId="5" xfId="0" applyBorder="1"/>
    <xf numFmtId="0" fontId="0" fillId="0" borderId="1" xfId="0" applyBorder="1"/>
    <xf numFmtId="0" fontId="0" fillId="0" borderId="7" xfId="0" applyBorder="1"/>
    <xf numFmtId="14" fontId="0" fillId="0" borderId="6" xfId="0" applyNumberFormat="1" applyBorder="1"/>
    <xf numFmtId="165" fontId="3" fillId="0" borderId="5" xfId="0" applyNumberFormat="1" applyFont="1" applyBorder="1"/>
    <xf numFmtId="165" fontId="3" fillId="0" borderId="4" xfId="0" applyNumberFormat="1" applyFont="1" applyBorder="1"/>
    <xf numFmtId="0" fontId="0" fillId="3" borderId="9" xfId="0" applyFill="1" applyBorder="1"/>
    <xf numFmtId="0" fontId="0" fillId="3" borderId="10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3" borderId="8" xfId="0" applyFill="1" applyBorder="1" applyAlignment="1">
      <alignment horizontal="left" indent="14"/>
    </xf>
    <xf numFmtId="14" fontId="0" fillId="0" borderId="2" xfId="0" applyNumberFormat="1" applyBorder="1"/>
    <xf numFmtId="0" fontId="2" fillId="2" borderId="5" xfId="0" applyFont="1" applyFill="1" applyBorder="1"/>
    <xf numFmtId="14" fontId="2" fillId="2" borderId="5" xfId="0" applyNumberFormat="1" applyFont="1" applyFill="1" applyBorder="1"/>
    <xf numFmtId="164" fontId="2" fillId="2" borderId="5" xfId="1" applyFont="1" applyFill="1" applyBorder="1"/>
    <xf numFmtId="14" fontId="0" fillId="0" borderId="5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64" fontId="2" fillId="2" borderId="4" xfId="1" applyFont="1" applyFill="1" applyBorder="1"/>
    <xf numFmtId="0" fontId="2" fillId="2" borderId="3" xfId="0" applyFont="1" applyFill="1" applyBorder="1"/>
    <xf numFmtId="14" fontId="2" fillId="2" borderId="4" xfId="0" applyNumberFormat="1" applyFont="1" applyFill="1" applyBorder="1"/>
    <xf numFmtId="0" fontId="2" fillId="2" borderId="4" xfId="0" applyFont="1" applyFill="1" applyBorder="1"/>
  </cellXfs>
  <cellStyles count="2">
    <cellStyle name="Moeda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SAFIRA_OUTUBRO2024.xlsm]Grafico1!Tabela dinâmica15</c:name>
    <c:fmtId val="1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Grafico1!$B$3:$B$5</c:f>
              <c:strCache>
                <c:ptCount val="1"/>
                <c:pt idx="0">
                  <c:v>jan - Contagem de DATA DE EMISSÃO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Grafico1!$B$6:$B$8</c:f>
              <c:numCache>
                <c:formatCode>General</c:formatCode>
                <c:ptCount val="2"/>
                <c:pt idx="1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C3-4CCC-AE8C-0C4B00B1A3A8}"/>
            </c:ext>
          </c:extLst>
        </c:ser>
        <c:ser>
          <c:idx val="1"/>
          <c:order val="1"/>
          <c:tx>
            <c:strRef>
              <c:f>Grafico1!$C$3:$C$5</c:f>
              <c:strCache>
                <c:ptCount val="1"/>
                <c:pt idx="0">
                  <c:v>jan - Soma de R$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Grafico1!$C$6:$C$8</c:f>
              <c:numCache>
                <c:formatCode>General</c:formatCode>
                <c:ptCount val="2"/>
                <c:pt idx="1">
                  <c:v>109285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C3-4CCC-AE8C-0C4B00B1A3A8}"/>
            </c:ext>
          </c:extLst>
        </c:ser>
        <c:ser>
          <c:idx val="2"/>
          <c:order val="2"/>
          <c:tx>
            <c:strRef>
              <c:f>Grafico1!$D$3:$D$5</c:f>
              <c:strCache>
                <c:ptCount val="1"/>
                <c:pt idx="0">
                  <c:v>fev - Contagem de DATA DE EMISSÃO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Grafico1!$D$6:$D$8</c:f>
              <c:numCache>
                <c:formatCode>General</c:formatCode>
                <c:ptCount val="2"/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C3-4CCC-AE8C-0C4B00B1A3A8}"/>
            </c:ext>
          </c:extLst>
        </c:ser>
        <c:ser>
          <c:idx val="3"/>
          <c:order val="3"/>
          <c:tx>
            <c:strRef>
              <c:f>Grafico1!$E$3:$E$5</c:f>
              <c:strCache>
                <c:ptCount val="1"/>
                <c:pt idx="0">
                  <c:v>fev - Soma de R$ 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Grafico1!$E$6:$E$8</c:f>
              <c:numCache>
                <c:formatCode>General</c:formatCode>
                <c:ptCount val="2"/>
                <c:pt idx="1">
                  <c:v>118610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C3-4CCC-AE8C-0C4B00B1A3A8}"/>
            </c:ext>
          </c:extLst>
        </c:ser>
        <c:ser>
          <c:idx val="4"/>
          <c:order val="4"/>
          <c:tx>
            <c:strRef>
              <c:f>Grafico1!$F$3:$F$5</c:f>
              <c:strCache>
                <c:ptCount val="1"/>
                <c:pt idx="0">
                  <c:v>mar - Contagem de DATA DE EMISSÃO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Grafico1!$F$6:$F$8</c:f>
              <c:numCache>
                <c:formatCode>General</c:formatCode>
                <c:ptCount val="2"/>
                <c:pt idx="0">
                  <c:v>1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C3-4CCC-AE8C-0C4B00B1A3A8}"/>
            </c:ext>
          </c:extLst>
        </c:ser>
        <c:ser>
          <c:idx val="5"/>
          <c:order val="5"/>
          <c:tx>
            <c:strRef>
              <c:f>Grafico1!$G$3:$G$5</c:f>
              <c:strCache>
                <c:ptCount val="1"/>
                <c:pt idx="0">
                  <c:v>mar - Soma de R$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Grafico1!$G$6:$G$8</c:f>
              <c:numCache>
                <c:formatCode>General</c:formatCode>
                <c:ptCount val="2"/>
                <c:pt idx="0">
                  <c:v>9182</c:v>
                </c:pt>
                <c:pt idx="1">
                  <c:v>98061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C3-4CCC-AE8C-0C4B00B1A3A8}"/>
            </c:ext>
          </c:extLst>
        </c:ser>
        <c:ser>
          <c:idx val="6"/>
          <c:order val="6"/>
          <c:tx>
            <c:strRef>
              <c:f>Grafico1!$H$3:$H$5</c:f>
              <c:strCache>
                <c:ptCount val="1"/>
                <c:pt idx="0">
                  <c:v>abr - Contagem de DATA DE EMISSÃO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Grafico1!$H$6:$H$8</c:f>
              <c:numCache>
                <c:formatCode>General</c:formatCode>
                <c:ptCount val="2"/>
                <c:pt idx="0">
                  <c:v>2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C3-4CCC-AE8C-0C4B00B1A3A8}"/>
            </c:ext>
          </c:extLst>
        </c:ser>
        <c:ser>
          <c:idx val="7"/>
          <c:order val="7"/>
          <c:tx>
            <c:strRef>
              <c:f>Grafico1!$I$3:$I$5</c:f>
              <c:strCache>
                <c:ptCount val="1"/>
                <c:pt idx="0">
                  <c:v>abr - Soma de R$ TOTAL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Grafico1!$I$6:$I$8</c:f>
              <c:numCache>
                <c:formatCode>General</c:formatCode>
                <c:ptCount val="2"/>
                <c:pt idx="0">
                  <c:v>10782</c:v>
                </c:pt>
                <c:pt idx="1">
                  <c:v>68443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C3-4CCC-AE8C-0C4B00B1A3A8}"/>
            </c:ext>
          </c:extLst>
        </c:ser>
        <c:ser>
          <c:idx val="8"/>
          <c:order val="8"/>
          <c:tx>
            <c:strRef>
              <c:f>Grafico1!$J$3:$J$5</c:f>
              <c:strCache>
                <c:ptCount val="1"/>
                <c:pt idx="0">
                  <c:v>mai - Contagem de DATA DE EMISSÃO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Grafico1!$J$6:$J$8</c:f>
              <c:numCache>
                <c:formatCode>General</c:formatCode>
                <c:ptCount val="2"/>
                <c:pt idx="0">
                  <c:v>5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C3-4CCC-AE8C-0C4B00B1A3A8}"/>
            </c:ext>
          </c:extLst>
        </c:ser>
        <c:ser>
          <c:idx val="9"/>
          <c:order val="9"/>
          <c:tx>
            <c:strRef>
              <c:f>Grafico1!$K$3:$K$5</c:f>
              <c:strCache>
                <c:ptCount val="1"/>
                <c:pt idx="0">
                  <c:v>mai - Soma de R$ TOTAL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Grafico1!$K$6:$K$8</c:f>
              <c:numCache>
                <c:formatCode>General</c:formatCode>
                <c:ptCount val="2"/>
                <c:pt idx="0">
                  <c:v>28789</c:v>
                </c:pt>
                <c:pt idx="1">
                  <c:v>52590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C3-4CCC-AE8C-0C4B00B1A3A8}"/>
            </c:ext>
          </c:extLst>
        </c:ser>
        <c:ser>
          <c:idx val="10"/>
          <c:order val="10"/>
          <c:tx>
            <c:strRef>
              <c:f>Grafico1!$L$3:$L$5</c:f>
              <c:strCache>
                <c:ptCount val="1"/>
                <c:pt idx="0">
                  <c:v>jun - Contagem de DATA DE EMISSÃO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Grafico1!$L$6:$L$8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C3-4CCC-AE8C-0C4B00B1A3A8}"/>
            </c:ext>
          </c:extLst>
        </c:ser>
        <c:ser>
          <c:idx val="11"/>
          <c:order val="11"/>
          <c:tx>
            <c:strRef>
              <c:f>Grafico1!$M$3:$M$5</c:f>
              <c:strCache>
                <c:ptCount val="1"/>
                <c:pt idx="0">
                  <c:v>jun - Soma de R$ TOTAL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Grafico1!$M$6:$M$8</c:f>
              <c:numCache>
                <c:formatCode>General</c:formatCode>
                <c:ptCount val="2"/>
                <c:pt idx="0">
                  <c:v>25418</c:v>
                </c:pt>
                <c:pt idx="1">
                  <c:v>37825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C3-4CCC-AE8C-0C4B00B1A3A8}"/>
            </c:ext>
          </c:extLst>
        </c:ser>
        <c:ser>
          <c:idx val="12"/>
          <c:order val="12"/>
          <c:tx>
            <c:strRef>
              <c:f>Grafico1!$N$3:$N$5</c:f>
              <c:strCache>
                <c:ptCount val="1"/>
                <c:pt idx="0">
                  <c:v>jul - Contagem de DATA DE EMISSÃO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Grafico1!$N$6:$N$8</c:f>
              <c:numCache>
                <c:formatCode>General</c:formatCode>
                <c:ptCount val="2"/>
                <c:pt idx="0">
                  <c:v>14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C3-4CCC-AE8C-0C4B00B1A3A8}"/>
            </c:ext>
          </c:extLst>
        </c:ser>
        <c:ser>
          <c:idx val="13"/>
          <c:order val="13"/>
          <c:tx>
            <c:strRef>
              <c:f>Grafico1!$O$3:$O$5</c:f>
              <c:strCache>
                <c:ptCount val="1"/>
                <c:pt idx="0">
                  <c:v>jul - Soma de R$ TOTAL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Grafico1!$O$6:$O$8</c:f>
              <c:numCache>
                <c:formatCode>General</c:formatCode>
                <c:ptCount val="2"/>
                <c:pt idx="0">
                  <c:v>77376</c:v>
                </c:pt>
                <c:pt idx="1">
                  <c:v>38252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C3-4CCC-AE8C-0C4B00B1A3A8}"/>
            </c:ext>
          </c:extLst>
        </c:ser>
        <c:ser>
          <c:idx val="14"/>
          <c:order val="14"/>
          <c:tx>
            <c:strRef>
              <c:f>Grafico1!$P$3:$P$5</c:f>
              <c:strCache>
                <c:ptCount val="1"/>
                <c:pt idx="0">
                  <c:v>ago - Contagem de DATA DE EMISSÃO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Grafico1!$P$6:$P$8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4C3-4CCC-AE8C-0C4B00B1A3A8}"/>
            </c:ext>
          </c:extLst>
        </c:ser>
        <c:ser>
          <c:idx val="15"/>
          <c:order val="15"/>
          <c:tx>
            <c:strRef>
              <c:f>Grafico1!$Q$3:$Q$5</c:f>
              <c:strCache>
                <c:ptCount val="1"/>
                <c:pt idx="0">
                  <c:v>ago - Soma de R$ TOTAL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Grafico1!$Q$6:$Q$8</c:f>
              <c:numCache>
                <c:formatCode>General</c:formatCode>
                <c:ptCount val="2"/>
                <c:pt idx="0">
                  <c:v>132736</c:v>
                </c:pt>
                <c:pt idx="1">
                  <c:v>15277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4C3-4CCC-AE8C-0C4B00B1A3A8}"/>
            </c:ext>
          </c:extLst>
        </c:ser>
        <c:ser>
          <c:idx val="16"/>
          <c:order val="16"/>
          <c:tx>
            <c:strRef>
              <c:f>Grafico1!$R$3:$R$5</c:f>
              <c:strCache>
                <c:ptCount val="1"/>
                <c:pt idx="0">
                  <c:v>set - Contagem de DATA DE EMISSÃO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Grafico1!$R$6:$R$8</c:f>
              <c:numCache>
                <c:formatCode>General</c:formatCode>
                <c:ptCount val="2"/>
                <c:pt idx="0">
                  <c:v>15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4C3-4CCC-AE8C-0C4B00B1A3A8}"/>
            </c:ext>
          </c:extLst>
        </c:ser>
        <c:ser>
          <c:idx val="17"/>
          <c:order val="17"/>
          <c:tx>
            <c:strRef>
              <c:f>Grafico1!$S$3:$S$5</c:f>
              <c:strCache>
                <c:ptCount val="1"/>
                <c:pt idx="0">
                  <c:v>set - Soma de R$ TOTAL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Grafico1!$S$6:$S$8</c:f>
              <c:numCache>
                <c:formatCode>General</c:formatCode>
                <c:ptCount val="2"/>
                <c:pt idx="0">
                  <c:v>65542</c:v>
                </c:pt>
                <c:pt idx="1">
                  <c:v>8039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4C3-4CCC-AE8C-0C4B00B1A3A8}"/>
            </c:ext>
          </c:extLst>
        </c:ser>
        <c:ser>
          <c:idx val="18"/>
          <c:order val="18"/>
          <c:tx>
            <c:strRef>
              <c:f>Grafico1!$T$3:$T$5</c:f>
              <c:strCache>
                <c:ptCount val="1"/>
                <c:pt idx="0">
                  <c:v>out - Contagem de DATA DE EMISSÃO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Grafico1!$T$6:$T$8</c:f>
              <c:numCache>
                <c:formatCode>General</c:formatCode>
                <c:ptCount val="2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4C3-4CCC-AE8C-0C4B00B1A3A8}"/>
            </c:ext>
          </c:extLst>
        </c:ser>
        <c:ser>
          <c:idx val="19"/>
          <c:order val="19"/>
          <c:tx>
            <c:strRef>
              <c:f>Grafico1!$U$3:$U$5</c:f>
              <c:strCache>
                <c:ptCount val="1"/>
                <c:pt idx="0">
                  <c:v>out - Soma de R$ TOTAL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Grafico1!$U$6:$U$8</c:f>
              <c:numCache>
                <c:formatCode>General</c:formatCode>
                <c:ptCount val="2"/>
                <c:pt idx="0">
                  <c:v>126644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4C3-4CCC-AE8C-0C4B00B1A3A8}"/>
            </c:ext>
          </c:extLst>
        </c:ser>
        <c:ser>
          <c:idx val="20"/>
          <c:order val="20"/>
          <c:tx>
            <c:strRef>
              <c:f>Grafico1!$V$3:$V$5</c:f>
              <c:strCache>
                <c:ptCount val="1"/>
                <c:pt idx="0">
                  <c:v>nov - Contagem de DATA DE EMISSÃO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Grafico1!$V$6:$V$8</c:f>
              <c:numCache>
                <c:formatCode>General</c:formatCode>
                <c:ptCount val="2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4C3-4CCC-AE8C-0C4B00B1A3A8}"/>
            </c:ext>
          </c:extLst>
        </c:ser>
        <c:ser>
          <c:idx val="21"/>
          <c:order val="21"/>
          <c:tx>
            <c:strRef>
              <c:f>Grafico1!$W$3:$W$5</c:f>
              <c:strCache>
                <c:ptCount val="1"/>
                <c:pt idx="0">
                  <c:v>nov - Soma de R$ TOTAL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Grafico1!$W$6:$W$8</c:f>
              <c:numCache>
                <c:formatCode>General</c:formatCode>
                <c:ptCount val="2"/>
                <c:pt idx="0">
                  <c:v>77619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4C3-4CCC-AE8C-0C4B00B1A3A8}"/>
            </c:ext>
          </c:extLst>
        </c:ser>
        <c:ser>
          <c:idx val="22"/>
          <c:order val="22"/>
          <c:tx>
            <c:strRef>
              <c:f>Grafico1!$X$3:$X$5</c:f>
              <c:strCache>
                <c:ptCount val="1"/>
                <c:pt idx="0">
                  <c:v>dez - Contagem de DATA DE EMISSÃO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Grafico1!$X$6:$X$8</c:f>
              <c:numCache>
                <c:formatCode>General</c:formatCode>
                <c:ptCount val="2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4C3-4CCC-AE8C-0C4B00B1A3A8}"/>
            </c:ext>
          </c:extLst>
        </c:ser>
        <c:ser>
          <c:idx val="23"/>
          <c:order val="23"/>
          <c:tx>
            <c:strRef>
              <c:f>Grafico1!$Y$3:$Y$5</c:f>
              <c:strCache>
                <c:ptCount val="1"/>
                <c:pt idx="0">
                  <c:v>dez - Soma de R$ TOTAL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Grafico1!$A$6:$A$8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Grafico1!$Y$6:$Y$8</c:f>
              <c:numCache>
                <c:formatCode>General</c:formatCode>
                <c:ptCount val="2"/>
                <c:pt idx="0">
                  <c:v>128573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4C3-4CCC-AE8C-0C4B00B1A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476464"/>
        <c:axId val="153473552"/>
      </c:barChart>
      <c:catAx>
        <c:axId val="15347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73552"/>
        <c:crosses val="autoZero"/>
        <c:auto val="1"/>
        <c:lblAlgn val="ctr"/>
        <c:lblOffset val="100"/>
        <c:noMultiLvlLbl val="0"/>
      </c:catAx>
      <c:valAx>
        <c:axId val="1534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7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SAFIRA_OUTUBRO2024.xlsm]Grafico2!Tabela dinâmica15</c:name>
    <c:fmtId val="1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Grafico2!$B$3:$B$5</c:f>
              <c:strCache>
                <c:ptCount val="1"/>
                <c:pt idx="0">
                  <c:v>jan - Contagem de DATA DE EMISSÃO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Grafico2!$B$6:$B$8</c:f>
              <c:numCache>
                <c:formatCode>General</c:formatCode>
                <c:ptCount val="2"/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E8-4D41-BC61-8C02725428F9}"/>
            </c:ext>
          </c:extLst>
        </c:ser>
        <c:ser>
          <c:idx val="1"/>
          <c:order val="1"/>
          <c:tx>
            <c:strRef>
              <c:f>Grafico2!$C$3:$C$5</c:f>
              <c:strCache>
                <c:ptCount val="1"/>
                <c:pt idx="0">
                  <c:v>jan - Soma de R$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Grafico2!$C$6:$C$8</c:f>
              <c:numCache>
                <c:formatCode>General</c:formatCode>
                <c:ptCount val="2"/>
                <c:pt idx="1">
                  <c:v>68306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E8-4D41-BC61-8C02725428F9}"/>
            </c:ext>
          </c:extLst>
        </c:ser>
        <c:ser>
          <c:idx val="2"/>
          <c:order val="2"/>
          <c:tx>
            <c:strRef>
              <c:f>Grafico2!$D$3:$D$5</c:f>
              <c:strCache>
                <c:ptCount val="1"/>
                <c:pt idx="0">
                  <c:v>fev - Contagem de DATA DE EMISSÃO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Grafico2!$D$6:$D$8</c:f>
              <c:numCache>
                <c:formatCode>General</c:formatCode>
                <c:ptCount val="2"/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E8-4D41-BC61-8C02725428F9}"/>
            </c:ext>
          </c:extLst>
        </c:ser>
        <c:ser>
          <c:idx val="3"/>
          <c:order val="3"/>
          <c:tx>
            <c:strRef>
              <c:f>Grafico2!$E$3:$E$5</c:f>
              <c:strCache>
                <c:ptCount val="1"/>
                <c:pt idx="0">
                  <c:v>fev - Soma de R$ 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Grafico2!$E$6:$E$8</c:f>
              <c:numCache>
                <c:formatCode>General</c:formatCode>
                <c:ptCount val="2"/>
                <c:pt idx="1">
                  <c:v>28054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E8-4D41-BC61-8C02725428F9}"/>
            </c:ext>
          </c:extLst>
        </c:ser>
        <c:ser>
          <c:idx val="4"/>
          <c:order val="4"/>
          <c:tx>
            <c:strRef>
              <c:f>Grafico2!$F$3:$F$5</c:f>
              <c:strCache>
                <c:ptCount val="1"/>
                <c:pt idx="0">
                  <c:v>mar - Contagem de DATA DE EMISSÃO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Grafico2!$F$6:$F$8</c:f>
              <c:numCache>
                <c:formatCode>General</c:formatCode>
                <c:ptCount val="2"/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E8-4D41-BC61-8C02725428F9}"/>
            </c:ext>
          </c:extLst>
        </c:ser>
        <c:ser>
          <c:idx val="5"/>
          <c:order val="5"/>
          <c:tx>
            <c:strRef>
              <c:f>Grafico2!$G$3:$G$5</c:f>
              <c:strCache>
                <c:ptCount val="1"/>
                <c:pt idx="0">
                  <c:v>mar - Soma de R$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Grafico2!$G$6:$G$8</c:f>
              <c:numCache>
                <c:formatCode>General</c:formatCode>
                <c:ptCount val="2"/>
                <c:pt idx="1">
                  <c:v>44000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E8-4D41-BC61-8C02725428F9}"/>
            </c:ext>
          </c:extLst>
        </c:ser>
        <c:ser>
          <c:idx val="6"/>
          <c:order val="6"/>
          <c:tx>
            <c:strRef>
              <c:f>Grafico2!$H$3:$H$5</c:f>
              <c:strCache>
                <c:ptCount val="1"/>
                <c:pt idx="0">
                  <c:v>abr - Contagem de DATA DE EMISSÃO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Grafico2!$H$6:$H$8</c:f>
              <c:numCache>
                <c:formatCode>General</c:formatCode>
                <c:ptCount val="2"/>
                <c:pt idx="0">
                  <c:v>1</c:v>
                </c:pt>
                <c:pt idx="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E8-4D41-BC61-8C02725428F9}"/>
            </c:ext>
          </c:extLst>
        </c:ser>
        <c:ser>
          <c:idx val="7"/>
          <c:order val="7"/>
          <c:tx>
            <c:strRef>
              <c:f>Grafico2!$I$3:$I$5</c:f>
              <c:strCache>
                <c:ptCount val="1"/>
                <c:pt idx="0">
                  <c:v>abr - Soma de R$ TOTAL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Grafico2!$I$6:$I$8</c:f>
              <c:numCache>
                <c:formatCode>General</c:formatCode>
                <c:ptCount val="2"/>
                <c:pt idx="0">
                  <c:v>7447</c:v>
                </c:pt>
                <c:pt idx="1">
                  <c:v>61363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E8-4D41-BC61-8C02725428F9}"/>
            </c:ext>
          </c:extLst>
        </c:ser>
        <c:ser>
          <c:idx val="8"/>
          <c:order val="8"/>
          <c:tx>
            <c:strRef>
              <c:f>Grafico2!$J$3:$J$5</c:f>
              <c:strCache>
                <c:ptCount val="1"/>
                <c:pt idx="0">
                  <c:v>mai - Contagem de DATA DE EMISSÃO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Grafico2!$J$6:$J$8</c:f>
              <c:numCache>
                <c:formatCode>General</c:formatCode>
                <c:ptCount val="2"/>
                <c:pt idx="0">
                  <c:v>5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E8-4D41-BC61-8C02725428F9}"/>
            </c:ext>
          </c:extLst>
        </c:ser>
        <c:ser>
          <c:idx val="9"/>
          <c:order val="9"/>
          <c:tx>
            <c:strRef>
              <c:f>Grafico2!$K$3:$K$5</c:f>
              <c:strCache>
                <c:ptCount val="1"/>
                <c:pt idx="0">
                  <c:v>mai - Soma de R$ TOTAL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Grafico2!$K$6:$K$8</c:f>
              <c:numCache>
                <c:formatCode>General</c:formatCode>
                <c:ptCount val="2"/>
                <c:pt idx="0">
                  <c:v>31800</c:v>
                </c:pt>
                <c:pt idx="1">
                  <c:v>45491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E8-4D41-BC61-8C02725428F9}"/>
            </c:ext>
          </c:extLst>
        </c:ser>
        <c:ser>
          <c:idx val="10"/>
          <c:order val="10"/>
          <c:tx>
            <c:strRef>
              <c:f>Grafico2!$L$3:$L$5</c:f>
              <c:strCache>
                <c:ptCount val="1"/>
                <c:pt idx="0">
                  <c:v>jun - Contagem de DATA DE EMISSÃO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Grafico2!$L$6:$L$8</c:f>
              <c:numCache>
                <c:formatCode>General</c:formatCode>
                <c:ptCount val="2"/>
                <c:pt idx="0">
                  <c:v>6</c:v>
                </c:pt>
                <c:pt idx="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E8-4D41-BC61-8C02725428F9}"/>
            </c:ext>
          </c:extLst>
        </c:ser>
        <c:ser>
          <c:idx val="11"/>
          <c:order val="11"/>
          <c:tx>
            <c:strRef>
              <c:f>Grafico2!$M$3:$M$5</c:f>
              <c:strCache>
                <c:ptCount val="1"/>
                <c:pt idx="0">
                  <c:v>jun - Soma de R$ TOTAL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Grafico2!$M$6:$M$8</c:f>
              <c:numCache>
                <c:formatCode>General</c:formatCode>
                <c:ptCount val="2"/>
                <c:pt idx="0">
                  <c:v>41699</c:v>
                </c:pt>
                <c:pt idx="1">
                  <c:v>61428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6E8-4D41-BC61-8C02725428F9}"/>
            </c:ext>
          </c:extLst>
        </c:ser>
        <c:ser>
          <c:idx val="12"/>
          <c:order val="12"/>
          <c:tx>
            <c:strRef>
              <c:f>Grafico2!$N$3:$N$5</c:f>
              <c:strCache>
                <c:ptCount val="1"/>
                <c:pt idx="0">
                  <c:v>jul - Contagem de DATA DE EMISSÃO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Grafico2!$N$6:$N$8</c:f>
              <c:numCache>
                <c:formatCode>General</c:formatCode>
                <c:ptCount val="2"/>
                <c:pt idx="0">
                  <c:v>4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E8-4D41-BC61-8C02725428F9}"/>
            </c:ext>
          </c:extLst>
        </c:ser>
        <c:ser>
          <c:idx val="13"/>
          <c:order val="13"/>
          <c:tx>
            <c:strRef>
              <c:f>Grafico2!$O$3:$O$5</c:f>
              <c:strCache>
                <c:ptCount val="1"/>
                <c:pt idx="0">
                  <c:v>jul - Soma de R$ TOTAL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Grafico2!$O$6:$O$8</c:f>
              <c:numCache>
                <c:formatCode>General</c:formatCode>
                <c:ptCount val="2"/>
                <c:pt idx="0">
                  <c:v>23248</c:v>
                </c:pt>
                <c:pt idx="1">
                  <c:v>33683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E8-4D41-BC61-8C02725428F9}"/>
            </c:ext>
          </c:extLst>
        </c:ser>
        <c:ser>
          <c:idx val="14"/>
          <c:order val="14"/>
          <c:tx>
            <c:strRef>
              <c:f>Grafico2!$P$3:$P$5</c:f>
              <c:strCache>
                <c:ptCount val="1"/>
                <c:pt idx="0">
                  <c:v>ago - Contagem de DATA DE EMISSÃO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Grafico2!$P$6:$P$8</c:f>
              <c:numCache>
                <c:formatCode>General</c:formatCode>
                <c:ptCount val="2"/>
                <c:pt idx="0">
                  <c:v>16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6E8-4D41-BC61-8C02725428F9}"/>
            </c:ext>
          </c:extLst>
        </c:ser>
        <c:ser>
          <c:idx val="15"/>
          <c:order val="15"/>
          <c:tx>
            <c:strRef>
              <c:f>Grafico2!$Q$3:$Q$5</c:f>
              <c:strCache>
                <c:ptCount val="1"/>
                <c:pt idx="0">
                  <c:v>ago - Soma de R$ TOTAL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Grafico2!$Q$6:$Q$8</c:f>
              <c:numCache>
                <c:formatCode>General</c:formatCode>
                <c:ptCount val="2"/>
                <c:pt idx="0">
                  <c:v>72379</c:v>
                </c:pt>
                <c:pt idx="1">
                  <c:v>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E8-4D41-BC61-8C02725428F9}"/>
            </c:ext>
          </c:extLst>
        </c:ser>
        <c:ser>
          <c:idx val="16"/>
          <c:order val="16"/>
          <c:tx>
            <c:strRef>
              <c:f>Grafico2!$R$3:$R$5</c:f>
              <c:strCache>
                <c:ptCount val="1"/>
                <c:pt idx="0">
                  <c:v>set - Contagem de DATA DE EMISSÃO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Grafico2!$R$6:$R$8</c:f>
              <c:numCache>
                <c:formatCode>General</c:formatCode>
                <c:ptCount val="2"/>
                <c:pt idx="0">
                  <c:v>19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6E8-4D41-BC61-8C02725428F9}"/>
            </c:ext>
          </c:extLst>
        </c:ser>
        <c:ser>
          <c:idx val="17"/>
          <c:order val="17"/>
          <c:tx>
            <c:strRef>
              <c:f>Grafico2!$S$3:$S$5</c:f>
              <c:strCache>
                <c:ptCount val="1"/>
                <c:pt idx="0">
                  <c:v>set - Soma de R$ TOTAL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Grafico2!$S$6:$S$8</c:f>
              <c:numCache>
                <c:formatCode>General</c:formatCode>
                <c:ptCount val="2"/>
                <c:pt idx="0">
                  <c:v>109893</c:v>
                </c:pt>
                <c:pt idx="1">
                  <c:v>7666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6E8-4D41-BC61-8C02725428F9}"/>
            </c:ext>
          </c:extLst>
        </c:ser>
        <c:ser>
          <c:idx val="18"/>
          <c:order val="18"/>
          <c:tx>
            <c:strRef>
              <c:f>Grafico2!$T$3:$T$5</c:f>
              <c:strCache>
                <c:ptCount val="1"/>
                <c:pt idx="0">
                  <c:v>out - Contagem de DATA DE EMISSÃO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Grafico2!$T$6:$T$8</c:f>
              <c:numCache>
                <c:formatCode>General</c:formatCode>
                <c:ptCount val="2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6E8-4D41-BC61-8C02725428F9}"/>
            </c:ext>
          </c:extLst>
        </c:ser>
        <c:ser>
          <c:idx val="19"/>
          <c:order val="19"/>
          <c:tx>
            <c:strRef>
              <c:f>Grafico2!$U$3:$U$5</c:f>
              <c:strCache>
                <c:ptCount val="1"/>
                <c:pt idx="0">
                  <c:v>out - Soma de R$ TOTAL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Grafico2!$U$6:$U$8</c:f>
              <c:numCache>
                <c:formatCode>General</c:formatCode>
                <c:ptCount val="2"/>
                <c:pt idx="0">
                  <c:v>106854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6E8-4D41-BC61-8C02725428F9}"/>
            </c:ext>
          </c:extLst>
        </c:ser>
        <c:ser>
          <c:idx val="20"/>
          <c:order val="20"/>
          <c:tx>
            <c:strRef>
              <c:f>Grafico2!$V$3:$V$5</c:f>
              <c:strCache>
                <c:ptCount val="1"/>
                <c:pt idx="0">
                  <c:v>nov - Contagem de DATA DE EMISSÃO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Grafico2!$V$6:$V$8</c:f>
              <c:numCache>
                <c:formatCode>General</c:formatCode>
                <c:ptCount val="2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6E8-4D41-BC61-8C02725428F9}"/>
            </c:ext>
          </c:extLst>
        </c:ser>
        <c:ser>
          <c:idx val="21"/>
          <c:order val="21"/>
          <c:tx>
            <c:strRef>
              <c:f>Grafico2!$W$3:$W$5</c:f>
              <c:strCache>
                <c:ptCount val="1"/>
                <c:pt idx="0">
                  <c:v>nov - Soma de R$ TOTAL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Grafico2!$W$6:$W$8</c:f>
              <c:numCache>
                <c:formatCode>General</c:formatCode>
                <c:ptCount val="2"/>
                <c:pt idx="0">
                  <c:v>98631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6E8-4D41-BC61-8C02725428F9}"/>
            </c:ext>
          </c:extLst>
        </c:ser>
        <c:ser>
          <c:idx val="22"/>
          <c:order val="22"/>
          <c:tx>
            <c:strRef>
              <c:f>Grafico2!$X$3:$X$5</c:f>
              <c:strCache>
                <c:ptCount val="1"/>
                <c:pt idx="0">
                  <c:v>dez - Contagem de DATA DE EMISSÃO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Grafico2!$X$6:$X$8</c:f>
              <c:numCache>
                <c:formatCode>General</c:formatCode>
                <c:ptCount val="2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6E8-4D41-BC61-8C02725428F9}"/>
            </c:ext>
          </c:extLst>
        </c:ser>
        <c:ser>
          <c:idx val="23"/>
          <c:order val="23"/>
          <c:tx>
            <c:strRef>
              <c:f>Grafico2!$Y$3:$Y$5</c:f>
              <c:strCache>
                <c:ptCount val="1"/>
                <c:pt idx="0">
                  <c:v>dez - Soma de R$ TOTAL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Grafico2!$A$6:$A$8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Grafico2!$Y$6:$Y$8</c:f>
              <c:numCache>
                <c:formatCode>General</c:formatCode>
                <c:ptCount val="2"/>
                <c:pt idx="0">
                  <c:v>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6E8-4D41-BC61-8C0272542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476464"/>
        <c:axId val="153473552"/>
      </c:barChart>
      <c:catAx>
        <c:axId val="15347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73552"/>
        <c:crosses val="autoZero"/>
        <c:auto val="1"/>
        <c:lblAlgn val="ctr"/>
        <c:lblOffset val="100"/>
        <c:noMultiLvlLbl val="0"/>
      </c:catAx>
      <c:valAx>
        <c:axId val="1534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7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SAFIRA_OUTUBRO2024.xlsm]Grafico3!Tabela dinâmica15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Grafico3!$B$3:$B$5</c:f>
              <c:strCache>
                <c:ptCount val="1"/>
                <c:pt idx="0">
                  <c:v>jan - Contagem de DATA DE EMISSÃO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Grafico3!$B$6:$B$8</c:f>
              <c:numCache>
                <c:formatCode>General</c:formatCode>
                <c:ptCount val="2"/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B-44E1-9A59-22DD6D561B89}"/>
            </c:ext>
          </c:extLst>
        </c:ser>
        <c:ser>
          <c:idx val="1"/>
          <c:order val="1"/>
          <c:tx>
            <c:strRef>
              <c:f>Grafico3!$C$3:$C$5</c:f>
              <c:strCache>
                <c:ptCount val="1"/>
                <c:pt idx="0">
                  <c:v>jan - Soma de R$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Grafico3!$C$6:$C$8</c:f>
              <c:numCache>
                <c:formatCode>General</c:formatCode>
                <c:ptCount val="2"/>
                <c:pt idx="1">
                  <c:v>21286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4B-44E1-9A59-22DD6D561B89}"/>
            </c:ext>
          </c:extLst>
        </c:ser>
        <c:ser>
          <c:idx val="2"/>
          <c:order val="2"/>
          <c:tx>
            <c:strRef>
              <c:f>Grafico3!$D$3:$D$5</c:f>
              <c:strCache>
                <c:ptCount val="1"/>
                <c:pt idx="0">
                  <c:v>fev - Contagem de DATA DE EMISSÃO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Grafico3!$D$6:$D$8</c:f>
              <c:numCache>
                <c:formatCode>General</c:formatCode>
                <c:ptCount val="2"/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4B-44E1-9A59-22DD6D561B89}"/>
            </c:ext>
          </c:extLst>
        </c:ser>
        <c:ser>
          <c:idx val="3"/>
          <c:order val="3"/>
          <c:tx>
            <c:strRef>
              <c:f>Grafico3!$E$3:$E$5</c:f>
              <c:strCache>
                <c:ptCount val="1"/>
                <c:pt idx="0">
                  <c:v>fev - Soma de R$ 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Grafico3!$E$6:$E$8</c:f>
              <c:numCache>
                <c:formatCode>General</c:formatCode>
                <c:ptCount val="2"/>
                <c:pt idx="1">
                  <c:v>31971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4B-44E1-9A59-22DD6D561B89}"/>
            </c:ext>
          </c:extLst>
        </c:ser>
        <c:ser>
          <c:idx val="4"/>
          <c:order val="4"/>
          <c:tx>
            <c:strRef>
              <c:f>Grafico3!$F$3:$F$5</c:f>
              <c:strCache>
                <c:ptCount val="1"/>
                <c:pt idx="0">
                  <c:v>mar - Contagem de DATA DE EMISSÃO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Grafico3!$F$6:$F$8</c:f>
              <c:numCache>
                <c:formatCode>General</c:formatCode>
                <c:ptCount val="2"/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4B-44E1-9A59-22DD6D561B89}"/>
            </c:ext>
          </c:extLst>
        </c:ser>
        <c:ser>
          <c:idx val="5"/>
          <c:order val="5"/>
          <c:tx>
            <c:strRef>
              <c:f>Grafico3!$G$3:$G$5</c:f>
              <c:strCache>
                <c:ptCount val="1"/>
                <c:pt idx="0">
                  <c:v>mar - Soma de R$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Grafico3!$G$6:$G$8</c:f>
              <c:numCache>
                <c:formatCode>General</c:formatCode>
                <c:ptCount val="2"/>
                <c:pt idx="1">
                  <c:v>56516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4B-44E1-9A59-22DD6D561B89}"/>
            </c:ext>
          </c:extLst>
        </c:ser>
        <c:ser>
          <c:idx val="6"/>
          <c:order val="6"/>
          <c:tx>
            <c:strRef>
              <c:f>Grafico3!$H$3:$H$5</c:f>
              <c:strCache>
                <c:ptCount val="1"/>
                <c:pt idx="0">
                  <c:v>abr - Contagem de DATA DE EMISSÃO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Grafico3!$H$6:$H$8</c:f>
              <c:numCache>
                <c:formatCode>General</c:formatCode>
                <c:ptCount val="2"/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64B-44E1-9A59-22DD6D561B89}"/>
            </c:ext>
          </c:extLst>
        </c:ser>
        <c:ser>
          <c:idx val="7"/>
          <c:order val="7"/>
          <c:tx>
            <c:strRef>
              <c:f>Grafico3!$I$3:$I$5</c:f>
              <c:strCache>
                <c:ptCount val="1"/>
                <c:pt idx="0">
                  <c:v>abr - Soma de R$ TOTAL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Grafico3!$I$6:$I$8</c:f>
              <c:numCache>
                <c:formatCode>General</c:formatCode>
                <c:ptCount val="2"/>
                <c:pt idx="1">
                  <c:v>31839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64B-44E1-9A59-22DD6D561B89}"/>
            </c:ext>
          </c:extLst>
        </c:ser>
        <c:ser>
          <c:idx val="8"/>
          <c:order val="8"/>
          <c:tx>
            <c:strRef>
              <c:f>Grafico3!$J$3:$J$5</c:f>
              <c:strCache>
                <c:ptCount val="1"/>
                <c:pt idx="0">
                  <c:v>mai - Contagem de DATA DE EMISSÃO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Grafico3!$J$6:$J$8</c:f>
              <c:numCache>
                <c:formatCode>General</c:formatCode>
                <c:ptCount val="2"/>
                <c:pt idx="0">
                  <c:v>3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64B-44E1-9A59-22DD6D561B89}"/>
            </c:ext>
          </c:extLst>
        </c:ser>
        <c:ser>
          <c:idx val="9"/>
          <c:order val="9"/>
          <c:tx>
            <c:strRef>
              <c:f>Grafico3!$K$3:$K$5</c:f>
              <c:strCache>
                <c:ptCount val="1"/>
                <c:pt idx="0">
                  <c:v>mai - Soma de R$ TOTAL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Grafico3!$K$6:$K$8</c:f>
              <c:numCache>
                <c:formatCode>General</c:formatCode>
                <c:ptCount val="2"/>
                <c:pt idx="0">
                  <c:v>16086</c:v>
                </c:pt>
                <c:pt idx="1">
                  <c:v>37993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64B-44E1-9A59-22DD6D561B89}"/>
            </c:ext>
          </c:extLst>
        </c:ser>
        <c:ser>
          <c:idx val="10"/>
          <c:order val="10"/>
          <c:tx>
            <c:strRef>
              <c:f>Grafico3!$L$3:$L$5</c:f>
              <c:strCache>
                <c:ptCount val="1"/>
                <c:pt idx="0">
                  <c:v>jun - Contagem de DATA DE EMISSÃO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Grafico3!$L$6:$L$8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4B-44E1-9A59-22DD6D561B89}"/>
            </c:ext>
          </c:extLst>
        </c:ser>
        <c:ser>
          <c:idx val="11"/>
          <c:order val="11"/>
          <c:tx>
            <c:strRef>
              <c:f>Grafico3!$M$3:$M$5</c:f>
              <c:strCache>
                <c:ptCount val="1"/>
                <c:pt idx="0">
                  <c:v>jun - Soma de R$ TOTAL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Grafico3!$M$6:$M$8</c:f>
              <c:numCache>
                <c:formatCode>General</c:formatCode>
                <c:ptCount val="2"/>
                <c:pt idx="0">
                  <c:v>10968</c:v>
                </c:pt>
                <c:pt idx="1">
                  <c:v>22264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4B-44E1-9A59-22DD6D561B89}"/>
            </c:ext>
          </c:extLst>
        </c:ser>
        <c:ser>
          <c:idx val="12"/>
          <c:order val="12"/>
          <c:tx>
            <c:strRef>
              <c:f>Grafico3!$N$3:$N$5</c:f>
              <c:strCache>
                <c:ptCount val="1"/>
                <c:pt idx="0">
                  <c:v>jul - Contagem de DATA DE EMISSÃO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Grafico3!$N$6:$N$8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64B-44E1-9A59-22DD6D561B89}"/>
            </c:ext>
          </c:extLst>
        </c:ser>
        <c:ser>
          <c:idx val="13"/>
          <c:order val="13"/>
          <c:tx>
            <c:strRef>
              <c:f>Grafico3!$O$3:$O$5</c:f>
              <c:strCache>
                <c:ptCount val="1"/>
                <c:pt idx="0">
                  <c:v>jul - Soma de R$ TOTAL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Grafico3!$O$6:$O$8</c:f>
              <c:numCache>
                <c:formatCode>General</c:formatCode>
                <c:ptCount val="2"/>
                <c:pt idx="0">
                  <c:v>30548</c:v>
                </c:pt>
                <c:pt idx="1">
                  <c:v>27054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64B-44E1-9A59-22DD6D561B89}"/>
            </c:ext>
          </c:extLst>
        </c:ser>
        <c:ser>
          <c:idx val="14"/>
          <c:order val="14"/>
          <c:tx>
            <c:strRef>
              <c:f>Grafico3!$P$3:$P$5</c:f>
              <c:strCache>
                <c:ptCount val="1"/>
                <c:pt idx="0">
                  <c:v>ago - Contagem de DATA DE EMISSÃO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Grafico3!$P$6:$P$8</c:f>
              <c:numCache>
                <c:formatCode>General</c:formatCode>
                <c:ptCount val="2"/>
                <c:pt idx="0">
                  <c:v>8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64B-44E1-9A59-22DD6D561B89}"/>
            </c:ext>
          </c:extLst>
        </c:ser>
        <c:ser>
          <c:idx val="15"/>
          <c:order val="15"/>
          <c:tx>
            <c:strRef>
              <c:f>Grafico3!$Q$3:$Q$5</c:f>
              <c:strCache>
                <c:ptCount val="1"/>
                <c:pt idx="0">
                  <c:v>ago - Soma de R$ TOTAL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Grafico3!$Q$6:$Q$8</c:f>
              <c:numCache>
                <c:formatCode>General</c:formatCode>
                <c:ptCount val="2"/>
                <c:pt idx="0">
                  <c:v>34785</c:v>
                </c:pt>
                <c:pt idx="1">
                  <c:v>25002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64B-44E1-9A59-22DD6D561B89}"/>
            </c:ext>
          </c:extLst>
        </c:ser>
        <c:ser>
          <c:idx val="16"/>
          <c:order val="16"/>
          <c:tx>
            <c:strRef>
              <c:f>Grafico3!$R$3:$R$5</c:f>
              <c:strCache>
                <c:ptCount val="1"/>
                <c:pt idx="0">
                  <c:v>set - Contagem de DATA DE EMISSÃO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Grafico3!$R$6:$R$8</c:f>
              <c:numCache>
                <c:formatCode>General</c:formatCode>
                <c:ptCount val="2"/>
                <c:pt idx="0">
                  <c:v>8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64B-44E1-9A59-22DD6D561B89}"/>
            </c:ext>
          </c:extLst>
        </c:ser>
        <c:ser>
          <c:idx val="17"/>
          <c:order val="17"/>
          <c:tx>
            <c:strRef>
              <c:f>Grafico3!$S$3:$S$5</c:f>
              <c:strCache>
                <c:ptCount val="1"/>
                <c:pt idx="0">
                  <c:v>set - Soma de R$ TOTAL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Grafico3!$S$6:$S$8</c:f>
              <c:numCache>
                <c:formatCode>General</c:formatCode>
                <c:ptCount val="2"/>
                <c:pt idx="0">
                  <c:v>40458</c:v>
                </c:pt>
                <c:pt idx="1">
                  <c:v>12432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64B-44E1-9A59-22DD6D561B89}"/>
            </c:ext>
          </c:extLst>
        </c:ser>
        <c:ser>
          <c:idx val="18"/>
          <c:order val="18"/>
          <c:tx>
            <c:strRef>
              <c:f>Grafico3!$T$3:$T$5</c:f>
              <c:strCache>
                <c:ptCount val="1"/>
                <c:pt idx="0">
                  <c:v>out - Contagem de DATA DE EMISSÃO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Grafico3!$T$6:$T$8</c:f>
              <c:numCache>
                <c:formatCode>General</c:formatCode>
                <c:ptCount val="2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64B-44E1-9A59-22DD6D561B89}"/>
            </c:ext>
          </c:extLst>
        </c:ser>
        <c:ser>
          <c:idx val="19"/>
          <c:order val="19"/>
          <c:tx>
            <c:strRef>
              <c:f>Grafico3!$U$3:$U$5</c:f>
              <c:strCache>
                <c:ptCount val="1"/>
                <c:pt idx="0">
                  <c:v>out - Soma de R$ TOTAL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Grafico3!$U$6:$U$8</c:f>
              <c:numCache>
                <c:formatCode>General</c:formatCode>
                <c:ptCount val="2"/>
                <c:pt idx="0">
                  <c:v>43622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64B-44E1-9A59-22DD6D561B89}"/>
            </c:ext>
          </c:extLst>
        </c:ser>
        <c:ser>
          <c:idx val="20"/>
          <c:order val="20"/>
          <c:tx>
            <c:strRef>
              <c:f>Grafico3!$V$3:$V$5</c:f>
              <c:strCache>
                <c:ptCount val="1"/>
                <c:pt idx="0">
                  <c:v>nov - Contagem de DATA DE EMISSÃO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Grafico3!$V$6:$V$8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64B-44E1-9A59-22DD6D561B89}"/>
            </c:ext>
          </c:extLst>
        </c:ser>
        <c:ser>
          <c:idx val="21"/>
          <c:order val="21"/>
          <c:tx>
            <c:strRef>
              <c:f>Grafico3!$W$3:$W$5</c:f>
              <c:strCache>
                <c:ptCount val="1"/>
                <c:pt idx="0">
                  <c:v>nov - Soma de R$ TOTAL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Grafico3!$W$6:$W$8</c:f>
              <c:numCache>
                <c:formatCode>General</c:formatCode>
                <c:ptCount val="2"/>
                <c:pt idx="0">
                  <c:v>3794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64B-44E1-9A59-22DD6D561B89}"/>
            </c:ext>
          </c:extLst>
        </c:ser>
        <c:ser>
          <c:idx val="22"/>
          <c:order val="22"/>
          <c:tx>
            <c:strRef>
              <c:f>Grafico3!$X$3:$X$5</c:f>
              <c:strCache>
                <c:ptCount val="1"/>
                <c:pt idx="0">
                  <c:v>dez - Contagem de DATA DE EMISSÃO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Grafico3!$X$6:$X$8</c:f>
              <c:numCache>
                <c:formatCode>General</c:formatCode>
                <c:ptCount val="2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64B-44E1-9A59-22DD6D561B89}"/>
            </c:ext>
          </c:extLst>
        </c:ser>
        <c:ser>
          <c:idx val="23"/>
          <c:order val="23"/>
          <c:tx>
            <c:strRef>
              <c:f>Grafico3!$Y$3:$Y$5</c:f>
              <c:strCache>
                <c:ptCount val="1"/>
                <c:pt idx="0">
                  <c:v>dez - Soma de R$ TOTAL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Grafico3!$A$6:$A$8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Grafico3!$Y$6:$Y$8</c:f>
              <c:numCache>
                <c:formatCode>General</c:formatCode>
                <c:ptCount val="2"/>
                <c:pt idx="0">
                  <c:v>26444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64B-44E1-9A59-22DD6D5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476464"/>
        <c:axId val="153473552"/>
      </c:barChart>
      <c:catAx>
        <c:axId val="15347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73552"/>
        <c:crosses val="autoZero"/>
        <c:auto val="1"/>
        <c:lblAlgn val="ctr"/>
        <c:lblOffset val="100"/>
        <c:noMultiLvlLbl val="0"/>
      </c:catAx>
      <c:valAx>
        <c:axId val="1534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7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SAFIRA_OUTUBRO2024.xlsm]Grafico4!Tabela dinâmica15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Grafico4!$B$3:$B$5</c:f>
              <c:strCache>
                <c:ptCount val="1"/>
                <c:pt idx="0">
                  <c:v>jan - Contagem de DATA DE EMISSÃO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Grafico4!$B$6:$B$8</c:f>
              <c:numCache>
                <c:formatCode>General</c:formatCode>
                <c:ptCount val="2"/>
                <c:pt idx="1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30-4641-8102-4BA75D4B0CFE}"/>
            </c:ext>
          </c:extLst>
        </c:ser>
        <c:ser>
          <c:idx val="1"/>
          <c:order val="1"/>
          <c:tx>
            <c:strRef>
              <c:f>Grafico4!$C$3:$C$5</c:f>
              <c:strCache>
                <c:ptCount val="1"/>
                <c:pt idx="0">
                  <c:v>jan - Soma de R$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Grafico4!$C$6:$C$8</c:f>
              <c:numCache>
                <c:formatCode>General</c:formatCode>
                <c:ptCount val="2"/>
                <c:pt idx="1">
                  <c:v>198877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30-4641-8102-4BA75D4B0CFE}"/>
            </c:ext>
          </c:extLst>
        </c:ser>
        <c:ser>
          <c:idx val="2"/>
          <c:order val="2"/>
          <c:tx>
            <c:strRef>
              <c:f>Grafico4!$D$3:$D$5</c:f>
              <c:strCache>
                <c:ptCount val="1"/>
                <c:pt idx="0">
                  <c:v>fev - Contagem de DATA DE EMISSÃO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Grafico4!$D$6:$D$8</c:f>
              <c:numCache>
                <c:formatCode>General</c:formatCode>
                <c:ptCount val="2"/>
                <c:pt idx="1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30-4641-8102-4BA75D4B0CFE}"/>
            </c:ext>
          </c:extLst>
        </c:ser>
        <c:ser>
          <c:idx val="3"/>
          <c:order val="3"/>
          <c:tx>
            <c:strRef>
              <c:f>Grafico4!$E$3:$E$5</c:f>
              <c:strCache>
                <c:ptCount val="1"/>
                <c:pt idx="0">
                  <c:v>fev - Soma de R$ 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Grafico4!$E$6:$E$8</c:f>
              <c:numCache>
                <c:formatCode>General</c:formatCode>
                <c:ptCount val="2"/>
                <c:pt idx="1">
                  <c:v>178635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30-4641-8102-4BA75D4B0CFE}"/>
            </c:ext>
          </c:extLst>
        </c:ser>
        <c:ser>
          <c:idx val="4"/>
          <c:order val="4"/>
          <c:tx>
            <c:strRef>
              <c:f>Grafico4!$F$3:$F$5</c:f>
              <c:strCache>
                <c:ptCount val="1"/>
                <c:pt idx="0">
                  <c:v>mar - Contagem de DATA DE EMISSÃO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Grafico4!$F$6:$F$8</c:f>
              <c:numCache>
                <c:formatCode>General</c:formatCode>
                <c:ptCount val="2"/>
                <c:pt idx="0">
                  <c:v>1</c:v>
                </c:pt>
                <c:pt idx="1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30-4641-8102-4BA75D4B0CFE}"/>
            </c:ext>
          </c:extLst>
        </c:ser>
        <c:ser>
          <c:idx val="5"/>
          <c:order val="5"/>
          <c:tx>
            <c:strRef>
              <c:f>Grafico4!$G$3:$G$5</c:f>
              <c:strCache>
                <c:ptCount val="1"/>
                <c:pt idx="0">
                  <c:v>mar - Soma de R$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Grafico4!$G$6:$G$8</c:f>
              <c:numCache>
                <c:formatCode>General</c:formatCode>
                <c:ptCount val="2"/>
                <c:pt idx="0">
                  <c:v>9182</c:v>
                </c:pt>
                <c:pt idx="1">
                  <c:v>198577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30-4641-8102-4BA75D4B0CFE}"/>
            </c:ext>
          </c:extLst>
        </c:ser>
        <c:ser>
          <c:idx val="6"/>
          <c:order val="6"/>
          <c:tx>
            <c:strRef>
              <c:f>Grafico4!$H$3:$H$5</c:f>
              <c:strCache>
                <c:ptCount val="1"/>
                <c:pt idx="0">
                  <c:v>abr - Contagem de DATA DE EMISSÃO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Grafico4!$H$6:$H$8</c:f>
              <c:numCache>
                <c:formatCode>General</c:formatCode>
                <c:ptCount val="2"/>
                <c:pt idx="0">
                  <c:v>3</c:v>
                </c:pt>
                <c:pt idx="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30-4641-8102-4BA75D4B0CFE}"/>
            </c:ext>
          </c:extLst>
        </c:ser>
        <c:ser>
          <c:idx val="7"/>
          <c:order val="7"/>
          <c:tx>
            <c:strRef>
              <c:f>Grafico4!$I$3:$I$5</c:f>
              <c:strCache>
                <c:ptCount val="1"/>
                <c:pt idx="0">
                  <c:v>abr - Soma de R$ TOTAL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Grafico4!$I$6:$I$8</c:f>
              <c:numCache>
                <c:formatCode>General</c:formatCode>
                <c:ptCount val="2"/>
                <c:pt idx="0">
                  <c:v>18229</c:v>
                </c:pt>
                <c:pt idx="1">
                  <c:v>161645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30-4641-8102-4BA75D4B0CFE}"/>
            </c:ext>
          </c:extLst>
        </c:ser>
        <c:ser>
          <c:idx val="8"/>
          <c:order val="8"/>
          <c:tx>
            <c:strRef>
              <c:f>Grafico4!$J$3:$J$5</c:f>
              <c:strCache>
                <c:ptCount val="1"/>
                <c:pt idx="0">
                  <c:v>mai - Contagem de DATA DE EMISSÃO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Grafico4!$J$6:$J$8</c:f>
              <c:numCache>
                <c:formatCode>General</c:formatCode>
                <c:ptCount val="2"/>
                <c:pt idx="0">
                  <c:v>13</c:v>
                </c:pt>
                <c:pt idx="1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30-4641-8102-4BA75D4B0CFE}"/>
            </c:ext>
          </c:extLst>
        </c:ser>
        <c:ser>
          <c:idx val="9"/>
          <c:order val="9"/>
          <c:tx>
            <c:strRef>
              <c:f>Grafico4!$K$3:$K$5</c:f>
              <c:strCache>
                <c:ptCount val="1"/>
                <c:pt idx="0">
                  <c:v>mai - Soma de R$ TOTAL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Grafico4!$K$6:$K$8</c:f>
              <c:numCache>
                <c:formatCode>General</c:formatCode>
                <c:ptCount val="2"/>
                <c:pt idx="0">
                  <c:v>76675</c:v>
                </c:pt>
                <c:pt idx="1">
                  <c:v>136074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30-4641-8102-4BA75D4B0CFE}"/>
            </c:ext>
          </c:extLst>
        </c:ser>
        <c:ser>
          <c:idx val="10"/>
          <c:order val="10"/>
          <c:tx>
            <c:strRef>
              <c:f>Grafico4!$L$3:$L$5</c:f>
              <c:strCache>
                <c:ptCount val="1"/>
                <c:pt idx="0">
                  <c:v>jun - Contagem de DATA DE EMISSÃO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Grafico4!$L$6:$L$8</c:f>
              <c:numCache>
                <c:formatCode>General</c:formatCode>
                <c:ptCount val="2"/>
                <c:pt idx="0">
                  <c:v>13</c:v>
                </c:pt>
                <c:pt idx="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30-4641-8102-4BA75D4B0CFE}"/>
            </c:ext>
          </c:extLst>
        </c:ser>
        <c:ser>
          <c:idx val="11"/>
          <c:order val="11"/>
          <c:tx>
            <c:strRef>
              <c:f>Grafico4!$M$3:$M$5</c:f>
              <c:strCache>
                <c:ptCount val="1"/>
                <c:pt idx="0">
                  <c:v>jun - Soma de R$ TOTAL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Grafico4!$M$6:$M$8</c:f>
              <c:numCache>
                <c:formatCode>General</c:formatCode>
                <c:ptCount val="2"/>
                <c:pt idx="0">
                  <c:v>78085</c:v>
                </c:pt>
                <c:pt idx="1">
                  <c:v>121517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30-4641-8102-4BA75D4B0CFE}"/>
            </c:ext>
          </c:extLst>
        </c:ser>
        <c:ser>
          <c:idx val="12"/>
          <c:order val="12"/>
          <c:tx>
            <c:strRef>
              <c:f>Grafico4!$N$3:$N$5</c:f>
              <c:strCache>
                <c:ptCount val="1"/>
                <c:pt idx="0">
                  <c:v>jul - Contagem de DATA DE EMISSÃO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Grafico4!$N$6:$N$8</c:f>
              <c:numCache>
                <c:formatCode>General</c:formatCode>
                <c:ptCount val="2"/>
                <c:pt idx="0">
                  <c:v>23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30-4641-8102-4BA75D4B0CFE}"/>
            </c:ext>
          </c:extLst>
        </c:ser>
        <c:ser>
          <c:idx val="13"/>
          <c:order val="13"/>
          <c:tx>
            <c:strRef>
              <c:f>Grafico4!$O$3:$O$5</c:f>
              <c:strCache>
                <c:ptCount val="1"/>
                <c:pt idx="0">
                  <c:v>jul - Soma de R$ TOTAL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Grafico4!$O$6:$O$8</c:f>
              <c:numCache>
                <c:formatCode>General</c:formatCode>
                <c:ptCount val="2"/>
                <c:pt idx="0">
                  <c:v>131172</c:v>
                </c:pt>
                <c:pt idx="1">
                  <c:v>98989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30-4641-8102-4BA75D4B0CFE}"/>
            </c:ext>
          </c:extLst>
        </c:ser>
        <c:ser>
          <c:idx val="14"/>
          <c:order val="14"/>
          <c:tx>
            <c:strRef>
              <c:f>Grafico4!$P$3:$P$5</c:f>
              <c:strCache>
                <c:ptCount val="1"/>
                <c:pt idx="0">
                  <c:v>ago - Contagem de DATA DE EMISSÃO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Grafico4!$P$6:$P$8</c:f>
              <c:numCache>
                <c:formatCode>General</c:formatCode>
                <c:ptCount val="2"/>
                <c:pt idx="0">
                  <c:v>45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30-4641-8102-4BA75D4B0CFE}"/>
            </c:ext>
          </c:extLst>
        </c:ser>
        <c:ser>
          <c:idx val="15"/>
          <c:order val="15"/>
          <c:tx>
            <c:strRef>
              <c:f>Grafico4!$Q$3:$Q$5</c:f>
              <c:strCache>
                <c:ptCount val="1"/>
                <c:pt idx="0">
                  <c:v>ago - Soma de R$ TOTAL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Grafico4!$Q$6:$Q$8</c:f>
              <c:numCache>
                <c:formatCode>General</c:formatCode>
                <c:ptCount val="2"/>
                <c:pt idx="0">
                  <c:v>239900</c:v>
                </c:pt>
                <c:pt idx="1">
                  <c:v>44051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30-4641-8102-4BA75D4B0CFE}"/>
            </c:ext>
          </c:extLst>
        </c:ser>
        <c:ser>
          <c:idx val="16"/>
          <c:order val="16"/>
          <c:tx>
            <c:strRef>
              <c:f>Grafico4!$R$3:$R$5</c:f>
              <c:strCache>
                <c:ptCount val="1"/>
                <c:pt idx="0">
                  <c:v>set - Contagem de DATA DE EMISSÃO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Grafico4!$R$6:$R$8</c:f>
              <c:numCache>
                <c:formatCode>General</c:formatCode>
                <c:ptCount val="2"/>
                <c:pt idx="0">
                  <c:v>42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A30-4641-8102-4BA75D4B0CFE}"/>
            </c:ext>
          </c:extLst>
        </c:ser>
        <c:ser>
          <c:idx val="17"/>
          <c:order val="17"/>
          <c:tx>
            <c:strRef>
              <c:f>Grafico4!$S$3:$S$5</c:f>
              <c:strCache>
                <c:ptCount val="1"/>
                <c:pt idx="0">
                  <c:v>set - Soma de R$ TOTAL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Grafico4!$S$6:$S$8</c:f>
              <c:numCache>
                <c:formatCode>General</c:formatCode>
                <c:ptCount val="2"/>
                <c:pt idx="0">
                  <c:v>215893</c:v>
                </c:pt>
                <c:pt idx="1">
                  <c:v>28137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A30-4641-8102-4BA75D4B0CFE}"/>
            </c:ext>
          </c:extLst>
        </c:ser>
        <c:ser>
          <c:idx val="18"/>
          <c:order val="18"/>
          <c:tx>
            <c:strRef>
              <c:f>Grafico4!$T$3:$T$5</c:f>
              <c:strCache>
                <c:ptCount val="1"/>
                <c:pt idx="0">
                  <c:v>out - Contagem de DATA DE EMISSÃO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Grafico4!$T$6:$T$8</c:f>
              <c:numCache>
                <c:formatCode>General</c:formatCode>
                <c:ptCount val="2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A30-4641-8102-4BA75D4B0CFE}"/>
            </c:ext>
          </c:extLst>
        </c:ser>
        <c:ser>
          <c:idx val="19"/>
          <c:order val="19"/>
          <c:tx>
            <c:strRef>
              <c:f>Grafico4!$U$3:$U$5</c:f>
              <c:strCache>
                <c:ptCount val="1"/>
                <c:pt idx="0">
                  <c:v>out - Soma de R$ TOTAL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Grafico4!$U$6:$U$8</c:f>
              <c:numCache>
                <c:formatCode>General</c:formatCode>
                <c:ptCount val="2"/>
                <c:pt idx="0">
                  <c:v>277120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A30-4641-8102-4BA75D4B0CFE}"/>
            </c:ext>
          </c:extLst>
        </c:ser>
        <c:ser>
          <c:idx val="20"/>
          <c:order val="20"/>
          <c:tx>
            <c:strRef>
              <c:f>Grafico4!$V$3:$V$5</c:f>
              <c:strCache>
                <c:ptCount val="1"/>
                <c:pt idx="0">
                  <c:v>nov - Contagem de DATA DE EMISSÃO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Grafico4!$V$6:$V$8</c:f>
              <c:numCache>
                <c:formatCode>General</c:formatCode>
                <c:ptCount val="2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A30-4641-8102-4BA75D4B0CFE}"/>
            </c:ext>
          </c:extLst>
        </c:ser>
        <c:ser>
          <c:idx val="21"/>
          <c:order val="21"/>
          <c:tx>
            <c:strRef>
              <c:f>Grafico4!$W$3:$W$5</c:f>
              <c:strCache>
                <c:ptCount val="1"/>
                <c:pt idx="0">
                  <c:v>nov - Soma de R$ TOTAL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Grafico4!$W$6:$W$8</c:f>
              <c:numCache>
                <c:formatCode>General</c:formatCode>
                <c:ptCount val="2"/>
                <c:pt idx="0">
                  <c:v>180044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A30-4641-8102-4BA75D4B0CFE}"/>
            </c:ext>
          </c:extLst>
        </c:ser>
        <c:ser>
          <c:idx val="22"/>
          <c:order val="22"/>
          <c:tx>
            <c:strRef>
              <c:f>Grafico4!$X$3:$X$5</c:f>
              <c:strCache>
                <c:ptCount val="1"/>
                <c:pt idx="0">
                  <c:v>dez - Contagem de DATA DE EMISSÃO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Grafico4!$X$6:$X$8</c:f>
              <c:numCache>
                <c:formatCode>General</c:formatCode>
                <c:ptCount val="2"/>
                <c:pt idx="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A30-4641-8102-4BA75D4B0CFE}"/>
            </c:ext>
          </c:extLst>
        </c:ser>
        <c:ser>
          <c:idx val="23"/>
          <c:order val="23"/>
          <c:tx>
            <c:strRef>
              <c:f>Grafico4!$Y$3:$Y$5</c:f>
              <c:strCache>
                <c:ptCount val="1"/>
                <c:pt idx="0">
                  <c:v>dez - Soma de R$ TOTAL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Grafico4!$A$6:$A$8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Grafico4!$Y$6:$Y$8</c:f>
              <c:numCache>
                <c:formatCode>General</c:formatCode>
                <c:ptCount val="2"/>
                <c:pt idx="0">
                  <c:v>218004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A30-4641-8102-4BA75D4B0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476464"/>
        <c:axId val="153473552"/>
      </c:barChart>
      <c:catAx>
        <c:axId val="15347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73552"/>
        <c:crosses val="autoZero"/>
        <c:auto val="1"/>
        <c:lblAlgn val="ctr"/>
        <c:lblOffset val="100"/>
        <c:noMultiLvlLbl val="0"/>
      </c:catAx>
      <c:valAx>
        <c:axId val="1534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7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SAFIRA_OUTUBRO2024.xlsm]Grafico5!Tabela dinâmica17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Grafico5!$B$3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Grafico5!$A$4:$A$27</c:f>
              <c:strCache>
                <c:ptCount val="23"/>
                <c:pt idx="0">
                  <c:v>AeroMatrix Solutions</c:v>
                </c:pt>
                <c:pt idx="1">
                  <c:v>ApexSphere Enterprises</c:v>
                </c:pt>
                <c:pt idx="2">
                  <c:v>BlueStone Networks</c:v>
                </c:pt>
                <c:pt idx="3">
                  <c:v>BrightLeaf Innovations</c:v>
                </c:pt>
                <c:pt idx="4">
                  <c:v>BrightWave Technologies</c:v>
                </c:pt>
                <c:pt idx="5">
                  <c:v>FusionPeak Technologies</c:v>
                </c:pt>
                <c:pt idx="6">
                  <c:v>FusionVista Ventures</c:v>
                </c:pt>
                <c:pt idx="7">
                  <c:v>HorizonEcho Group</c:v>
                </c:pt>
                <c:pt idx="8">
                  <c:v>HorizonNexus Corp.</c:v>
                </c:pt>
                <c:pt idx="9">
                  <c:v>HorizonTech Solutions</c:v>
                </c:pt>
                <c:pt idx="10">
                  <c:v>InfinityPulse LLC</c:v>
                </c:pt>
                <c:pt idx="11">
                  <c:v>LuminaWave Innovations</c:v>
                </c:pt>
                <c:pt idx="12">
                  <c:v>NovaSphere Industries</c:v>
                </c:pt>
                <c:pt idx="13">
                  <c:v>OmniGlobe Enterprises</c:v>
                </c:pt>
                <c:pt idx="14">
                  <c:v>QuantumEcho Labs</c:v>
                </c:pt>
                <c:pt idx="15">
                  <c:v>QuantumPulse LLC</c:v>
                </c:pt>
                <c:pt idx="16">
                  <c:v>QuantumStream Corp.</c:v>
                </c:pt>
                <c:pt idx="17">
                  <c:v>RadiantVista Holdings</c:v>
                </c:pt>
                <c:pt idx="18">
                  <c:v>SilverStone Ventures</c:v>
                </c:pt>
                <c:pt idx="19">
                  <c:v>TerraPeak Enterprises</c:v>
                </c:pt>
                <c:pt idx="20">
                  <c:v>TitanEdge Enterprises</c:v>
                </c:pt>
                <c:pt idx="21">
                  <c:v>TitanFusion Power</c:v>
                </c:pt>
                <c:pt idx="22">
                  <c:v>VortexLeaf Dynamics</c:v>
                </c:pt>
              </c:strCache>
            </c:strRef>
          </c:cat>
          <c:val>
            <c:numRef>
              <c:f>Grafico5!$B$4:$B$27</c:f>
              <c:numCache>
                <c:formatCode>General</c:formatCode>
                <c:ptCount val="23"/>
                <c:pt idx="0">
                  <c:v>39632</c:v>
                </c:pt>
                <c:pt idx="1">
                  <c:v>54272</c:v>
                </c:pt>
                <c:pt idx="2">
                  <c:v>25162</c:v>
                </c:pt>
                <c:pt idx="3">
                  <c:v>57472</c:v>
                </c:pt>
                <c:pt idx="4">
                  <c:v>72943</c:v>
                </c:pt>
                <c:pt idx="5">
                  <c:v>102315</c:v>
                </c:pt>
                <c:pt idx="6">
                  <c:v>37906</c:v>
                </c:pt>
                <c:pt idx="7">
                  <c:v>86461</c:v>
                </c:pt>
                <c:pt idx="8">
                  <c:v>56303</c:v>
                </c:pt>
                <c:pt idx="9">
                  <c:v>57711</c:v>
                </c:pt>
                <c:pt idx="10">
                  <c:v>48125</c:v>
                </c:pt>
                <c:pt idx="11">
                  <c:v>57535</c:v>
                </c:pt>
                <c:pt idx="12">
                  <c:v>87952</c:v>
                </c:pt>
                <c:pt idx="13">
                  <c:v>39729</c:v>
                </c:pt>
                <c:pt idx="14">
                  <c:v>34324</c:v>
                </c:pt>
                <c:pt idx="15">
                  <c:v>34571</c:v>
                </c:pt>
                <c:pt idx="16">
                  <c:v>65562</c:v>
                </c:pt>
                <c:pt idx="17">
                  <c:v>52200</c:v>
                </c:pt>
                <c:pt idx="18">
                  <c:v>36013</c:v>
                </c:pt>
                <c:pt idx="19">
                  <c:v>53810</c:v>
                </c:pt>
                <c:pt idx="20">
                  <c:v>14334</c:v>
                </c:pt>
                <c:pt idx="21">
                  <c:v>51211</c:v>
                </c:pt>
                <c:pt idx="22">
                  <c:v>63500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5E-468F-82F9-699785733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247936"/>
        <c:axId val="153226304"/>
      </c:barChart>
      <c:catAx>
        <c:axId val="15324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226304"/>
        <c:crosses val="autoZero"/>
        <c:auto val="1"/>
        <c:lblAlgn val="ctr"/>
        <c:lblOffset val="100"/>
        <c:noMultiLvlLbl val="0"/>
      </c:catAx>
      <c:valAx>
        <c:axId val="15322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24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SAFIRA_OUTUBRO2024.xlsm]Grafico6!Tabela dinâmica18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  <a:sp3d/>
        </c:spPr>
      </c:pivotFmt>
    </c:pivotFmts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Grafico6!$B$3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B216-4CF2-BE14-8120F1EF8A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B216-4CF2-BE14-8120F1EF8A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B216-4CF2-BE14-8120F1EF8A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B216-4CF2-BE14-8120F1EF8A2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B216-4CF2-BE14-8120F1EF8A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B216-4CF2-BE14-8120F1EF8A2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B216-4CF2-BE14-8120F1EF8A2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B216-4CF2-BE14-8120F1EF8A2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B216-4CF2-BE14-8120F1EF8A2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3-B216-4CF2-BE14-8120F1EF8A2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5-B216-4CF2-BE14-8120F1EF8A2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7-B216-4CF2-BE14-8120F1EF8A2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9-B216-4CF2-BE14-8120F1EF8A2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B-B216-4CF2-BE14-8120F1EF8A21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D-B216-4CF2-BE14-8120F1EF8A21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F-B216-4CF2-BE14-8120F1EF8A21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21-B216-4CF2-BE14-8120F1EF8A21}"/>
              </c:ext>
            </c:extLst>
          </c:dPt>
          <c:cat>
            <c:strRef>
              <c:f>Grafico6!$A$4:$A$21</c:f>
              <c:strCache>
                <c:ptCount val="17"/>
                <c:pt idx="0">
                  <c:v>AeroVista Holdings</c:v>
                </c:pt>
                <c:pt idx="1">
                  <c:v>BlueWave Networks</c:v>
                </c:pt>
                <c:pt idx="2">
                  <c:v>CrimsonCrest Dynamics</c:v>
                </c:pt>
                <c:pt idx="3">
                  <c:v>CyberLink Corporation</c:v>
                </c:pt>
                <c:pt idx="4">
                  <c:v>CyberSphere Innovations</c:v>
                </c:pt>
                <c:pt idx="5">
                  <c:v>ElevatePulse LLC</c:v>
                </c:pt>
                <c:pt idx="6">
                  <c:v>ElevateX Solutions</c:v>
                </c:pt>
                <c:pt idx="7">
                  <c:v>FusionEdge Systems</c:v>
                </c:pt>
                <c:pt idx="8">
                  <c:v>LuminaCore Systems</c:v>
                </c:pt>
                <c:pt idx="9">
                  <c:v>OmniCore Systems</c:v>
                </c:pt>
                <c:pt idx="10">
                  <c:v>SilverPulse Ventures</c:v>
                </c:pt>
                <c:pt idx="11">
                  <c:v>StellarFusion Corp.</c:v>
                </c:pt>
                <c:pt idx="12">
                  <c:v>TerraVista Holdings</c:v>
                </c:pt>
                <c:pt idx="13">
                  <c:v>VortexDynamics Inc.</c:v>
                </c:pt>
                <c:pt idx="14">
                  <c:v>VortexPeak Dynamics</c:v>
                </c:pt>
                <c:pt idx="15">
                  <c:v>ZenithStream Technologies</c:v>
                </c:pt>
                <c:pt idx="16">
                  <c:v>ZenTech Solutions</c:v>
                </c:pt>
              </c:strCache>
            </c:strRef>
          </c:cat>
          <c:val>
            <c:numRef>
              <c:f>Grafico6!$B$4:$B$21</c:f>
              <c:numCache>
                <c:formatCode>General</c:formatCode>
                <c:ptCount val="17"/>
                <c:pt idx="0">
                  <c:v>31637</c:v>
                </c:pt>
                <c:pt idx="1">
                  <c:v>71043</c:v>
                </c:pt>
                <c:pt idx="2">
                  <c:v>69747</c:v>
                </c:pt>
                <c:pt idx="3">
                  <c:v>69489</c:v>
                </c:pt>
                <c:pt idx="4">
                  <c:v>50305</c:v>
                </c:pt>
                <c:pt idx="5">
                  <c:v>42646</c:v>
                </c:pt>
                <c:pt idx="6">
                  <c:v>44036</c:v>
                </c:pt>
                <c:pt idx="7">
                  <c:v>35554</c:v>
                </c:pt>
                <c:pt idx="8">
                  <c:v>70517</c:v>
                </c:pt>
                <c:pt idx="9">
                  <c:v>59151</c:v>
                </c:pt>
                <c:pt idx="10">
                  <c:v>61513</c:v>
                </c:pt>
                <c:pt idx="11">
                  <c:v>66075</c:v>
                </c:pt>
                <c:pt idx="12">
                  <c:v>50561</c:v>
                </c:pt>
                <c:pt idx="13">
                  <c:v>48215</c:v>
                </c:pt>
                <c:pt idx="14">
                  <c:v>29117</c:v>
                </c:pt>
                <c:pt idx="15">
                  <c:v>72762</c:v>
                </c:pt>
                <c:pt idx="16">
                  <c:v>36333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CD-4DD9-9F2C-DD2BD1531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1538287</xdr:colOff>
      <xdr:row>7</xdr:row>
      <xdr:rowOff>161925</xdr:rowOff>
    </xdr:from>
    <xdr:to>
      <xdr:col>4</xdr:col>
      <xdr:colOff>23812</xdr:colOff>
      <xdr:row>23</xdr:row>
      <xdr:rowOff>9525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FF46C98-42EA-469E-BE45-0B1A7F2876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1528762</xdr:colOff>
      <xdr:row>8</xdr:row>
      <xdr:rowOff>28575</xdr:rowOff>
    </xdr:from>
    <xdr:to>
      <xdr:col>4</xdr:col>
      <xdr:colOff>14287</xdr:colOff>
      <xdr:row>23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59AC281-DF20-45EF-B2AC-1E1A0E5060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</xdr:colOff>
      <xdr:row>10</xdr:row>
      <xdr:rowOff>9525</xdr:rowOff>
    </xdr:from>
    <xdr:to>
      <xdr:col>4</xdr:col>
      <xdr:colOff>833437</xdr:colOff>
      <xdr:row>25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E4F1FF-EB06-44EA-8F4C-8149DC7E3C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42862</xdr:colOff>
      <xdr:row>9</xdr:row>
      <xdr:rowOff>9525</xdr:rowOff>
    </xdr:from>
    <xdr:to>
      <xdr:col>4</xdr:col>
      <xdr:colOff>871537</xdr:colOff>
      <xdr:row>24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764A3A3-6305-4056-859E-696ADCBC95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</xdr:colOff>
      <xdr:row>2</xdr:row>
      <xdr:rowOff>19050</xdr:rowOff>
    </xdr:from>
    <xdr:to>
      <xdr:col>9</xdr:col>
      <xdr:colOff>471487</xdr:colOff>
      <xdr:row>17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D8CE6C7-76AE-4E13-BE7E-17D731E073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</xdr:colOff>
      <xdr:row>1</xdr:row>
      <xdr:rowOff>9525</xdr:rowOff>
    </xdr:from>
    <xdr:to>
      <xdr:col>9</xdr:col>
      <xdr:colOff>500062</xdr:colOff>
      <xdr:row>16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A7EBF2-8464-46B7-AAD6-C2D8FDD18B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son" refreshedDate="45580.490753587961" createdVersion="6" refreshedVersion="6" minRefreshableVersion="3" recordCount="499" xr:uid="{36B3773D-EA9D-46C1-8857-AF61188DBC3B}">
  <cacheSource type="worksheet">
    <worksheetSource ref="A1:P501" sheet="BASE"/>
  </cacheSource>
  <cacheFields count="18">
    <cacheField name="N° NOTA FISCAL" numFmtId="0">
      <sharedItems/>
    </cacheField>
    <cacheField name="EMISSOR" numFmtId="0">
      <sharedItems count="49">
        <s v="TerraVista Holdings"/>
        <s v="QuantumPulse LLC"/>
        <s v="NovaSphere Industries"/>
        <s v="AeroMatrix Solutions"/>
        <s v="SilverStone Ventures"/>
        <s v="ApexNexus Innovations"/>
        <s v="ZenTech Solutions"/>
        <s v="FusionPeak Technologies"/>
        <s v="TerraFusion Industries"/>
        <s v="BlueStone Networks"/>
        <s v="BlueWave Networks"/>
        <s v="BrightWave Technologies"/>
        <s v="HorizonNexus Corp."/>
        <s v="BrightLeaf Innovations"/>
        <s v="TitanFusion Power"/>
        <s v="CrimsonEdge Dynamics"/>
        <s v="CrimsonCrest Dynamics"/>
        <s v="QuantumStream Corp."/>
        <s v="ElevateX Solutions"/>
        <s v="ElevatePulse LLC"/>
        <s v="RadiantVista Holdings"/>
        <s v="InfinitySky Labs"/>
        <s v="VertexSolar Power"/>
        <s v="ZenithStream Technologies"/>
        <s v="InfinityPulse LLC"/>
        <s v="TerraPeak Enterprises"/>
        <s v="HorizonEcho Group"/>
        <s v="VortexPeak Dynamics"/>
        <s v="StellarWave Technologies"/>
        <s v="StellarFusion Corp."/>
        <s v="RadiantSky Labs"/>
        <s v="OmniGlobe Enterprises"/>
        <s v="FusionEdge Systems"/>
        <s v="SilverPulse Ventures"/>
        <s v="CyberLink Corporation"/>
        <s v="HorizonTech Solutions"/>
        <s v="StellarCore Systems"/>
        <s v="ApexSphere Enterprises"/>
        <s v="CyberSphere Innovations"/>
        <s v="LuminaCore Systems"/>
        <s v="QuantumWave Industries"/>
        <s v="VortexLeaf Dynamics"/>
        <s v="LuminaWave Innovations"/>
        <s v="OmniCore Systems"/>
        <s v="QuantumEcho Labs"/>
        <s v="AeroVista Holdings"/>
        <s v="TitanEdge Enterprises"/>
        <s v="FusionVista Ventures"/>
        <s v="VortexDynamics Inc."/>
      </sharedItems>
    </cacheField>
    <cacheField name="DATA DE EMISSÃO" numFmtId="14">
      <sharedItems containsSemiMixedTypes="0" containsNonDate="0" containsDate="1" containsString="0" minDate="2023-03-21T00:00:00" maxDate="2024-09-17T00:00:00" count="302">
        <d v="2024-05-09T00:00:00"/>
        <d v="2024-06-22T00:00:00"/>
        <d v="2023-10-19T00:00:00"/>
        <d v="2023-05-22T00:00:00"/>
        <d v="2024-02-24T00:00:00"/>
        <d v="2023-09-01T00:00:00"/>
        <d v="2024-06-01T00:00:00"/>
        <d v="2023-10-16T00:00:00"/>
        <d v="2023-09-11T00:00:00"/>
        <d v="2023-07-21T00:00:00"/>
        <d v="2024-02-21T00:00:00"/>
        <d v="2023-08-11T00:00:00"/>
        <d v="2023-10-18T00:00:00"/>
        <d v="2023-06-24T00:00:00"/>
        <d v="2024-03-25T00:00:00"/>
        <d v="2023-10-12T00:00:00"/>
        <d v="2023-12-08T00:00:00"/>
        <d v="2024-07-15T00:00:00"/>
        <d v="2023-10-13T00:00:00"/>
        <d v="2023-12-31T00:00:00"/>
        <d v="2023-08-31T00:00:00"/>
        <d v="2023-10-11T00:00:00"/>
        <d v="2023-09-23T00:00:00"/>
        <d v="2023-11-04T00:00:00"/>
        <d v="2024-01-07T00:00:00"/>
        <d v="2023-08-23T00:00:00"/>
        <d v="2024-07-09T00:00:00"/>
        <d v="2024-01-29T00:00:00"/>
        <d v="2023-11-15T00:00:00"/>
        <d v="2024-01-27T00:00:00"/>
        <d v="2023-10-10T00:00:00"/>
        <d v="2023-07-22T00:00:00"/>
        <d v="2023-07-24T00:00:00"/>
        <d v="2024-03-06T00:00:00"/>
        <d v="2024-04-09T00:00:00"/>
        <d v="2023-10-02T00:00:00"/>
        <d v="2023-11-25T00:00:00"/>
        <d v="2024-08-05T00:00:00"/>
        <d v="2023-10-17T00:00:00"/>
        <d v="2024-01-01T00:00:00"/>
        <d v="2023-08-12T00:00:00"/>
        <d v="2024-07-20T00:00:00"/>
        <d v="2024-08-23T00:00:00"/>
        <d v="2023-09-09T00:00:00"/>
        <d v="2024-03-12T00:00:00"/>
        <d v="2024-06-29T00:00:00"/>
        <d v="2023-12-25T00:00:00"/>
        <d v="2024-01-02T00:00:00"/>
        <d v="2023-06-12T00:00:00"/>
        <d v="2023-11-10T00:00:00"/>
        <d v="2023-08-20T00:00:00"/>
        <d v="2024-01-24T00:00:00"/>
        <d v="2023-12-24T00:00:00"/>
        <d v="2024-05-29T00:00:00"/>
        <d v="2024-03-03T00:00:00"/>
        <d v="2024-01-15T00:00:00"/>
        <d v="2023-12-17T00:00:00"/>
        <d v="2023-10-04T00:00:00"/>
        <d v="2023-11-08T00:00:00"/>
        <d v="2023-08-05T00:00:00"/>
        <d v="2023-07-16T00:00:00"/>
        <d v="2023-10-09T00:00:00"/>
        <d v="2024-04-03T00:00:00"/>
        <d v="2023-09-25T00:00:00"/>
        <d v="2024-07-28T00:00:00"/>
        <d v="2023-05-07T00:00:00"/>
        <d v="2024-09-12T00:00:00"/>
        <d v="2023-10-25T00:00:00"/>
        <d v="2024-02-03T00:00:00"/>
        <d v="2023-10-03T00:00:00"/>
        <d v="2024-01-03T00:00:00"/>
        <d v="2024-05-03T00:00:00"/>
        <d v="2023-12-12T00:00:00"/>
        <d v="2023-09-30T00:00:00"/>
        <d v="2023-08-29T00:00:00"/>
        <d v="2024-07-25T00:00:00"/>
        <d v="2023-12-02T00:00:00"/>
        <d v="2024-06-18T00:00:00"/>
        <d v="2023-09-18T00:00:00"/>
        <d v="2023-09-03T00:00:00"/>
        <d v="2024-05-31T00:00:00"/>
        <d v="2023-11-23T00:00:00"/>
        <d v="2023-12-13T00:00:00"/>
        <d v="2024-05-30T00:00:00"/>
        <d v="2024-04-15T00:00:00"/>
        <d v="2024-01-18T00:00:00"/>
        <d v="2024-05-23T00:00:00"/>
        <d v="2023-10-08T00:00:00"/>
        <d v="2023-10-14T00:00:00"/>
        <d v="2023-08-15T00:00:00"/>
        <d v="2023-10-05T00:00:00"/>
        <d v="2024-01-28T00:00:00"/>
        <d v="2023-07-08T00:00:00"/>
        <d v="2023-12-16T00:00:00"/>
        <d v="2023-05-17T00:00:00"/>
        <d v="2024-05-17T00:00:00"/>
        <d v="2024-05-15T00:00:00"/>
        <d v="2024-07-04T00:00:00"/>
        <d v="2024-01-11T00:00:00"/>
        <d v="2023-12-10T00:00:00"/>
        <d v="2024-04-11T00:00:00"/>
        <d v="2023-04-22T00:00:00"/>
        <d v="2023-08-17T00:00:00"/>
        <d v="2023-09-04T00:00:00"/>
        <d v="2024-09-01T00:00:00"/>
        <d v="2024-01-23T00:00:00"/>
        <d v="2024-02-20T00:00:00"/>
        <d v="2024-02-06T00:00:00"/>
        <d v="2023-08-06T00:00:00"/>
        <d v="2023-11-16T00:00:00"/>
        <d v="2024-03-07T00:00:00"/>
        <d v="2024-08-17T00:00:00"/>
        <d v="2024-05-13T00:00:00"/>
        <d v="2023-08-21T00:00:00"/>
        <d v="2024-06-03T00:00:00"/>
        <d v="2024-04-19T00:00:00"/>
        <d v="2024-07-14T00:00:00"/>
        <d v="2023-06-05T00:00:00"/>
        <d v="2023-07-28T00:00:00"/>
        <d v="2023-09-14T00:00:00"/>
        <d v="2024-08-02T00:00:00"/>
        <d v="2023-10-20T00:00:00"/>
        <d v="2023-08-19T00:00:00"/>
        <d v="2023-05-31T00:00:00"/>
        <d v="2023-10-22T00:00:00"/>
        <d v="2024-04-21T00:00:00"/>
        <d v="2023-09-22T00:00:00"/>
        <d v="2024-02-02T00:00:00"/>
        <d v="2024-07-29T00:00:00"/>
        <d v="2024-01-20T00:00:00"/>
        <d v="2023-05-20T00:00:00"/>
        <d v="2024-03-11T00:00:00"/>
        <d v="2023-06-10T00:00:00"/>
        <d v="2024-05-18T00:00:00"/>
        <d v="2024-04-08T00:00:00"/>
        <d v="2023-08-01T00:00:00"/>
        <d v="2023-08-14T00:00:00"/>
        <d v="2024-04-02T00:00:00"/>
        <d v="2023-10-07T00:00:00"/>
        <d v="2023-11-17T00:00:00"/>
        <d v="2023-11-19T00:00:00"/>
        <d v="2023-07-03T00:00:00"/>
        <d v="2024-02-22T00:00:00"/>
        <d v="2024-03-05T00:00:00"/>
        <d v="2024-03-30T00:00:00"/>
        <d v="2024-02-27T00:00:00"/>
        <d v="2024-03-31T00:00:00"/>
        <d v="2023-08-18T00:00:00"/>
        <d v="2023-11-05T00:00:00"/>
        <d v="2023-12-01T00:00:00"/>
        <d v="2023-10-27T00:00:00"/>
        <d v="2023-12-18T00:00:00"/>
        <d v="2024-03-15T00:00:00"/>
        <d v="2024-03-19T00:00:00"/>
        <d v="2024-04-28T00:00:00"/>
        <d v="2024-05-05T00:00:00"/>
        <d v="2024-07-05T00:00:00"/>
        <d v="2023-08-07T00:00:00"/>
        <d v="2024-03-08T00:00:00"/>
        <d v="2024-02-25T00:00:00"/>
        <d v="2023-09-28T00:00:00"/>
        <d v="2024-04-25T00:00:00"/>
        <d v="2024-07-01T00:00:00"/>
        <d v="2023-06-11T00:00:00"/>
        <d v="2023-12-23T00:00:00"/>
        <d v="2024-05-24T00:00:00"/>
        <d v="2023-08-22T00:00:00"/>
        <d v="2024-03-20T00:00:00"/>
        <d v="2024-04-22T00:00:00"/>
        <d v="2023-08-03T00:00:00"/>
        <d v="2023-12-09T00:00:00"/>
        <d v="2023-11-26T00:00:00"/>
        <d v="2024-03-10T00:00:00"/>
        <d v="2024-02-12T00:00:00"/>
        <d v="2024-08-13T00:00:00"/>
        <d v="2024-03-29T00:00:00"/>
        <d v="2024-03-01T00:00:00"/>
        <d v="2024-06-16T00:00:00"/>
        <d v="2024-05-27T00:00:00"/>
        <d v="2023-06-29T00:00:00"/>
        <d v="2023-07-26T00:00:00"/>
        <d v="2023-08-10T00:00:00"/>
        <d v="2023-09-10T00:00:00"/>
        <d v="2023-07-13T00:00:00"/>
        <d v="2024-03-23T00:00:00"/>
        <d v="2023-05-09T00:00:00"/>
        <d v="2024-08-22T00:00:00"/>
        <d v="2023-11-30T00:00:00"/>
        <d v="2023-09-12T00:00:00"/>
        <d v="2024-02-26T00:00:00"/>
        <d v="2023-06-13T00:00:00"/>
        <d v="2024-06-20T00:00:00"/>
        <d v="2023-12-07T00:00:00"/>
        <d v="2024-03-17T00:00:00"/>
        <d v="2024-04-18T00:00:00"/>
        <d v="2024-02-16T00:00:00"/>
        <d v="2024-04-29T00:00:00"/>
        <d v="2024-06-09T00:00:00"/>
        <d v="2024-09-02T00:00:00"/>
        <d v="2024-04-13T00:00:00"/>
        <d v="2024-06-05T00:00:00"/>
        <d v="2023-07-27T00:00:00"/>
        <d v="2024-04-10T00:00:00"/>
        <d v="2023-08-30T00:00:00"/>
        <d v="2024-01-09T00:00:00"/>
        <d v="2024-03-26T00:00:00"/>
        <d v="2023-08-26T00:00:00"/>
        <d v="2023-08-13T00:00:00"/>
        <d v="2024-03-18T00:00:00"/>
        <d v="2023-08-28T00:00:00"/>
        <d v="2023-09-06T00:00:00"/>
        <d v="2023-07-10T00:00:00"/>
        <d v="2023-05-05T00:00:00"/>
        <d v="2024-03-04T00:00:00"/>
        <d v="2023-12-14T00:00:00"/>
        <d v="2023-07-07T00:00:00"/>
        <d v="2024-02-15T00:00:00"/>
        <d v="2023-08-04T00:00:00"/>
        <d v="2024-02-17T00:00:00"/>
        <d v="2024-04-12T00:00:00"/>
        <d v="2023-04-25T00:00:00"/>
        <d v="2024-02-11T00:00:00"/>
        <d v="2023-09-19T00:00:00"/>
        <d v="2024-09-08T00:00:00"/>
        <d v="2024-02-07T00:00:00"/>
        <d v="2024-07-31T00:00:00"/>
        <d v="2024-06-17T00:00:00"/>
        <d v="2024-02-18T00:00:00"/>
        <d v="2023-11-20T00:00:00"/>
        <d v="2023-10-06T00:00:00"/>
        <d v="2023-11-27T00:00:00"/>
        <d v="2023-05-23T00:00:00"/>
        <d v="2023-11-03T00:00:00"/>
        <d v="2023-06-02T00:00:00"/>
        <d v="2023-12-03T00:00:00"/>
        <d v="2023-11-29T00:00:00"/>
        <d v="2023-05-30T00:00:00"/>
        <d v="2023-12-27T00:00:00"/>
        <d v="2023-10-24T00:00:00"/>
        <d v="2024-04-16T00:00:00"/>
        <d v="2023-11-18T00:00:00"/>
        <d v="2023-09-07T00:00:00"/>
        <d v="2024-03-28T00:00:00"/>
        <d v="2023-11-13T00:00:00"/>
        <d v="2023-11-22T00:00:00"/>
        <d v="2023-05-15T00:00:00"/>
        <d v="2024-07-06T00:00:00"/>
        <d v="2024-01-22T00:00:00"/>
        <d v="2024-09-15T00:00:00"/>
        <d v="2024-07-30T00:00:00"/>
        <d v="2024-08-12T00:00:00"/>
        <d v="2023-06-18T00:00:00"/>
        <d v="2023-07-15T00:00:00"/>
        <d v="2024-03-13T00:00:00"/>
        <d v="2024-01-06T00:00:00"/>
        <d v="2024-09-16T00:00:00"/>
        <d v="2023-07-17T00:00:00"/>
        <d v="2024-01-12T00:00:00"/>
        <d v="2023-12-29T00:00:00"/>
        <d v="2024-02-10T00:00:00"/>
        <d v="2023-07-05T00:00:00"/>
        <d v="2023-09-15T00:00:00"/>
        <d v="2024-06-28T00:00:00"/>
        <d v="2023-11-06T00:00:00"/>
        <d v="2023-06-30T00:00:00"/>
        <d v="2024-01-16T00:00:00"/>
        <d v="2023-12-11T00:00:00"/>
        <d v="2024-05-02T00:00:00"/>
        <d v="2023-11-09T00:00:00"/>
        <d v="2024-04-06T00:00:00"/>
        <d v="2024-08-08T00:00:00"/>
        <d v="2023-09-08T00:00:00"/>
        <d v="2023-09-20T00:00:00"/>
        <d v="2023-12-20T00:00:00"/>
        <d v="2023-11-28T00:00:00"/>
        <d v="2024-01-25T00:00:00"/>
        <d v="2024-07-11T00:00:00"/>
        <d v="2024-03-24T00:00:00"/>
        <d v="2023-12-21T00:00:00"/>
        <d v="2024-04-26T00:00:00"/>
        <d v="2023-10-23T00:00:00"/>
        <d v="2024-01-31T00:00:00"/>
        <d v="2024-01-13T00:00:00"/>
        <d v="2024-01-04T00:00:00"/>
        <d v="2023-11-24T00:00:00"/>
        <d v="2023-03-21T00:00:00"/>
        <d v="2023-09-02T00:00:00"/>
        <d v="2024-05-25T00:00:00"/>
        <d v="2024-08-03T00:00:00"/>
        <d v="2024-03-27T00:00:00"/>
        <d v="2023-10-01T00:00:00"/>
        <d v="2024-04-05T00:00:00"/>
        <d v="2024-01-10T00:00:00"/>
        <d v="2024-06-30T00:00:00"/>
        <d v="2024-06-12T00:00:00"/>
        <d v="2024-07-26T00:00:00"/>
        <d v="2023-11-12T00:00:00"/>
        <d v="2024-02-04T00:00:00"/>
        <d v="2023-09-24T00:00:00"/>
        <d v="2023-12-06T00:00:00"/>
        <d v="2023-09-13T00:00:00"/>
        <d v="2023-11-14T00:00:00"/>
      </sharedItems>
      <fieldGroup par="17" base="2">
        <rangePr groupBy="months" startDate="2023-03-21T00:00:00" endDate="2024-09-17T00:00:00"/>
        <groupItems count="14">
          <s v="&lt;21/03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7/09/2024"/>
        </groupItems>
      </fieldGroup>
    </cacheField>
    <cacheField name="CNPJ" numFmtId="14">
      <sharedItems/>
    </cacheField>
    <cacheField name="NATUREZA DA OPERAÇÃO" numFmtId="0">
      <sharedItems count="3">
        <s v="Saída"/>
        <s v="Entrada"/>
        <s v="Estornos"/>
      </sharedItems>
    </cacheField>
    <cacheField name="CENTRO DE CUSTO" numFmtId="0">
      <sharedItems/>
    </cacheField>
    <cacheField name="R$ TOTAL" numFmtId="165">
      <sharedItems containsSemiMixedTypes="0" containsString="0" containsNumber="1" containsInteger="1" minValue="401" maxValue="9981"/>
    </cacheField>
    <cacheField name="TIPO DE PAGAMENTO" numFmtId="165">
      <sharedItems/>
    </cacheField>
    <cacheField name="1ª Parcela" numFmtId="14">
      <sharedItems containsSemiMixedTypes="0" containsNonDate="0" containsDate="1" containsString="0" minDate="2023-03-22T00:00:00" maxDate="2024-09-18T00:00:00"/>
    </cacheField>
    <cacheField name="R$ 1ª Parcela" numFmtId="165">
      <sharedItems containsSemiMixedTypes="0" containsString="0" containsNumber="1" minValue="107.5" maxValue="9981"/>
    </cacheField>
    <cacheField name="2ª Parcela" numFmtId="14">
      <sharedItems containsDate="1" containsMixedTypes="1" minDate="2023-05-07T00:00:00" maxDate="2024-10-13T00:00:00"/>
    </cacheField>
    <cacheField name="R$ 2ª Parcela" numFmtId="165">
      <sharedItems containsMixedTypes="1" containsNumber="1" minValue="107.5" maxValue="4989"/>
    </cacheField>
    <cacheField name="3ª Parcela" numFmtId="14">
      <sharedItems containsDate="1" containsMixedTypes="1" minDate="2023-06-06T00:00:00" maxDate="2024-10-31T00:00:00"/>
    </cacheField>
    <cacheField name="R$ 3ª Parcela" numFmtId="165">
      <sharedItems containsMixedTypes="1" containsNumber="1" minValue="107.5" maxValue="3320.3333333333326"/>
    </cacheField>
    <cacheField name="4ª Parcela" numFmtId="14">
      <sharedItems containsDate="1" containsBlank="1" containsMixedTypes="1" minDate="2023-07-06T00:00:00" maxDate="2024-11-15T00:00:00"/>
    </cacheField>
    <cacheField name="R$ 4ª Parcela" numFmtId="165">
      <sharedItems containsMixedTypes="1" containsNumber="1" minValue="107.5" maxValue="2484.75"/>
    </cacheField>
    <cacheField name="Trimestres" numFmtId="0" databaseField="0">
      <fieldGroup base="2">
        <rangePr groupBy="quarters" startDate="2023-03-21T00:00:00" endDate="2024-09-17T00:00:00"/>
        <groupItems count="6">
          <s v="&lt;21/03/2023"/>
          <s v="Trim1"/>
          <s v="Trim2"/>
          <s v="Trim3"/>
          <s v="Trim4"/>
          <s v="&gt;17/09/2024"/>
        </groupItems>
      </fieldGroup>
    </cacheField>
    <cacheField name="Anos" numFmtId="0" databaseField="0">
      <fieldGroup base="2">
        <rangePr groupBy="years" startDate="2023-03-21T00:00:00" endDate="2024-09-17T00:00:00"/>
        <groupItems count="4">
          <s v="&lt;21/03/2023"/>
          <s v="2023"/>
          <s v="2024"/>
          <s v="&gt;17/09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9">
  <r>
    <s v="44101109"/>
    <x v="0"/>
    <x v="0"/>
    <s v="45.678.901/0001-67"/>
    <x v="0"/>
    <s v="Factoring Fee"/>
    <n v="2457"/>
    <s v="A VISTA"/>
    <d v="2024-05-10T00:00:00"/>
    <n v="2457"/>
    <s v=""/>
    <s v=""/>
    <s v=""/>
    <s v=""/>
    <s v=""/>
    <s v=""/>
  </r>
  <r>
    <s v="9214109"/>
    <x v="1"/>
    <x v="1"/>
    <s v="32.345.678/0001-56"/>
    <x v="1"/>
    <s v="MATERIAL C"/>
    <n v="9594"/>
    <s v="1+1"/>
    <d v="2024-06-23T00:00:00"/>
    <n v="4797"/>
    <d v="2024-07-22T00:00:00"/>
    <n v="4797"/>
    <s v=""/>
    <s v=""/>
    <s v=""/>
    <s v=""/>
  </r>
  <r>
    <s v="27133159"/>
    <x v="2"/>
    <x v="2"/>
    <s v="99.012.345/0001-45"/>
    <x v="1"/>
    <s v="MATERIAL B"/>
    <n v="9086"/>
    <s v="1+2"/>
    <d v="2023-10-20T00:00:00"/>
    <n v="3028.6666666666665"/>
    <d v="2023-11-18T00:00:00"/>
    <n v="3028.6666666666665"/>
    <d v="2023-12-03T00:00:00"/>
    <n v="3028.6666666666674"/>
    <s v=""/>
    <s v=""/>
  </r>
  <r>
    <s v="670197"/>
    <x v="3"/>
    <x v="3"/>
    <s v="88.901.234/0001-78"/>
    <x v="1"/>
    <s v="MATERIAL D"/>
    <n v="9199"/>
    <s v="1+2"/>
    <d v="2023-05-23T00:00:00"/>
    <n v="3066.3333333333335"/>
    <d v="2023-06-21T00:00:00"/>
    <n v="3066.3333333333335"/>
    <d v="2023-07-06T00:00:00"/>
    <n v="3066.3333333333326"/>
    <s v=""/>
    <s v=""/>
  </r>
  <r>
    <s v="76149193"/>
    <x v="4"/>
    <x v="4"/>
    <s v="89.012.345/0001-45"/>
    <x v="1"/>
    <s v="MATERIAL A"/>
    <n v="8090"/>
    <s v="1+3"/>
    <d v="2024-02-25T00:00:00"/>
    <n v="2022.5"/>
    <d v="2024-02-24T00:00:00"/>
    <n v="2022.5"/>
    <d v="2024-02-24T00:00:00"/>
    <n v="2022.5"/>
    <d v="2024-02-24T00:00:00"/>
    <n v="2022.5"/>
  </r>
  <r>
    <s v="3913638"/>
    <x v="5"/>
    <x v="5"/>
    <s v="34.567.890/0001-90"/>
    <x v="2"/>
    <s v="ENVIO INCORRETO"/>
    <n v="1396"/>
    <s v="A VISTA"/>
    <d v="2023-09-02T00:00:00"/>
    <n v="1396"/>
    <s v=""/>
    <s v=""/>
    <s v=""/>
    <s v=""/>
    <s v=""/>
    <s v=""/>
  </r>
  <r>
    <s v="97107228"/>
    <x v="0"/>
    <x v="6"/>
    <s v="45.678.901/0001-67"/>
    <x v="0"/>
    <s v="Factoring Fee"/>
    <n v="6710"/>
    <s v="1+3"/>
    <d v="2024-06-02T00:00:00"/>
    <n v="1677.5"/>
    <d v="2024-07-01T00:00:00"/>
    <n v="1677.5"/>
    <d v="2024-07-16T00:00:00"/>
    <n v="1677.5"/>
    <d v="2024-07-31T00:00:00"/>
    <n v="1677.5"/>
  </r>
  <r>
    <s v="6410648"/>
    <x v="6"/>
    <x v="7"/>
    <s v="08.901.234/0001-78"/>
    <x v="0"/>
    <s v="Factoring Fee"/>
    <n v="2984"/>
    <s v="1+3"/>
    <d v="2023-10-17T00:00:00"/>
    <n v="746"/>
    <d v="2023-10-16T00:00:00"/>
    <n v="746"/>
    <d v="2023-11-30T00:00:00"/>
    <n v="746"/>
    <d v="2023-12-15T00:00:00"/>
    <n v="746"/>
  </r>
  <r>
    <s v="7654233"/>
    <x v="7"/>
    <x v="8"/>
    <s v="67.890.123/0001-01"/>
    <x v="1"/>
    <s v="MATERIAL D"/>
    <n v="5644"/>
    <s v="1+1"/>
    <d v="2023-09-12T00:00:00"/>
    <n v="2822"/>
    <d v="2023-10-11T00:00:00"/>
    <n v="2822"/>
    <s v=""/>
    <s v=""/>
    <s v=""/>
    <s v=""/>
  </r>
  <r>
    <s v="1414734"/>
    <x v="7"/>
    <x v="9"/>
    <s v="67.890.123/0001-01"/>
    <x v="1"/>
    <s v="MATERIAL D"/>
    <n v="5862"/>
    <s v="1+3"/>
    <d v="2023-07-22T00:00:00"/>
    <n v="1465.5"/>
    <d v="2023-07-21T00:00:00"/>
    <n v="1465.5"/>
    <d v="2023-09-04T00:00:00"/>
    <n v="1465.5"/>
    <d v="2023-09-19T00:00:00"/>
    <n v="1465.5"/>
  </r>
  <r>
    <s v="648161"/>
    <x v="7"/>
    <x v="10"/>
    <s v="67.890.123/0001-01"/>
    <x v="1"/>
    <s v="MATERIAL D"/>
    <n v="762"/>
    <s v="1+3"/>
    <d v="2024-02-22T00:00:00"/>
    <n v="190.5"/>
    <d v="2024-02-21T00:00:00"/>
    <n v="190.5"/>
    <d v="2024-04-06T00:00:00"/>
    <n v="190.5"/>
    <d v="2024-04-21T00:00:00"/>
    <n v="190.5"/>
  </r>
  <r>
    <s v="2213748"/>
    <x v="8"/>
    <x v="11"/>
    <s v="54.567.890/0001-90"/>
    <x v="2"/>
    <s v="EXTRAVIADO"/>
    <n v="626"/>
    <s v="A VISTA"/>
    <d v="2023-08-12T00:00:00"/>
    <n v="626"/>
    <s v=""/>
    <s v=""/>
    <s v=""/>
    <s v=""/>
    <s v=""/>
    <s v=""/>
  </r>
  <r>
    <s v="1023235"/>
    <x v="7"/>
    <x v="12"/>
    <s v="67.890.123/0001-01"/>
    <x v="1"/>
    <s v="MATERIAL D"/>
    <n v="5530"/>
    <s v="1+3"/>
    <d v="2023-10-19T00:00:00"/>
    <n v="1382.5"/>
    <d v="2023-10-18T00:00:00"/>
    <n v="1382.5"/>
    <d v="2023-12-02T00:00:00"/>
    <n v="1382.5"/>
    <d v="2023-12-17T00:00:00"/>
    <n v="1382.5"/>
  </r>
  <r>
    <s v="676859"/>
    <x v="9"/>
    <x v="13"/>
    <s v="53.456.789/0001-23"/>
    <x v="1"/>
    <s v="MATERIAL C"/>
    <n v="3652"/>
    <s v="1+3"/>
    <d v="2023-06-25T00:00:00"/>
    <n v="913"/>
    <d v="2023-06-24T00:00:00"/>
    <n v="913"/>
    <d v="2023-08-08T00:00:00"/>
    <n v="913"/>
    <d v="2023-08-23T00:00:00"/>
    <n v="913"/>
  </r>
  <r>
    <s v="3312978"/>
    <x v="10"/>
    <x v="14"/>
    <s v="22.345.678/0001-56"/>
    <x v="0"/>
    <s v="Pagamentos ADMs"/>
    <n v="8685"/>
    <s v="1+2"/>
    <d v="2024-03-26T00:00:00"/>
    <n v="2895"/>
    <d v="2024-04-24T00:00:00"/>
    <n v="2895"/>
    <d v="2024-05-09T00:00:00"/>
    <n v="2895"/>
    <s v=""/>
    <s v=""/>
  </r>
  <r>
    <s v="644941"/>
    <x v="11"/>
    <x v="15"/>
    <s v="52.345.678/0001-56"/>
    <x v="1"/>
    <s v="MATERIAL A"/>
    <n v="8792"/>
    <s v="1+2"/>
    <d v="2023-10-13T00:00:00"/>
    <n v="2930.6666666666665"/>
    <d v="2023-11-11T00:00:00"/>
    <n v="2930.6666666666665"/>
    <d v="2023-11-26T00:00:00"/>
    <n v="2930.6666666666674"/>
    <s v=""/>
    <s v=""/>
  </r>
  <r>
    <s v="95143197"/>
    <x v="12"/>
    <x v="16"/>
    <s v="09.012.345/0001-45"/>
    <x v="1"/>
    <s v="MATERIAL D"/>
    <n v="9489"/>
    <s v="A VISTA"/>
    <d v="2023-12-09T00:00:00"/>
    <n v="9489"/>
    <s v=""/>
    <s v=""/>
    <s v=""/>
    <s v=""/>
    <m/>
    <s v=""/>
  </r>
  <r>
    <s v="10081180"/>
    <x v="13"/>
    <x v="17"/>
    <s v="10.123.456/0001-12"/>
    <x v="1"/>
    <s v="MATERIAL A"/>
    <n v="4460"/>
    <s v="A VISTA"/>
    <d v="2024-07-16T00:00:00"/>
    <n v="4460"/>
    <s v=""/>
    <s v=""/>
    <s v=""/>
    <s v=""/>
    <m/>
    <s v=""/>
  </r>
  <r>
    <s v="63193"/>
    <x v="14"/>
    <x v="18"/>
    <s v="86.789.012/0001-34"/>
    <x v="1"/>
    <s v="MATERIAL E"/>
    <n v="8583"/>
    <s v="1+3"/>
    <d v="2023-10-14T00:00:00"/>
    <n v="2145.75"/>
    <d v="2023-10-13T00:00:00"/>
    <n v="2145.75"/>
    <d v="2023-11-27T00:00:00"/>
    <n v="2145.75"/>
    <d v="2023-12-12T00:00:00"/>
    <n v="2145.75"/>
  </r>
  <r>
    <s v="3841113"/>
    <x v="15"/>
    <x v="19"/>
    <s v="97.890.123/0001-01"/>
    <x v="2"/>
    <s v="ENVIO INCORRETO"/>
    <n v="1637"/>
    <s v="A VISTA"/>
    <d v="2024-01-01T00:00:00"/>
    <n v="1637"/>
    <s v=""/>
    <s v=""/>
    <s v=""/>
    <s v=""/>
    <m/>
    <s v=""/>
  </r>
  <r>
    <s v="27119245"/>
    <x v="16"/>
    <x v="20"/>
    <s v="66.789.012/0001-34"/>
    <x v="0"/>
    <s v="Factoring Fee"/>
    <n v="9068"/>
    <s v="1+2"/>
    <d v="2023-09-01T00:00:00"/>
    <n v="3022.6666666666665"/>
    <d v="2023-09-30T00:00:00"/>
    <n v="3022.6666666666665"/>
    <d v="2023-10-15T00:00:00"/>
    <n v="3022.6666666666674"/>
    <m/>
    <s v=""/>
  </r>
  <r>
    <s v="4866227"/>
    <x v="17"/>
    <x v="21"/>
    <s v="30.123.456/0001-12"/>
    <x v="1"/>
    <s v="MATERIAL D"/>
    <n v="8111"/>
    <s v="A VISTA"/>
    <d v="2023-10-12T00:00:00"/>
    <n v="8111"/>
    <s v=""/>
    <s v=""/>
    <s v=""/>
    <s v=""/>
    <m/>
    <s v=""/>
  </r>
  <r>
    <s v="5212318"/>
    <x v="18"/>
    <x v="22"/>
    <s v="43.456.789/0001-23"/>
    <x v="0"/>
    <s v="Pagamentos ADMs"/>
    <n v="3919"/>
    <s v="1+2"/>
    <d v="2023-09-24T00:00:00"/>
    <n v="1306.3333333333333"/>
    <d v="2023-10-23T00:00:00"/>
    <n v="1306.3333333333333"/>
    <d v="2023-11-07T00:00:00"/>
    <n v="1306.3333333333337"/>
    <m/>
    <s v=""/>
  </r>
  <r>
    <s v="471166"/>
    <x v="15"/>
    <x v="4"/>
    <s v="97.890.123/0001-01"/>
    <x v="2"/>
    <s v="ENVIO INCORRETO"/>
    <n v="1358"/>
    <s v="A VISTA"/>
    <d v="2024-02-25T00:00:00"/>
    <n v="1358"/>
    <s v=""/>
    <s v=""/>
    <s v=""/>
    <s v=""/>
    <m/>
    <s v=""/>
  </r>
  <r>
    <s v="3122158"/>
    <x v="0"/>
    <x v="23"/>
    <s v="45.678.901/0001-67"/>
    <x v="0"/>
    <s v="Factoring Fee"/>
    <n v="2013"/>
    <s v="A VISTA"/>
    <d v="2023-11-05T00:00:00"/>
    <n v="2013"/>
    <s v=""/>
    <s v=""/>
    <s v=""/>
    <s v=""/>
    <m/>
    <s v=""/>
  </r>
  <r>
    <s v="6936233"/>
    <x v="19"/>
    <x v="24"/>
    <s v="85.678.901/0001-67"/>
    <x v="0"/>
    <s v="Pagamentos ADMs"/>
    <n v="9208"/>
    <s v="1+1"/>
    <d v="2024-01-08T00:00:00"/>
    <n v="4604"/>
    <d v="2024-02-06T00:00:00"/>
    <n v="4604"/>
    <s v=""/>
    <s v=""/>
    <m/>
    <s v=""/>
  </r>
  <r>
    <s v="6555138"/>
    <x v="20"/>
    <x v="25"/>
    <s v="20.123.456/0001-12"/>
    <x v="1"/>
    <s v="MATERIAL B"/>
    <n v="674"/>
    <s v="1+2"/>
    <d v="2023-08-24T00:00:00"/>
    <n v="224.66666666666666"/>
    <d v="2023-09-22T00:00:00"/>
    <n v="224.66666666666666"/>
    <d v="2023-10-07T00:00:00"/>
    <n v="224.66666666666671"/>
    <m/>
    <s v=""/>
  </r>
  <r>
    <s v="914118"/>
    <x v="16"/>
    <x v="26"/>
    <s v="66.789.012/0001-34"/>
    <x v="0"/>
    <s v="Factoring Fee"/>
    <n v="2715"/>
    <s v="1+2"/>
    <d v="2024-07-10T00:00:00"/>
    <n v="905"/>
    <d v="2024-08-08T00:00:00"/>
    <n v="905"/>
    <d v="2024-08-23T00:00:00"/>
    <n v="905"/>
    <m/>
    <s v=""/>
  </r>
  <r>
    <s v="6610263"/>
    <x v="7"/>
    <x v="27"/>
    <s v="67.890.123/0001-01"/>
    <x v="1"/>
    <s v="MATERIAL D"/>
    <n v="912"/>
    <s v="1+3"/>
    <d v="2024-01-30T00:00:00"/>
    <n v="228"/>
    <d v="2024-01-29T00:00:00"/>
    <n v="228"/>
    <d v="2024-03-14T00:00:00"/>
    <n v="228"/>
    <d v="2024-03-29T00:00:00"/>
    <n v="228"/>
  </r>
  <r>
    <s v="535828"/>
    <x v="4"/>
    <x v="28"/>
    <s v="89.012.345/0001-45"/>
    <x v="1"/>
    <s v="MATERIAL A"/>
    <n v="1239"/>
    <s v="1+3"/>
    <d v="2023-11-16T00:00:00"/>
    <n v="309.75"/>
    <d v="2023-11-15T00:00:00"/>
    <n v="309.75"/>
    <d v="2023-12-30T00:00:00"/>
    <n v="309.75"/>
    <d v="2024-01-14T00:00:00"/>
    <n v="309.75"/>
  </r>
  <r>
    <s v="422865"/>
    <x v="10"/>
    <x v="29"/>
    <s v="22.345.678/0001-56"/>
    <x v="0"/>
    <s v="Pagamentos ADMs"/>
    <n v="9295"/>
    <s v="A VISTA"/>
    <d v="2024-01-28T00:00:00"/>
    <n v="9295"/>
    <s v=""/>
    <s v=""/>
    <s v=""/>
    <s v=""/>
    <m/>
    <s v=""/>
  </r>
  <r>
    <s v="94130169"/>
    <x v="11"/>
    <x v="30"/>
    <s v="52.345.678/0001-56"/>
    <x v="1"/>
    <s v="MATERIAL A"/>
    <n v="3922"/>
    <s v="1+2"/>
    <d v="2023-10-11T00:00:00"/>
    <n v="1307.3333333333333"/>
    <d v="2023-11-09T00:00:00"/>
    <n v="1307.3333333333333"/>
    <d v="2023-11-24T00:00:00"/>
    <n v="1307.3333333333337"/>
    <m/>
    <s v=""/>
  </r>
  <r>
    <s v="2710416"/>
    <x v="21"/>
    <x v="31"/>
    <s v="75.678.901/0001-67"/>
    <x v="2"/>
    <s v="EXTRAVIADO"/>
    <n v="6216"/>
    <s v="A VISTA"/>
    <d v="2023-07-23T00:00:00"/>
    <n v="6216"/>
    <s v=""/>
    <s v=""/>
    <s v=""/>
    <s v=""/>
    <m/>
    <s v=""/>
  </r>
  <r>
    <s v="151262"/>
    <x v="13"/>
    <x v="32"/>
    <s v="10.123.456/0001-12"/>
    <x v="1"/>
    <s v="MATERIAL A"/>
    <n v="2210"/>
    <s v="1+1"/>
    <d v="2023-07-25T00:00:00"/>
    <n v="1105"/>
    <d v="2023-08-23T00:00:00"/>
    <n v="1105"/>
    <s v=""/>
    <s v=""/>
    <m/>
    <s v=""/>
  </r>
  <r>
    <s v="3710348"/>
    <x v="15"/>
    <x v="33"/>
    <s v="97.890.123/0001-01"/>
    <x v="2"/>
    <s v="ENVIO INCORRETO"/>
    <n v="9667"/>
    <s v="A VISTA"/>
    <d v="2024-03-07T00:00:00"/>
    <n v="9667"/>
    <s v=""/>
    <s v=""/>
    <s v=""/>
    <s v=""/>
    <m/>
    <s v=""/>
  </r>
  <r>
    <s v="171063"/>
    <x v="5"/>
    <x v="34"/>
    <s v="34.567.890/0001-90"/>
    <x v="2"/>
    <s v="ENVIO INCORRETO"/>
    <n v="8317"/>
    <s v="A VISTA"/>
    <d v="2024-04-10T00:00:00"/>
    <n v="8317"/>
    <s v=""/>
    <s v=""/>
    <s v=""/>
    <s v=""/>
    <m/>
    <s v=""/>
  </r>
  <r>
    <s v="95102140"/>
    <x v="22"/>
    <x v="35"/>
    <s v="55.678.901/0001-67"/>
    <x v="2"/>
    <s v="ENVIO INCORRETO"/>
    <n v="2499"/>
    <s v="A VISTA"/>
    <d v="2023-10-03T00:00:00"/>
    <n v="2499"/>
    <s v=""/>
    <s v=""/>
    <s v=""/>
    <s v=""/>
    <m/>
    <s v=""/>
  </r>
  <r>
    <s v="7121249"/>
    <x v="7"/>
    <x v="36"/>
    <s v="67.890.123/0001-01"/>
    <x v="1"/>
    <s v="MATERIAL D"/>
    <n v="2271"/>
    <s v="1+2"/>
    <d v="2023-11-26T00:00:00"/>
    <n v="757"/>
    <d v="2023-12-25T00:00:00"/>
    <n v="757"/>
    <d v="2024-01-09T00:00:00"/>
    <n v="757"/>
    <m/>
    <s v=""/>
  </r>
  <r>
    <s v="8276221"/>
    <x v="5"/>
    <x v="37"/>
    <s v="34.567.890/0001-90"/>
    <x v="2"/>
    <s v="ENVIO INCORRETO"/>
    <n v="3684"/>
    <s v="A VISTA"/>
    <d v="2024-08-06T00:00:00"/>
    <n v="3684"/>
    <s v=""/>
    <s v=""/>
    <s v=""/>
    <s v=""/>
    <m/>
    <s v=""/>
  </r>
  <r>
    <s v="8741236"/>
    <x v="23"/>
    <x v="38"/>
    <s v="77.890.123/0001-01"/>
    <x v="0"/>
    <s v="Impostos"/>
    <n v="5533"/>
    <s v="1+1"/>
    <d v="2023-10-18T00:00:00"/>
    <n v="2766.5"/>
    <d v="2023-11-16T00:00:00"/>
    <n v="2766.5"/>
    <s v=""/>
    <s v=""/>
    <m/>
    <s v=""/>
  </r>
  <r>
    <s v="10028157"/>
    <x v="24"/>
    <x v="39"/>
    <s v="11.234.567/0001-89"/>
    <x v="1"/>
    <s v="MATERIAL C"/>
    <n v="9498"/>
    <s v="1+2"/>
    <d v="2024-01-02T00:00:00"/>
    <n v="3166"/>
    <d v="2024-01-31T00:00:00"/>
    <n v="3166"/>
    <d v="2024-02-15T00:00:00"/>
    <n v="3166"/>
    <m/>
    <s v=""/>
  </r>
  <r>
    <s v="68123137"/>
    <x v="5"/>
    <x v="40"/>
    <s v="34.567.890/0001-90"/>
    <x v="2"/>
    <s v="ENVIO INCORRETO"/>
    <n v="4564"/>
    <s v="A VISTA"/>
    <d v="2023-08-13T00:00:00"/>
    <n v="4564"/>
    <s v=""/>
    <s v=""/>
    <s v=""/>
    <s v=""/>
    <m/>
    <s v=""/>
  </r>
  <r>
    <s v="152129"/>
    <x v="25"/>
    <x v="41"/>
    <s v="41.234.567/0001-89"/>
    <x v="1"/>
    <s v="MATERIAL B"/>
    <n v="5538"/>
    <s v="1+3"/>
    <d v="2024-07-21T00:00:00"/>
    <n v="1384.5"/>
    <d v="2024-07-20T00:00:00"/>
    <n v="1384.5"/>
    <d v="2024-09-03T00:00:00"/>
    <n v="1384.5"/>
    <d v="2024-09-18T00:00:00"/>
    <n v="1384.5"/>
  </r>
  <r>
    <s v="15114171"/>
    <x v="19"/>
    <x v="27"/>
    <s v="85.678.901/0001-67"/>
    <x v="0"/>
    <s v="Pagamentos ADMs"/>
    <n v="3074"/>
    <s v="A VISTA"/>
    <d v="2024-01-30T00:00:00"/>
    <n v="3074"/>
    <s v=""/>
    <s v=""/>
    <s v=""/>
    <s v=""/>
    <m/>
    <s v=""/>
  </r>
  <r>
    <s v="6544183"/>
    <x v="24"/>
    <x v="42"/>
    <s v="11.234.567/0001-89"/>
    <x v="1"/>
    <s v="MATERIAL C"/>
    <n v="1534"/>
    <s v="1+3"/>
    <d v="2024-08-24T00:00:00"/>
    <n v="383.5"/>
    <d v="2024-08-23T00:00:00"/>
    <n v="383.5"/>
    <d v="2024-10-07T00:00:00"/>
    <n v="383.5"/>
    <d v="2024-10-22T00:00:00"/>
    <n v="383.5"/>
  </r>
  <r>
    <s v="8679126"/>
    <x v="0"/>
    <x v="43"/>
    <s v="45.678.901/0001-67"/>
    <x v="0"/>
    <s v="Factoring Fee"/>
    <n v="7469"/>
    <s v="A VISTA"/>
    <d v="2023-09-10T00:00:00"/>
    <n v="7469"/>
    <s v=""/>
    <s v=""/>
    <s v=""/>
    <s v=""/>
    <m/>
    <s v=""/>
  </r>
  <r>
    <s v="1113916"/>
    <x v="26"/>
    <x v="44"/>
    <s v="78.901.234/0001-78"/>
    <x v="1"/>
    <s v="MATERIAL B"/>
    <n v="9947"/>
    <s v="1+2"/>
    <d v="2024-03-13T00:00:00"/>
    <n v="3315.6666666666665"/>
    <d v="2024-04-11T00:00:00"/>
    <n v="3315.6666666666665"/>
    <d v="2024-04-26T00:00:00"/>
    <n v="3315.6666666666674"/>
    <m/>
    <s v=""/>
  </r>
  <r>
    <s v="37122235"/>
    <x v="27"/>
    <x v="45"/>
    <s v="98.901.234/0001-78"/>
    <x v="0"/>
    <s v="Impostos"/>
    <n v="2814"/>
    <s v="A VISTA"/>
    <d v="2024-06-30T00:00:00"/>
    <n v="2814"/>
    <s v=""/>
    <s v=""/>
    <s v=""/>
    <s v=""/>
    <m/>
    <s v=""/>
  </r>
  <r>
    <s v="77644"/>
    <x v="22"/>
    <x v="46"/>
    <s v="55.678.901/0001-67"/>
    <x v="2"/>
    <s v="ENVIO INCORRETO"/>
    <n v="2049"/>
    <s v="A VISTA"/>
    <d v="2023-12-26T00:00:00"/>
    <n v="2049"/>
    <s v=""/>
    <s v=""/>
    <s v=""/>
    <s v=""/>
    <m/>
    <s v=""/>
  </r>
  <r>
    <s v="8217192"/>
    <x v="13"/>
    <x v="47"/>
    <s v="10.123.456/0001-12"/>
    <x v="1"/>
    <s v="MATERIAL A"/>
    <n v="4784"/>
    <s v="1+1"/>
    <d v="2024-01-03T00:00:00"/>
    <n v="2392"/>
    <d v="2024-02-01T00:00:00"/>
    <n v="2392"/>
    <s v=""/>
    <s v=""/>
    <m/>
    <s v=""/>
  </r>
  <r>
    <s v="117291"/>
    <x v="26"/>
    <x v="48"/>
    <s v="78.901.234/0001-78"/>
    <x v="1"/>
    <s v="MATERIAL B"/>
    <n v="3758"/>
    <s v="1+2"/>
    <d v="2023-06-13T00:00:00"/>
    <n v="1252.6666666666667"/>
    <d v="2023-07-12T00:00:00"/>
    <n v="1252.6666666666667"/>
    <d v="2023-07-27T00:00:00"/>
    <n v="1252.6666666666663"/>
    <m/>
    <s v=""/>
  </r>
  <r>
    <s v="52463"/>
    <x v="28"/>
    <x v="49"/>
    <s v="76.789.012/0001-34"/>
    <x v="2"/>
    <s v="ENVIO INCORRETO"/>
    <n v="3093"/>
    <s v="A VISTA"/>
    <d v="2023-11-11T00:00:00"/>
    <n v="3093"/>
    <s v=""/>
    <s v=""/>
    <s v=""/>
    <s v=""/>
    <m/>
    <s v=""/>
  </r>
  <r>
    <s v="123108"/>
    <x v="29"/>
    <x v="50"/>
    <s v="01.234.567/0001-89"/>
    <x v="0"/>
    <s v="Pagamentos ADMs"/>
    <n v="6874"/>
    <s v="1+2"/>
    <d v="2023-08-21T00:00:00"/>
    <n v="2291.3333333333335"/>
    <d v="2023-09-19T00:00:00"/>
    <n v="2291.3333333333335"/>
    <d v="2023-10-04T00:00:00"/>
    <n v="2291.3333333333326"/>
    <m/>
    <s v=""/>
  </r>
  <r>
    <s v="754310"/>
    <x v="17"/>
    <x v="51"/>
    <s v="30.123.456/0001-12"/>
    <x v="1"/>
    <s v="MATERIAL D"/>
    <n v="9167"/>
    <s v="1+1"/>
    <d v="2024-01-25T00:00:00"/>
    <n v="4583.5"/>
    <d v="2024-02-23T00:00:00"/>
    <n v="4583.5"/>
    <s v=""/>
    <s v=""/>
    <m/>
    <s v=""/>
  </r>
  <r>
    <s v="7791167"/>
    <x v="7"/>
    <x v="52"/>
    <s v="67.890.123/0001-01"/>
    <x v="1"/>
    <s v="MATERIAL D"/>
    <n v="9532"/>
    <s v="1+2"/>
    <d v="2023-12-25T00:00:00"/>
    <n v="3177.3333333333335"/>
    <d v="2024-01-23T00:00:00"/>
    <n v="3177.3333333333335"/>
    <d v="2024-02-07T00:00:00"/>
    <n v="3177.3333333333326"/>
    <m/>
    <s v=""/>
  </r>
  <r>
    <s v="607644"/>
    <x v="6"/>
    <x v="53"/>
    <s v="08.901.234/0001-78"/>
    <x v="0"/>
    <s v="Factoring Fee"/>
    <n v="4103"/>
    <s v="A VISTA"/>
    <d v="2024-05-30T00:00:00"/>
    <n v="4103"/>
    <s v=""/>
    <s v=""/>
    <s v=""/>
    <s v=""/>
    <m/>
    <s v=""/>
  </r>
  <r>
    <s v="79105139"/>
    <x v="30"/>
    <x v="54"/>
    <s v="33.456.789/0001-23"/>
    <x v="2"/>
    <s v="EXTRAVIADO"/>
    <n v="3979"/>
    <s v="A VISTA"/>
    <d v="2024-03-04T00:00:00"/>
    <n v="3979"/>
    <s v=""/>
    <s v=""/>
    <s v=""/>
    <s v=""/>
    <m/>
    <s v=""/>
  </r>
  <r>
    <s v="1839177"/>
    <x v="31"/>
    <x v="55"/>
    <s v="23.456.789/0001-23"/>
    <x v="1"/>
    <s v="MATERIAL E"/>
    <n v="3454"/>
    <s v="1+3"/>
    <d v="2024-01-16T00:00:00"/>
    <n v="863.5"/>
    <d v="2024-01-15T00:00:00"/>
    <n v="863.5"/>
    <d v="2024-02-29T00:00:00"/>
    <n v="863.5"/>
    <d v="2024-03-15T00:00:00"/>
    <n v="863.5"/>
  </r>
  <r>
    <s v="1591129"/>
    <x v="21"/>
    <x v="56"/>
    <s v="75.678.901/0001-67"/>
    <x v="2"/>
    <s v="EXTRAVIADO"/>
    <n v="1846"/>
    <s v="A VISTA"/>
    <d v="2023-12-18T00:00:00"/>
    <n v="1846"/>
    <s v=""/>
    <s v=""/>
    <s v=""/>
    <s v=""/>
    <m/>
    <s v=""/>
  </r>
  <r>
    <s v="4733141"/>
    <x v="2"/>
    <x v="57"/>
    <s v="99.012.345/0001-45"/>
    <x v="1"/>
    <s v="MATERIAL B"/>
    <n v="4464"/>
    <s v="A VISTA"/>
    <d v="2023-10-05T00:00:00"/>
    <n v="4464"/>
    <s v=""/>
    <s v=""/>
    <s v=""/>
    <s v=""/>
    <m/>
    <s v=""/>
  </r>
  <r>
    <s v="354578"/>
    <x v="32"/>
    <x v="58"/>
    <s v="87.890.123/0001-01"/>
    <x v="0"/>
    <s v="Factoring Fee"/>
    <n v="4026"/>
    <s v="1+2"/>
    <d v="2023-11-09T00:00:00"/>
    <n v="1342"/>
    <d v="2023-12-08T00:00:00"/>
    <n v="1342"/>
    <d v="2023-12-23T00:00:00"/>
    <n v="1342"/>
    <s v=""/>
    <s v=""/>
  </r>
  <r>
    <s v="60132167"/>
    <x v="25"/>
    <x v="59"/>
    <s v="41.234.567/0001-89"/>
    <x v="1"/>
    <s v="MATERIAL B"/>
    <n v="7675"/>
    <s v="1+2"/>
    <d v="2023-08-06T00:00:00"/>
    <n v="2558.3333333333335"/>
    <d v="2023-09-04T00:00:00"/>
    <n v="2558.3333333333335"/>
    <d v="2023-09-19T00:00:00"/>
    <n v="2558.3333333333326"/>
    <s v=""/>
    <s v=""/>
  </r>
  <r>
    <s v="9111424"/>
    <x v="20"/>
    <x v="60"/>
    <s v="20.123.456/0001-12"/>
    <x v="1"/>
    <s v="MATERIAL B"/>
    <n v="1083"/>
    <s v="1+1"/>
    <d v="2023-07-17T00:00:00"/>
    <n v="541.5"/>
    <d v="2023-08-15T00:00:00"/>
    <n v="541.5"/>
    <s v=""/>
    <s v=""/>
    <m/>
    <s v=""/>
  </r>
  <r>
    <s v="8510552"/>
    <x v="33"/>
    <x v="61"/>
    <s v="42.345.678/0001-56"/>
    <x v="0"/>
    <s v="Consultoria"/>
    <n v="937"/>
    <s v="1+1"/>
    <d v="2023-10-10T00:00:00"/>
    <n v="468.5"/>
    <d v="2023-11-08T00:00:00"/>
    <n v="468.5"/>
    <s v=""/>
    <s v=""/>
    <m/>
    <s v=""/>
  </r>
  <r>
    <s v="7346196"/>
    <x v="11"/>
    <x v="62"/>
    <s v="52.345.678/0001-56"/>
    <x v="1"/>
    <s v="MATERIAL A"/>
    <n v="5152"/>
    <s v="1+1"/>
    <d v="2024-04-04T00:00:00"/>
    <n v="2576"/>
    <d v="2024-05-03T00:00:00"/>
    <n v="2576"/>
    <s v=""/>
    <s v=""/>
    <m/>
    <s v=""/>
  </r>
  <r>
    <s v="4068245"/>
    <x v="17"/>
    <x v="63"/>
    <s v="30.123.456/0001-12"/>
    <x v="1"/>
    <s v="MATERIAL D"/>
    <n v="1653"/>
    <s v="1+3"/>
    <d v="2023-09-26T00:00:00"/>
    <n v="413.25"/>
    <d v="2023-09-25T00:00:00"/>
    <n v="413.25"/>
    <d v="2023-11-09T00:00:00"/>
    <n v="413.25"/>
    <d v="2023-11-24T00:00:00"/>
    <n v="413.25"/>
  </r>
  <r>
    <s v="322103"/>
    <x v="9"/>
    <x v="64"/>
    <s v="53.456.789/0001-23"/>
    <x v="1"/>
    <s v="MATERIAL C"/>
    <n v="1492"/>
    <s v="1+3"/>
    <d v="2024-07-29T00:00:00"/>
    <n v="373"/>
    <d v="2024-07-28T00:00:00"/>
    <n v="373"/>
    <d v="2024-09-11T00:00:00"/>
    <n v="373"/>
    <d v="2024-09-26T00:00:00"/>
    <n v="373"/>
  </r>
  <r>
    <s v="4512027"/>
    <x v="34"/>
    <x v="65"/>
    <s v="21.234.567/0001-89"/>
    <x v="0"/>
    <s v="Consultoria"/>
    <n v="1271"/>
    <s v="1+3"/>
    <d v="2023-05-08T00:00:00"/>
    <n v="317.75"/>
    <d v="2023-05-07T00:00:00"/>
    <n v="317.75"/>
    <d v="2023-06-21T00:00:00"/>
    <n v="317.75"/>
    <d v="2023-07-06T00:00:00"/>
    <n v="317.75"/>
  </r>
  <r>
    <s v="2497189"/>
    <x v="35"/>
    <x v="66"/>
    <s v="29.012.345/0001-45"/>
    <x v="1"/>
    <s v="MATERIAL B"/>
    <n v="4805"/>
    <s v="1+2"/>
    <d v="2024-09-13T00:00:00"/>
    <n v="1601.6666666666667"/>
    <d v="2024-10-12T00:00:00"/>
    <n v="1601.6666666666667"/>
    <d v="2024-10-27T00:00:00"/>
    <n v="1601.6666666666663"/>
    <s v=""/>
    <s v=""/>
  </r>
  <r>
    <s v="939197"/>
    <x v="36"/>
    <x v="67"/>
    <s v="96.789.012/0001-34"/>
    <x v="2"/>
    <s v="EXTRAVIADO"/>
    <n v="7493"/>
    <s v="A VISTA"/>
    <d v="2023-10-26T00:00:00"/>
    <n v="7493"/>
    <s v=""/>
    <s v=""/>
    <s v=""/>
    <s v=""/>
    <m/>
    <s v=""/>
  </r>
  <r>
    <s v="8911711"/>
    <x v="24"/>
    <x v="68"/>
    <s v="11.234.567/0001-89"/>
    <x v="1"/>
    <s v="MATERIAL C"/>
    <n v="7961"/>
    <s v="1+3"/>
    <d v="2024-02-04T00:00:00"/>
    <n v="1990.25"/>
    <d v="2024-02-03T00:00:00"/>
    <n v="1990.25"/>
    <d v="2024-03-19T00:00:00"/>
    <n v="1990.25"/>
    <d v="2024-04-03T00:00:00"/>
    <n v="1990.25"/>
  </r>
  <r>
    <s v="313851"/>
    <x v="23"/>
    <x v="69"/>
    <s v="77.890.123/0001-01"/>
    <x v="0"/>
    <s v="Impostos"/>
    <n v="7983"/>
    <s v="1+3"/>
    <d v="2023-10-04T00:00:00"/>
    <n v="1995.75"/>
    <d v="2023-10-03T00:00:00"/>
    <n v="1995.75"/>
    <d v="2023-11-17T00:00:00"/>
    <n v="1995.75"/>
    <d v="2023-12-02T00:00:00"/>
    <n v="1995.75"/>
  </r>
  <r>
    <s v="497243"/>
    <x v="37"/>
    <x v="70"/>
    <s v="65.678.901/0001-67"/>
    <x v="1"/>
    <s v="MATERIAL E"/>
    <n v="1465"/>
    <s v="A VISTA"/>
    <d v="2024-01-04T00:00:00"/>
    <n v="1465"/>
    <s v=""/>
    <s v=""/>
    <s v=""/>
    <s v=""/>
    <m/>
    <s v=""/>
  </r>
  <r>
    <s v="532165"/>
    <x v="38"/>
    <x v="71"/>
    <s v="63.456.789/0001-23"/>
    <x v="0"/>
    <s v="Consultoria"/>
    <n v="8254"/>
    <s v="1+3"/>
    <d v="2024-05-04T00:00:00"/>
    <n v="2063.5"/>
    <d v="2024-05-03T00:00:00"/>
    <n v="2063.5"/>
    <d v="2024-06-17T00:00:00"/>
    <n v="2063.5"/>
    <d v="2024-07-02T00:00:00"/>
    <n v="2063.5"/>
  </r>
  <r>
    <s v="1759131"/>
    <x v="11"/>
    <x v="72"/>
    <s v="52.345.678/0001-56"/>
    <x v="1"/>
    <s v="MATERIAL A"/>
    <n v="1081"/>
    <s v="1+2"/>
    <d v="2023-12-13T00:00:00"/>
    <n v="360.33333333333331"/>
    <d v="2024-01-11T00:00:00"/>
    <n v="360.33333333333331"/>
    <d v="2024-01-26T00:00:00"/>
    <n v="360.33333333333343"/>
    <s v=""/>
    <s v=""/>
  </r>
  <r>
    <s v="35111149"/>
    <x v="32"/>
    <x v="73"/>
    <s v="87.890.123/0001-01"/>
    <x v="0"/>
    <s v="Factoring Fee"/>
    <n v="458"/>
    <s v="1+1"/>
    <d v="2023-10-01T00:00:00"/>
    <n v="229"/>
    <d v="2023-10-30T00:00:00"/>
    <n v="229"/>
    <s v=""/>
    <s v=""/>
    <m/>
    <s v=""/>
  </r>
  <r>
    <s v="2028238"/>
    <x v="22"/>
    <x v="74"/>
    <s v="55.678.901/0001-67"/>
    <x v="2"/>
    <s v="ENVIO INCORRETO"/>
    <n v="1482"/>
    <s v="A VISTA"/>
    <d v="2023-08-30T00:00:00"/>
    <n v="1482"/>
    <s v=""/>
    <s v=""/>
    <s v=""/>
    <s v=""/>
    <m/>
    <s v=""/>
  </r>
  <r>
    <s v="8746206"/>
    <x v="36"/>
    <x v="75"/>
    <s v="96.789.012/0001-34"/>
    <x v="2"/>
    <s v="EXTRAVIADO"/>
    <n v="2313"/>
    <s v="A VISTA"/>
    <d v="2024-07-26T00:00:00"/>
    <n v="2313"/>
    <s v=""/>
    <s v=""/>
    <s v=""/>
    <s v=""/>
    <m/>
    <s v=""/>
  </r>
  <r>
    <s v="201011"/>
    <x v="15"/>
    <x v="76"/>
    <s v="97.890.123/0001-01"/>
    <x v="2"/>
    <s v="ENVIO INCORRETO"/>
    <n v="997"/>
    <s v="A VISTA"/>
    <d v="2023-12-03T00:00:00"/>
    <n v="997"/>
    <s v=""/>
    <s v=""/>
    <s v=""/>
    <s v=""/>
    <m/>
    <s v=""/>
  </r>
  <r>
    <s v="74104229"/>
    <x v="28"/>
    <x v="77"/>
    <s v="76.789.012/0001-34"/>
    <x v="2"/>
    <s v="ENVIO INCORRETO"/>
    <n v="6409"/>
    <s v="A VISTA"/>
    <d v="2024-06-19T00:00:00"/>
    <n v="6409"/>
    <s v=""/>
    <s v=""/>
    <s v=""/>
    <s v=""/>
    <m/>
    <s v=""/>
  </r>
  <r>
    <s v="39146219"/>
    <x v="30"/>
    <x v="78"/>
    <s v="33.456.789/0001-23"/>
    <x v="2"/>
    <s v="EXTRAVIADO"/>
    <n v="9435"/>
    <s v="A VISTA"/>
    <d v="2023-09-19T00:00:00"/>
    <n v="9435"/>
    <s v=""/>
    <s v=""/>
    <s v=""/>
    <s v=""/>
    <m/>
    <s v=""/>
  </r>
  <r>
    <s v="2186128"/>
    <x v="29"/>
    <x v="79"/>
    <s v="01.234.567/0001-89"/>
    <x v="0"/>
    <s v="Pagamentos ADMs"/>
    <n v="9657"/>
    <s v="1+2"/>
    <d v="2023-09-04T00:00:00"/>
    <n v="3219"/>
    <d v="2023-10-03T00:00:00"/>
    <n v="3219"/>
    <d v="2023-10-18T00:00:00"/>
    <n v="3219"/>
    <m/>
    <s v=""/>
  </r>
  <r>
    <s v="468060"/>
    <x v="19"/>
    <x v="80"/>
    <s v="85.678.901/0001-67"/>
    <x v="0"/>
    <s v="Pagamentos ADMs"/>
    <n v="2139"/>
    <s v="1+1"/>
    <d v="2024-06-01T00:00:00"/>
    <n v="1069.5"/>
    <d v="2024-06-30T00:00:00"/>
    <n v="1069.5"/>
    <s v=""/>
    <s v=""/>
    <m/>
    <s v=""/>
  </r>
  <r>
    <s v="1910926"/>
    <x v="31"/>
    <x v="81"/>
    <s v="23.456.789/0001-23"/>
    <x v="1"/>
    <s v="MATERIAL E"/>
    <n v="5262"/>
    <s v="A VISTA"/>
    <d v="2023-11-24T00:00:00"/>
    <n v="5262"/>
    <s v=""/>
    <s v=""/>
    <s v=""/>
    <s v=""/>
    <m/>
    <s v=""/>
  </r>
  <r>
    <s v="1959104"/>
    <x v="7"/>
    <x v="82"/>
    <s v="67.890.123/0001-01"/>
    <x v="1"/>
    <s v="MATERIAL D"/>
    <n v="7294"/>
    <s v="1+1"/>
    <d v="2023-12-14T00:00:00"/>
    <n v="3647"/>
    <d v="2024-01-12T00:00:00"/>
    <n v="3647"/>
    <s v=""/>
    <s v=""/>
    <m/>
    <s v=""/>
  </r>
  <r>
    <s v="3877150"/>
    <x v="33"/>
    <x v="83"/>
    <s v="42.345.678/0001-56"/>
    <x v="0"/>
    <s v="Consultoria"/>
    <n v="8906"/>
    <s v="1+1"/>
    <d v="2024-05-31T00:00:00"/>
    <n v="4453"/>
    <d v="2024-06-29T00:00:00"/>
    <n v="4453"/>
    <s v=""/>
    <s v=""/>
    <m/>
    <s v=""/>
  </r>
  <r>
    <s v="6641123"/>
    <x v="27"/>
    <x v="84"/>
    <s v="98.901.234/0001-78"/>
    <x v="0"/>
    <s v="Impostos"/>
    <n v="3965"/>
    <s v="1+3"/>
    <d v="2024-04-16T00:00:00"/>
    <n v="991.25"/>
    <d v="2024-04-15T00:00:00"/>
    <n v="991.25"/>
    <d v="2024-05-30T00:00:00"/>
    <n v="991.25"/>
    <d v="2024-06-14T00:00:00"/>
    <n v="991.25"/>
  </r>
  <r>
    <s v="315539"/>
    <x v="36"/>
    <x v="85"/>
    <s v="96.789.012/0001-34"/>
    <x v="2"/>
    <s v="EXTRAVIADO"/>
    <n v="7082"/>
    <s v="A VISTA"/>
    <d v="2024-01-19T00:00:00"/>
    <n v="7082"/>
    <s v=""/>
    <s v=""/>
    <s v=""/>
    <s v=""/>
    <s v=""/>
    <s v=""/>
  </r>
  <r>
    <s v="9131147"/>
    <x v="36"/>
    <x v="34"/>
    <s v="96.789.012/0001-34"/>
    <x v="2"/>
    <s v="EXTRAVIADO"/>
    <n v="2490"/>
    <s v="A VISTA"/>
    <d v="2024-04-10T00:00:00"/>
    <n v="2490"/>
    <s v=""/>
    <s v=""/>
    <s v=""/>
    <s v=""/>
    <s v=""/>
    <s v=""/>
  </r>
  <r>
    <s v="7434236"/>
    <x v="28"/>
    <x v="86"/>
    <s v="76.789.012/0001-34"/>
    <x v="2"/>
    <s v="ENVIO INCORRETO"/>
    <n v="7198"/>
    <s v="A VISTA"/>
    <d v="2024-05-24T00:00:00"/>
    <n v="7198"/>
    <s v=""/>
    <s v=""/>
    <s v=""/>
    <s v=""/>
    <s v=""/>
    <s v=""/>
  </r>
  <r>
    <s v="3842155"/>
    <x v="29"/>
    <x v="87"/>
    <s v="01.234.567/0001-89"/>
    <x v="0"/>
    <s v="Pagamentos ADMs"/>
    <n v="9350"/>
    <s v="1+3"/>
    <d v="2023-10-09T00:00:00"/>
    <n v="2337.5"/>
    <d v="2023-10-08T00:00:00"/>
    <n v="2337.5"/>
    <d v="2023-11-22T00:00:00"/>
    <n v="2337.5"/>
    <d v="2023-12-07T00:00:00"/>
    <n v="2337.5"/>
  </r>
  <r>
    <s v="33136192"/>
    <x v="26"/>
    <x v="22"/>
    <s v="78.901.234/0001-78"/>
    <x v="1"/>
    <s v="MATERIAL B"/>
    <n v="7961"/>
    <s v="1+2"/>
    <d v="2023-09-24T00:00:00"/>
    <n v="2653.6666666666665"/>
    <d v="2023-10-23T00:00:00"/>
    <n v="2653.6666666666665"/>
    <d v="2023-11-07T00:00:00"/>
    <n v="2653.6666666666674"/>
    <s v=""/>
    <s v=""/>
  </r>
  <r>
    <s v="1310947"/>
    <x v="32"/>
    <x v="88"/>
    <s v="87.890.123/0001-01"/>
    <x v="0"/>
    <s v="Factoring Fee"/>
    <n v="2627"/>
    <s v="A VISTA"/>
    <d v="2023-10-15T00:00:00"/>
    <n v="2627"/>
    <s v=""/>
    <s v=""/>
    <s v=""/>
    <s v=""/>
    <s v=""/>
    <s v=""/>
  </r>
  <r>
    <s v="6436221"/>
    <x v="5"/>
    <x v="89"/>
    <s v="34.567.890/0001-90"/>
    <x v="2"/>
    <s v="ENVIO INCORRETO"/>
    <n v="7220"/>
    <s v="A VISTA"/>
    <d v="2023-08-16T00:00:00"/>
    <n v="7220"/>
    <s v=""/>
    <s v=""/>
    <s v=""/>
    <s v=""/>
    <s v=""/>
    <s v=""/>
  </r>
  <r>
    <s v="8517139"/>
    <x v="16"/>
    <x v="90"/>
    <s v="66.789.012/0001-34"/>
    <x v="0"/>
    <s v="Factoring Fee"/>
    <n v="9017"/>
    <s v="1+1"/>
    <d v="2023-10-06T00:00:00"/>
    <n v="4508.5"/>
    <d v="2023-11-04T00:00:00"/>
    <n v="4508.5"/>
    <s v=""/>
    <s v=""/>
    <s v=""/>
    <s v=""/>
  </r>
  <r>
    <s v="6977148"/>
    <x v="18"/>
    <x v="91"/>
    <s v="43.456.789/0001-23"/>
    <x v="0"/>
    <s v="Pagamentos ADMs"/>
    <n v="1543"/>
    <s v="1+3"/>
    <d v="2024-01-29T00:00:00"/>
    <n v="385.75"/>
    <d v="2024-01-28T00:00:00"/>
    <n v="385.75"/>
    <d v="2024-03-13T00:00:00"/>
    <n v="385.75"/>
    <d v="2024-03-28T00:00:00"/>
    <n v="385.75"/>
  </r>
  <r>
    <s v="8559110"/>
    <x v="26"/>
    <x v="92"/>
    <s v="78.901.234/0001-78"/>
    <x v="1"/>
    <s v="MATERIAL B"/>
    <n v="6512"/>
    <s v="A VISTA"/>
    <d v="2023-07-09T00:00:00"/>
    <n v="6512"/>
    <s v=""/>
    <s v=""/>
    <s v=""/>
    <s v=""/>
    <s v=""/>
    <s v=""/>
  </r>
  <r>
    <s v="83149247"/>
    <x v="7"/>
    <x v="93"/>
    <s v="67.890.123/0001-01"/>
    <x v="1"/>
    <s v="MATERIAL D"/>
    <n v="6491"/>
    <s v="1+2"/>
    <d v="2023-12-17T00:00:00"/>
    <n v="2163.6666666666665"/>
    <d v="2024-01-15T00:00:00"/>
    <n v="2163.6666666666665"/>
    <d v="2024-01-30T00:00:00"/>
    <n v="2163.6666666666674"/>
    <s v=""/>
    <s v=""/>
  </r>
  <r>
    <s v="95138144"/>
    <x v="39"/>
    <x v="94"/>
    <s v="90.123.456/0001-12"/>
    <x v="0"/>
    <s v="Consultoria"/>
    <n v="9466"/>
    <s v="1+2"/>
    <d v="2023-05-18T00:00:00"/>
    <n v="3155.3333333333335"/>
    <d v="2023-06-16T00:00:00"/>
    <n v="3155.3333333333335"/>
    <d v="2023-07-01T00:00:00"/>
    <n v="3155.3333333333326"/>
    <s v=""/>
    <s v=""/>
  </r>
  <r>
    <s v="9092126"/>
    <x v="15"/>
    <x v="95"/>
    <s v="97.890.123/0001-01"/>
    <x v="2"/>
    <s v="ENVIO INCORRETO"/>
    <n v="8631"/>
    <s v="A VISTA"/>
    <d v="2024-05-18T00:00:00"/>
    <n v="8631"/>
    <s v=""/>
    <s v=""/>
    <s v=""/>
    <s v=""/>
    <s v=""/>
    <s v=""/>
  </r>
  <r>
    <s v="6849113"/>
    <x v="23"/>
    <x v="25"/>
    <s v="77.890.123/0001-01"/>
    <x v="0"/>
    <s v="Impostos"/>
    <n v="2326"/>
    <s v="1+1"/>
    <d v="2023-08-24T00:00:00"/>
    <n v="1163"/>
    <d v="2023-09-22T00:00:00"/>
    <n v="1163"/>
    <s v=""/>
    <s v=""/>
    <s v=""/>
    <s v=""/>
  </r>
  <r>
    <s v="16489"/>
    <x v="33"/>
    <x v="96"/>
    <s v="42.345.678/0001-56"/>
    <x v="0"/>
    <s v="Consultoria"/>
    <n v="1400"/>
    <s v="1+3"/>
    <d v="2024-05-16T00:00:00"/>
    <n v="350"/>
    <d v="2024-05-15T00:00:00"/>
    <n v="350"/>
    <d v="2024-06-29T00:00:00"/>
    <n v="350"/>
    <d v="2024-07-14T00:00:00"/>
    <n v="350"/>
  </r>
  <r>
    <s v="8213553"/>
    <x v="40"/>
    <x v="97"/>
    <s v="12.345.678/0001-56"/>
    <x v="2"/>
    <s v="EXTRAVIADO"/>
    <n v="4303"/>
    <s v="A VISTA"/>
    <d v="2024-07-05T00:00:00"/>
    <n v="4303"/>
    <s v=""/>
    <s v=""/>
    <s v=""/>
    <s v=""/>
    <s v=""/>
    <s v=""/>
  </r>
  <r>
    <s v="67538"/>
    <x v="41"/>
    <x v="90"/>
    <s v="18.901.234/0001-78"/>
    <x v="1"/>
    <s v="MATERIAL D"/>
    <n v="2355"/>
    <s v="A VISTA"/>
    <d v="2023-10-06T00:00:00"/>
    <n v="2355"/>
    <s v=""/>
    <s v=""/>
    <s v=""/>
    <s v=""/>
    <s v=""/>
    <s v=""/>
  </r>
  <r>
    <s v="1918114"/>
    <x v="15"/>
    <x v="36"/>
    <s v="97.890.123/0001-01"/>
    <x v="2"/>
    <s v="ENVIO INCORRETO"/>
    <n v="701"/>
    <s v="A VISTA"/>
    <d v="2023-11-26T00:00:00"/>
    <n v="701"/>
    <s v=""/>
    <s v=""/>
    <s v=""/>
    <s v=""/>
    <s v=""/>
    <s v=""/>
  </r>
  <r>
    <s v="7697221"/>
    <x v="34"/>
    <x v="89"/>
    <s v="21.234.567/0001-89"/>
    <x v="0"/>
    <s v="Consultoria"/>
    <n v="950"/>
    <s v="1+1"/>
    <d v="2023-08-16T00:00:00"/>
    <n v="475"/>
    <d v="2023-09-14T00:00:00"/>
    <n v="475"/>
    <s v=""/>
    <s v=""/>
    <s v=""/>
    <s v=""/>
  </r>
  <r>
    <s v="1179228"/>
    <x v="38"/>
    <x v="98"/>
    <s v="63.456.789/0001-23"/>
    <x v="0"/>
    <s v="Consultoria"/>
    <n v="2406"/>
    <s v="A VISTA"/>
    <d v="2024-01-12T00:00:00"/>
    <n v="2406"/>
    <s v=""/>
    <s v=""/>
    <s v=""/>
    <s v=""/>
    <s v=""/>
    <s v=""/>
  </r>
  <r>
    <s v="286133"/>
    <x v="2"/>
    <x v="16"/>
    <s v="99.012.345/0001-45"/>
    <x v="1"/>
    <s v="MATERIAL B"/>
    <n v="5721"/>
    <s v="1+3"/>
    <d v="2023-12-09T00:00:00"/>
    <n v="1430.25"/>
    <d v="2023-12-08T00:00:00"/>
    <n v="1430.25"/>
    <d v="2024-01-22T00:00:00"/>
    <n v="1430.25"/>
    <d v="2024-02-06T00:00:00"/>
    <n v="1430.25"/>
  </r>
  <r>
    <s v="8652244"/>
    <x v="42"/>
    <x v="99"/>
    <s v="31.234.567/0001-89"/>
    <x v="1"/>
    <s v="MATERIAL A"/>
    <n v="9351"/>
    <s v="1+2"/>
    <d v="2023-12-11T00:00:00"/>
    <n v="3117"/>
    <d v="2024-01-09T00:00:00"/>
    <n v="3117"/>
    <d v="2024-01-24T00:00:00"/>
    <n v="3117"/>
    <s v=""/>
    <s v=""/>
  </r>
  <r>
    <s v="5781198"/>
    <x v="37"/>
    <x v="100"/>
    <s v="65.678.901/0001-67"/>
    <x v="1"/>
    <s v="MATERIAL E"/>
    <n v="8439"/>
    <s v="1+2"/>
    <d v="2024-04-12T00:00:00"/>
    <n v="2813"/>
    <d v="2024-05-11T00:00:00"/>
    <n v="2813"/>
    <d v="2024-05-26T00:00:00"/>
    <n v="2813"/>
    <s v=""/>
    <s v=""/>
  </r>
  <r>
    <s v="645775"/>
    <x v="3"/>
    <x v="101"/>
    <s v="88.901.234/0001-78"/>
    <x v="1"/>
    <s v="MATERIAL D"/>
    <n v="7019"/>
    <s v="1+2"/>
    <d v="2023-04-23T00:00:00"/>
    <n v="2339.6666666666665"/>
    <d v="2023-05-22T00:00:00"/>
    <n v="2339.6666666666665"/>
    <d v="2023-06-06T00:00:00"/>
    <n v="2339.6666666666674"/>
    <s v=""/>
    <s v=""/>
  </r>
  <r>
    <s v="7842125"/>
    <x v="20"/>
    <x v="102"/>
    <s v="20.123.456/0001-12"/>
    <x v="1"/>
    <s v="MATERIAL B"/>
    <n v="8047"/>
    <s v="1+3"/>
    <d v="2023-08-18T00:00:00"/>
    <n v="2011.75"/>
    <d v="2023-08-17T00:00:00"/>
    <n v="2011.75"/>
    <d v="2023-10-01T00:00:00"/>
    <n v="2011.75"/>
    <d v="2023-10-16T00:00:00"/>
    <n v="2011.75"/>
  </r>
  <r>
    <s v="2519139"/>
    <x v="43"/>
    <x v="103"/>
    <s v="64.567.890/0001-90"/>
    <x v="0"/>
    <s v="Pagamentos ADMs"/>
    <n v="9568"/>
    <s v="1+2"/>
    <d v="2023-09-05T00:00:00"/>
    <n v="3189.3333333333335"/>
    <d v="2023-10-04T00:00:00"/>
    <n v="3189.3333333333335"/>
    <d v="2023-10-19T00:00:00"/>
    <n v="3189.3333333333326"/>
    <s v=""/>
    <s v=""/>
  </r>
  <r>
    <s v="2913460"/>
    <x v="10"/>
    <x v="21"/>
    <s v="22.345.678/0001-56"/>
    <x v="0"/>
    <s v="Pagamentos ADMs"/>
    <n v="4355"/>
    <s v="1+2"/>
    <d v="2023-10-12T00:00:00"/>
    <n v="1451.6666666666667"/>
    <d v="2023-11-10T00:00:00"/>
    <n v="1451.6666666666667"/>
    <d v="2023-11-25T00:00:00"/>
    <n v="1451.6666666666663"/>
    <s v=""/>
    <s v=""/>
  </r>
  <r>
    <s v="186221"/>
    <x v="25"/>
    <x v="58"/>
    <s v="41.234.567/0001-89"/>
    <x v="1"/>
    <s v="MATERIAL B"/>
    <n v="9168"/>
    <s v="1+2"/>
    <d v="2023-11-09T00:00:00"/>
    <n v="3056"/>
    <d v="2023-12-08T00:00:00"/>
    <n v="3056"/>
    <d v="2023-12-23T00:00:00"/>
    <n v="3056"/>
    <s v=""/>
    <s v=""/>
  </r>
  <r>
    <s v="9114220"/>
    <x v="11"/>
    <x v="0"/>
    <s v="52.345.678/0001-56"/>
    <x v="1"/>
    <s v="MATERIAL A"/>
    <n v="1151"/>
    <s v="1+1"/>
    <d v="2024-05-10T00:00:00"/>
    <n v="575.5"/>
    <d v="2024-06-08T00:00:00"/>
    <n v="575.5"/>
    <s v=""/>
    <s v=""/>
    <s v=""/>
    <s v=""/>
  </r>
  <r>
    <s v="7946185"/>
    <x v="21"/>
    <x v="104"/>
    <s v="75.678.901/0001-67"/>
    <x v="2"/>
    <s v="EXTRAVIADO"/>
    <n v="9981"/>
    <s v="A VISTA"/>
    <d v="2024-09-02T00:00:00"/>
    <n v="9981"/>
    <s v=""/>
    <s v=""/>
    <s v=""/>
    <s v=""/>
    <s v=""/>
    <s v=""/>
  </r>
  <r>
    <s v="644186"/>
    <x v="26"/>
    <x v="59"/>
    <s v="78.901.234/0001-78"/>
    <x v="1"/>
    <s v="MATERIAL B"/>
    <n v="6993"/>
    <s v="1+3"/>
    <d v="2023-08-06T00:00:00"/>
    <n v="1748.25"/>
    <d v="2023-08-05T00:00:00"/>
    <n v="1748.25"/>
    <d v="2023-09-19T00:00:00"/>
    <n v="1748.25"/>
    <d v="2023-10-04T00:00:00"/>
    <n v="1748.25"/>
  </r>
  <r>
    <s v="185791"/>
    <x v="13"/>
    <x v="105"/>
    <s v="10.123.456/0001-12"/>
    <x v="1"/>
    <s v="MATERIAL A"/>
    <n v="9724"/>
    <s v="1+3"/>
    <d v="2024-01-24T00:00:00"/>
    <n v="2431"/>
    <d v="2024-01-23T00:00:00"/>
    <n v="2431"/>
    <d v="2024-03-08T00:00:00"/>
    <n v="2431"/>
    <d v="2024-03-23T00:00:00"/>
    <n v="2431"/>
  </r>
  <r>
    <s v="32283"/>
    <x v="13"/>
    <x v="106"/>
    <s v="10.123.456/0001-12"/>
    <x v="1"/>
    <s v="MATERIAL A"/>
    <n v="9125"/>
    <s v="1+1"/>
    <d v="2024-02-21T00:00:00"/>
    <n v="4562.5"/>
    <d v="2024-03-21T00:00:00"/>
    <n v="4562.5"/>
    <s v=""/>
    <s v=""/>
    <s v=""/>
    <s v=""/>
  </r>
  <r>
    <s v="171413"/>
    <x v="37"/>
    <x v="107"/>
    <s v="65.678.901/0001-67"/>
    <x v="1"/>
    <s v="MATERIAL E"/>
    <n v="4627"/>
    <s v="1+1"/>
    <d v="2024-02-07T00:00:00"/>
    <n v="2313.5"/>
    <d v="2024-03-07T00:00:00"/>
    <n v="2313.5"/>
    <s v=""/>
    <s v=""/>
    <s v=""/>
    <s v=""/>
  </r>
  <r>
    <s v="9488162"/>
    <x v="44"/>
    <x v="108"/>
    <s v="74.567.890/0001-90"/>
    <x v="1"/>
    <s v="MATERIAL C"/>
    <n v="7757"/>
    <s v="1+2"/>
    <d v="2023-08-07T00:00:00"/>
    <n v="2585.6666666666665"/>
    <d v="2023-09-05T00:00:00"/>
    <n v="2585.6666666666665"/>
    <d v="2023-09-20T00:00:00"/>
    <n v="2585.6666666666674"/>
    <s v=""/>
    <s v=""/>
  </r>
  <r>
    <s v="43112157"/>
    <x v="3"/>
    <x v="109"/>
    <s v="88.901.234/0001-78"/>
    <x v="1"/>
    <s v="MATERIAL D"/>
    <n v="8321"/>
    <s v="A VISTA"/>
    <d v="2023-11-17T00:00:00"/>
    <n v="8321"/>
    <s v=""/>
    <s v=""/>
    <s v=""/>
    <s v=""/>
    <s v=""/>
    <s v=""/>
  </r>
  <r>
    <s v="5034129"/>
    <x v="15"/>
    <x v="57"/>
    <s v="97.890.123/0001-01"/>
    <x v="2"/>
    <s v="ENVIO INCORRETO"/>
    <n v="6861"/>
    <s v="A VISTA"/>
    <d v="2023-10-05T00:00:00"/>
    <n v="6861"/>
    <s v=""/>
    <s v=""/>
    <s v=""/>
    <s v=""/>
    <s v=""/>
    <s v=""/>
  </r>
  <r>
    <s v="1121121"/>
    <x v="20"/>
    <x v="110"/>
    <s v="20.123.456/0001-12"/>
    <x v="1"/>
    <s v="MATERIAL B"/>
    <n v="1217"/>
    <s v="1+1"/>
    <d v="2024-03-08T00:00:00"/>
    <n v="608.5"/>
    <d v="2024-04-06T00:00:00"/>
    <n v="608.5"/>
    <s v=""/>
    <s v=""/>
    <s v=""/>
    <s v=""/>
  </r>
  <r>
    <s v="8147182"/>
    <x v="28"/>
    <x v="111"/>
    <s v="76.789.012/0001-34"/>
    <x v="2"/>
    <s v="ENVIO INCORRETO"/>
    <n v="8766"/>
    <s v="A VISTA"/>
    <d v="2024-08-18T00:00:00"/>
    <n v="8766"/>
    <s v=""/>
    <s v=""/>
    <s v=""/>
    <s v=""/>
    <s v=""/>
    <s v=""/>
  </r>
  <r>
    <s v="2113917"/>
    <x v="39"/>
    <x v="49"/>
    <s v="90.123.456/0001-12"/>
    <x v="0"/>
    <s v="Consultoria"/>
    <n v="7302"/>
    <s v="A VISTA"/>
    <d v="2023-11-11T00:00:00"/>
    <n v="7302"/>
    <s v=""/>
    <s v=""/>
    <s v=""/>
    <s v=""/>
    <s v=""/>
    <s v=""/>
  </r>
  <r>
    <s v="9170233"/>
    <x v="17"/>
    <x v="112"/>
    <s v="30.123.456/0001-12"/>
    <x v="1"/>
    <s v="MATERIAL D"/>
    <n v="3741"/>
    <s v="1+2"/>
    <d v="2024-05-14T00:00:00"/>
    <n v="1247"/>
    <d v="2024-06-12T00:00:00"/>
    <n v="1247"/>
    <d v="2024-06-27T00:00:00"/>
    <n v="1247"/>
    <s v=""/>
    <s v=""/>
  </r>
  <r>
    <s v="982798"/>
    <x v="28"/>
    <x v="113"/>
    <s v="76.789.012/0001-34"/>
    <x v="2"/>
    <s v="ENVIO INCORRETO"/>
    <n v="1542"/>
    <s v="A VISTA"/>
    <d v="2023-08-22T00:00:00"/>
    <n v="1542"/>
    <s v=""/>
    <s v=""/>
    <s v=""/>
    <s v=""/>
    <s v=""/>
    <s v=""/>
  </r>
  <r>
    <s v="88147120"/>
    <x v="8"/>
    <x v="114"/>
    <s v="54.567.890/0001-90"/>
    <x v="2"/>
    <s v="EXTRAVIADO"/>
    <n v="6146"/>
    <s v="A VISTA"/>
    <d v="2024-06-04T00:00:00"/>
    <n v="6146"/>
    <s v=""/>
    <s v=""/>
    <s v=""/>
    <s v=""/>
    <s v=""/>
    <s v=""/>
  </r>
  <r>
    <s v="6754168"/>
    <x v="28"/>
    <x v="115"/>
    <s v="76.789.012/0001-34"/>
    <x v="2"/>
    <s v="ENVIO INCORRETO"/>
    <n v="6042"/>
    <s v="A VISTA"/>
    <d v="2024-04-20T00:00:00"/>
    <n v="6042"/>
    <s v=""/>
    <s v=""/>
    <s v=""/>
    <s v=""/>
    <s v=""/>
    <s v=""/>
  </r>
  <r>
    <s v="97121196"/>
    <x v="12"/>
    <x v="116"/>
    <s v="09.012.345/0001-45"/>
    <x v="1"/>
    <s v="MATERIAL D"/>
    <n v="9714"/>
    <s v="1+1"/>
    <d v="2024-07-15T00:00:00"/>
    <n v="4857"/>
    <d v="2024-08-13T00:00:00"/>
    <n v="4857"/>
    <s v=""/>
    <s v=""/>
    <s v=""/>
    <s v=""/>
  </r>
  <r>
    <s v="91788"/>
    <x v="7"/>
    <x v="10"/>
    <s v="67.890.123/0001-01"/>
    <x v="1"/>
    <s v="MATERIAL D"/>
    <n v="7330"/>
    <s v="1+3"/>
    <d v="2024-02-22T00:00:00"/>
    <n v="1832.5"/>
    <d v="2024-02-21T00:00:00"/>
    <n v="1832.5"/>
    <d v="2024-04-06T00:00:00"/>
    <n v="1832.5"/>
    <d v="2024-04-21T00:00:00"/>
    <n v="1832.5"/>
  </r>
  <r>
    <s v="9822152"/>
    <x v="3"/>
    <x v="34"/>
    <s v="88.901.234/0001-78"/>
    <x v="1"/>
    <s v="MATERIAL D"/>
    <n v="1691"/>
    <s v="A VISTA"/>
    <d v="2024-04-10T00:00:00"/>
    <n v="1691"/>
    <s v=""/>
    <s v=""/>
    <s v=""/>
    <s v=""/>
    <s v=""/>
    <s v=""/>
  </r>
  <r>
    <s v="132220"/>
    <x v="39"/>
    <x v="117"/>
    <s v="90.123.456/0001-12"/>
    <x v="0"/>
    <s v="Consultoria"/>
    <n v="5737"/>
    <s v="1+1"/>
    <d v="2023-06-06T00:00:00"/>
    <n v="2868.5"/>
    <d v="2023-07-05T00:00:00"/>
    <n v="2868.5"/>
    <s v=""/>
    <s v=""/>
    <s v=""/>
    <s v=""/>
  </r>
  <r>
    <s v="8588203"/>
    <x v="17"/>
    <x v="113"/>
    <s v="30.123.456/0001-12"/>
    <x v="1"/>
    <s v="MATERIAL D"/>
    <n v="7363"/>
    <s v="1+2"/>
    <d v="2023-08-22T00:00:00"/>
    <n v="2454.3333333333335"/>
    <d v="2023-09-20T00:00:00"/>
    <n v="2454.3333333333335"/>
    <d v="2023-10-05T00:00:00"/>
    <n v="2454.3333333333326"/>
    <s v=""/>
    <s v=""/>
  </r>
  <r>
    <s v="5538165"/>
    <x v="35"/>
    <x v="118"/>
    <s v="29.012.345/0001-45"/>
    <x v="1"/>
    <s v="MATERIAL B"/>
    <n v="9467"/>
    <s v="A VISTA"/>
    <d v="2023-07-29T00:00:00"/>
    <n v="9467"/>
    <s v=""/>
    <s v=""/>
    <s v=""/>
    <s v=""/>
    <s v=""/>
    <s v=""/>
  </r>
  <r>
    <s v="7825163"/>
    <x v="8"/>
    <x v="119"/>
    <s v="54.567.890/0001-90"/>
    <x v="2"/>
    <s v="EXTRAVIADO"/>
    <n v="5854"/>
    <s v="A VISTA"/>
    <d v="2023-09-15T00:00:00"/>
    <n v="5854"/>
    <s v=""/>
    <s v=""/>
    <s v=""/>
    <s v=""/>
    <s v=""/>
    <s v=""/>
  </r>
  <r>
    <s v="69105126"/>
    <x v="45"/>
    <x v="120"/>
    <s v="19.012.345/0001-45"/>
    <x v="0"/>
    <s v="Impostos"/>
    <n v="3772"/>
    <s v="A VISTA"/>
    <d v="2024-08-03T00:00:00"/>
    <n v="3772"/>
    <s v=""/>
    <s v=""/>
    <s v=""/>
    <s v=""/>
    <s v=""/>
    <s v=""/>
  </r>
  <r>
    <s v="7497194"/>
    <x v="24"/>
    <x v="121"/>
    <s v="11.234.567/0001-89"/>
    <x v="1"/>
    <s v="MATERIAL C"/>
    <n v="7231"/>
    <s v="A VISTA"/>
    <d v="2023-10-21T00:00:00"/>
    <n v="7231"/>
    <s v=""/>
    <s v=""/>
    <s v=""/>
    <s v=""/>
    <s v=""/>
    <s v=""/>
  </r>
  <r>
    <s v="61577"/>
    <x v="23"/>
    <x v="122"/>
    <s v="77.890.123/0001-01"/>
    <x v="0"/>
    <s v="Impostos"/>
    <n v="2181"/>
    <s v="A VISTA"/>
    <d v="2023-08-20T00:00:00"/>
    <n v="2181"/>
    <s v=""/>
    <s v=""/>
    <s v=""/>
    <s v=""/>
    <s v=""/>
    <s v=""/>
  </r>
  <r>
    <s v="4698238"/>
    <x v="38"/>
    <x v="123"/>
    <s v="63.456.789/0001-23"/>
    <x v="0"/>
    <s v="Consultoria"/>
    <n v="8843"/>
    <s v="A VISTA"/>
    <d v="2023-06-01T00:00:00"/>
    <n v="8843"/>
    <s v=""/>
    <s v=""/>
    <s v=""/>
    <s v=""/>
    <s v=""/>
    <s v=""/>
  </r>
  <r>
    <s v="3066161"/>
    <x v="45"/>
    <x v="19"/>
    <s v="19.012.345/0001-45"/>
    <x v="0"/>
    <s v="Impostos"/>
    <n v="8809"/>
    <s v="A VISTA"/>
    <d v="2024-01-01T00:00:00"/>
    <n v="8809"/>
    <s v=""/>
    <s v=""/>
    <s v=""/>
    <s v=""/>
    <s v=""/>
    <s v=""/>
  </r>
  <r>
    <s v="713027"/>
    <x v="15"/>
    <x v="54"/>
    <s v="97.890.123/0001-01"/>
    <x v="2"/>
    <s v="ENVIO INCORRETO"/>
    <n v="2890"/>
    <s v="A VISTA"/>
    <d v="2024-03-04T00:00:00"/>
    <n v="2890"/>
    <s v=""/>
    <s v=""/>
    <s v=""/>
    <s v=""/>
    <s v=""/>
    <s v=""/>
  </r>
  <r>
    <s v="18191"/>
    <x v="44"/>
    <x v="124"/>
    <s v="74.567.890/0001-90"/>
    <x v="1"/>
    <s v="MATERIAL C"/>
    <n v="3001"/>
    <s v="1+1"/>
    <d v="2023-10-23T00:00:00"/>
    <n v="1500.5"/>
    <d v="2023-11-21T00:00:00"/>
    <n v="1500.5"/>
    <s v=""/>
    <s v=""/>
    <s v=""/>
    <s v=""/>
  </r>
  <r>
    <s v="93136207"/>
    <x v="41"/>
    <x v="125"/>
    <s v="18.901.234/0001-78"/>
    <x v="1"/>
    <s v="MATERIAL D"/>
    <n v="3567"/>
    <s v="1+2"/>
    <d v="2024-04-22T00:00:00"/>
    <n v="1189"/>
    <d v="2024-05-21T00:00:00"/>
    <n v="1189"/>
    <d v="2024-06-05T00:00:00"/>
    <n v="1189"/>
    <s v=""/>
    <s v=""/>
  </r>
  <r>
    <s v="1667195"/>
    <x v="34"/>
    <x v="38"/>
    <s v="21.234.567/0001-89"/>
    <x v="0"/>
    <s v="Consultoria"/>
    <n v="4135"/>
    <s v="1+2"/>
    <d v="2023-10-18T00:00:00"/>
    <n v="1378.3333333333333"/>
    <d v="2023-11-16T00:00:00"/>
    <n v="1378.3333333333333"/>
    <d v="2023-12-01T00:00:00"/>
    <n v="1378.3333333333337"/>
    <s v=""/>
    <s v=""/>
  </r>
  <r>
    <s v="226152"/>
    <x v="42"/>
    <x v="126"/>
    <s v="31.234.567/0001-89"/>
    <x v="1"/>
    <s v="MATERIAL A"/>
    <n v="3088"/>
    <s v="1+3"/>
    <d v="2023-09-23T00:00:00"/>
    <n v="772"/>
    <d v="2023-09-22T00:00:00"/>
    <n v="772"/>
    <d v="2023-11-06T00:00:00"/>
    <n v="772"/>
    <d v="2023-11-21T00:00:00"/>
    <n v="772"/>
  </r>
  <r>
    <s v="6913013"/>
    <x v="24"/>
    <x v="61"/>
    <s v="11.234.567/0001-89"/>
    <x v="1"/>
    <s v="MATERIAL C"/>
    <n v="5049"/>
    <s v="1+3"/>
    <d v="2023-10-10T00:00:00"/>
    <n v="1262.25"/>
    <d v="2023-10-09T00:00:00"/>
    <n v="1262.25"/>
    <d v="2023-11-23T00:00:00"/>
    <n v="1262.25"/>
    <d v="2023-12-08T00:00:00"/>
    <n v="1262.25"/>
  </r>
  <r>
    <s v="20120141"/>
    <x v="24"/>
    <x v="127"/>
    <s v="11.234.567/0001-89"/>
    <x v="1"/>
    <s v="MATERIAL C"/>
    <n v="5827"/>
    <s v="1+2"/>
    <d v="2024-02-03T00:00:00"/>
    <n v="1942.3333333333333"/>
    <d v="2024-03-03T00:00:00"/>
    <n v="1942.3333333333333"/>
    <d v="2024-03-18T00:00:00"/>
    <n v="1942.3333333333337"/>
    <s v=""/>
    <s v=""/>
  </r>
  <r>
    <s v="564130"/>
    <x v="31"/>
    <x v="128"/>
    <s v="23.456.789/0001-23"/>
    <x v="1"/>
    <s v="MATERIAL E"/>
    <n v="2016"/>
    <s v="A VISTA"/>
    <d v="2024-07-30T00:00:00"/>
    <n v="2016"/>
    <s v=""/>
    <s v=""/>
    <s v=""/>
    <s v=""/>
    <s v=""/>
    <s v=""/>
  </r>
  <r>
    <s v="106912"/>
    <x v="22"/>
    <x v="129"/>
    <s v="55.678.901/0001-67"/>
    <x v="2"/>
    <s v="ENVIO INCORRETO"/>
    <n v="1311"/>
    <s v="A VISTA"/>
    <d v="2024-01-21T00:00:00"/>
    <n v="1311"/>
    <s v=""/>
    <s v=""/>
    <s v=""/>
    <s v=""/>
    <s v=""/>
    <s v=""/>
  </r>
  <r>
    <s v="3665246"/>
    <x v="26"/>
    <x v="35"/>
    <s v="78.901.234/0001-78"/>
    <x v="1"/>
    <s v="MATERIAL B"/>
    <n v="6775"/>
    <s v="A VISTA"/>
    <d v="2023-10-03T00:00:00"/>
    <n v="6775"/>
    <s v=""/>
    <s v=""/>
    <s v=""/>
    <s v=""/>
    <s v=""/>
    <s v=""/>
  </r>
  <r>
    <s v="2258154"/>
    <x v="15"/>
    <x v="130"/>
    <s v="97.890.123/0001-01"/>
    <x v="2"/>
    <s v="ENVIO INCORRETO"/>
    <n v="3480"/>
    <s v="A VISTA"/>
    <d v="2023-05-21T00:00:00"/>
    <n v="3480"/>
    <s v=""/>
    <s v=""/>
    <s v=""/>
    <s v=""/>
    <s v=""/>
    <s v=""/>
  </r>
  <r>
    <s v="2838139"/>
    <x v="28"/>
    <x v="131"/>
    <s v="76.789.012/0001-34"/>
    <x v="2"/>
    <s v="ENVIO INCORRETO"/>
    <n v="8798"/>
    <s v="A VISTA"/>
    <d v="2024-03-12T00:00:00"/>
    <n v="8798"/>
    <s v=""/>
    <s v=""/>
    <s v=""/>
    <s v=""/>
    <s v=""/>
    <s v=""/>
  </r>
  <r>
    <s v="7286108"/>
    <x v="43"/>
    <x v="44"/>
    <s v="64.567.890/0001-90"/>
    <x v="0"/>
    <s v="Pagamentos ADMs"/>
    <n v="6614"/>
    <s v="1+3"/>
    <d v="2024-03-13T00:00:00"/>
    <n v="1653.5"/>
    <d v="2024-03-12T00:00:00"/>
    <n v="1653.5"/>
    <d v="2024-04-26T00:00:00"/>
    <n v="1653.5"/>
    <d v="2024-05-11T00:00:00"/>
    <n v="1653.5"/>
  </r>
  <r>
    <s v="19140231"/>
    <x v="19"/>
    <x v="132"/>
    <s v="85.678.901/0001-67"/>
    <x v="0"/>
    <s v="Pagamentos ADMs"/>
    <n v="6729"/>
    <s v="1+2"/>
    <d v="2023-06-11T00:00:00"/>
    <n v="2243"/>
    <d v="2023-07-10T00:00:00"/>
    <n v="2243"/>
    <d v="2023-07-25T00:00:00"/>
    <n v="2243"/>
    <s v=""/>
    <s v=""/>
  </r>
  <r>
    <s v="1001062"/>
    <x v="36"/>
    <x v="133"/>
    <s v="96.789.012/0001-34"/>
    <x v="2"/>
    <s v="EXTRAVIADO"/>
    <n v="4572"/>
    <s v="A VISTA"/>
    <d v="2024-05-19T00:00:00"/>
    <n v="4572"/>
    <s v=""/>
    <s v=""/>
    <s v=""/>
    <s v=""/>
    <s v=""/>
    <s v=""/>
  </r>
  <r>
    <s v="894220"/>
    <x v="12"/>
    <x v="106"/>
    <s v="09.012.345/0001-45"/>
    <x v="1"/>
    <s v="MATERIAL D"/>
    <n v="7623"/>
    <s v="A VISTA"/>
    <d v="2024-02-21T00:00:00"/>
    <n v="7623"/>
    <s v=""/>
    <s v=""/>
    <s v=""/>
    <s v=""/>
    <s v=""/>
    <s v=""/>
  </r>
  <r>
    <s v="5829196"/>
    <x v="26"/>
    <x v="69"/>
    <s v="78.901.234/0001-78"/>
    <x v="1"/>
    <s v="MATERIAL B"/>
    <n v="8345"/>
    <s v="1+1"/>
    <d v="2023-10-04T00:00:00"/>
    <n v="4172.5"/>
    <d v="2023-11-02T00:00:00"/>
    <n v="4172.5"/>
    <s v=""/>
    <s v=""/>
    <s v=""/>
    <s v=""/>
  </r>
  <r>
    <s v="753074"/>
    <x v="38"/>
    <x v="134"/>
    <s v="63.456.789/0001-23"/>
    <x v="0"/>
    <s v="Consultoria"/>
    <n v="9714"/>
    <s v="A VISTA"/>
    <d v="2024-04-09T00:00:00"/>
    <n v="9714"/>
    <s v=""/>
    <s v=""/>
    <s v=""/>
    <s v=""/>
    <s v=""/>
    <s v=""/>
  </r>
  <r>
    <s v="3639128"/>
    <x v="34"/>
    <x v="135"/>
    <s v="21.234.567/0001-89"/>
    <x v="0"/>
    <s v="Consultoria"/>
    <n v="8895"/>
    <s v="1+3"/>
    <d v="2023-08-02T00:00:00"/>
    <n v="2223.75"/>
    <d v="2023-08-01T00:00:00"/>
    <n v="2223.75"/>
    <d v="2023-09-15T00:00:00"/>
    <n v="2223.75"/>
    <d v="2023-09-30T00:00:00"/>
    <n v="2223.75"/>
  </r>
  <r>
    <s v="542101"/>
    <x v="18"/>
    <x v="136"/>
    <s v="43.456.789/0001-23"/>
    <x v="0"/>
    <s v="Pagamentos ADMs"/>
    <n v="5276"/>
    <s v="1+3"/>
    <d v="2023-08-15T00:00:00"/>
    <n v="1319"/>
    <d v="2023-08-14T00:00:00"/>
    <n v="1319"/>
    <d v="2023-09-28T00:00:00"/>
    <n v="1319"/>
    <d v="2023-10-13T00:00:00"/>
    <n v="1319"/>
  </r>
  <r>
    <s v="778514"/>
    <x v="37"/>
    <x v="137"/>
    <s v="65.678.901/0001-67"/>
    <x v="1"/>
    <s v="MATERIAL E"/>
    <n v="2495"/>
    <s v="1+2"/>
    <d v="2024-04-03T00:00:00"/>
    <n v="831.66666666666663"/>
    <d v="2024-05-02T00:00:00"/>
    <n v="831.66666666666663"/>
    <d v="2024-05-17T00:00:00"/>
    <n v="831.66666666666686"/>
    <s v=""/>
    <s v=""/>
  </r>
  <r>
    <s v="2750196"/>
    <x v="34"/>
    <x v="138"/>
    <s v="21.234.567/0001-89"/>
    <x v="0"/>
    <s v="Consultoria"/>
    <n v="4841"/>
    <s v="A VISTA"/>
    <d v="2023-10-08T00:00:00"/>
    <n v="4841"/>
    <s v=""/>
    <s v=""/>
    <s v=""/>
    <s v=""/>
    <s v=""/>
    <s v=""/>
  </r>
  <r>
    <s v="8440216"/>
    <x v="4"/>
    <x v="139"/>
    <s v="89.012.345/0001-45"/>
    <x v="1"/>
    <s v="MATERIAL A"/>
    <n v="2405"/>
    <s v="1+3"/>
    <d v="2023-11-18T00:00:00"/>
    <n v="601.25"/>
    <d v="2023-11-17T00:00:00"/>
    <n v="601.25"/>
    <d v="2024-01-01T00:00:00"/>
    <n v="601.25"/>
    <d v="2024-01-16T00:00:00"/>
    <n v="601.25"/>
  </r>
  <r>
    <s v="15146178"/>
    <x v="45"/>
    <x v="4"/>
    <s v="19.012.345/0001-45"/>
    <x v="0"/>
    <s v="Impostos"/>
    <n v="2708"/>
    <s v="1+2"/>
    <d v="2024-02-25T00:00:00"/>
    <n v="902.66666666666663"/>
    <d v="2024-03-25T00:00:00"/>
    <n v="902.66666666666663"/>
    <d v="2024-04-09T00:00:00"/>
    <n v="902.66666666666686"/>
    <s v=""/>
    <s v=""/>
  </r>
  <r>
    <s v="10063112"/>
    <x v="41"/>
    <x v="140"/>
    <s v="18.901.234/0001-78"/>
    <x v="1"/>
    <s v="MATERIAL D"/>
    <n v="5056"/>
    <s v="1+2"/>
    <d v="2023-11-20T00:00:00"/>
    <n v="1685.3333333333333"/>
    <d v="2023-12-19T00:00:00"/>
    <n v="1685.3333333333333"/>
    <d v="2024-01-03T00:00:00"/>
    <n v="1685.3333333333337"/>
    <s v=""/>
    <s v=""/>
  </r>
  <r>
    <s v="51103250"/>
    <x v="33"/>
    <x v="141"/>
    <s v="42.345.678/0001-56"/>
    <x v="0"/>
    <s v="Consultoria"/>
    <n v="8323"/>
    <s v="1+1"/>
    <d v="2023-07-04T00:00:00"/>
    <n v="4161.5"/>
    <d v="2023-08-02T00:00:00"/>
    <n v="4161.5"/>
    <s v=""/>
    <s v=""/>
    <s v=""/>
    <s v=""/>
  </r>
  <r>
    <s v="588161"/>
    <x v="27"/>
    <x v="69"/>
    <s v="98.901.234/0001-78"/>
    <x v="0"/>
    <s v="Impostos"/>
    <n v="4870"/>
    <s v="A VISTA"/>
    <d v="2023-10-04T00:00:00"/>
    <n v="4870"/>
    <s v=""/>
    <s v=""/>
    <s v=""/>
    <s v=""/>
    <s v=""/>
    <s v=""/>
  </r>
  <r>
    <s v="7913746"/>
    <x v="16"/>
    <x v="95"/>
    <s v="66.789.012/0001-34"/>
    <x v="0"/>
    <s v="Factoring Fee"/>
    <n v="5610"/>
    <s v="1+2"/>
    <d v="2024-05-18T00:00:00"/>
    <n v="1870"/>
    <d v="2024-06-16T00:00:00"/>
    <n v="1870"/>
    <d v="2024-07-01T00:00:00"/>
    <n v="1870"/>
    <s v=""/>
    <s v=""/>
  </r>
  <r>
    <s v="91110230"/>
    <x v="26"/>
    <x v="142"/>
    <s v="78.901.234/0001-78"/>
    <x v="1"/>
    <s v="MATERIAL B"/>
    <n v="4186"/>
    <s v="1+2"/>
    <d v="2024-02-23T00:00:00"/>
    <n v="1395.3333333333333"/>
    <d v="2024-03-23T00:00:00"/>
    <n v="1395.3333333333333"/>
    <d v="2024-04-07T00:00:00"/>
    <n v="1395.3333333333337"/>
    <s v=""/>
    <s v=""/>
  </r>
  <r>
    <s v="934218"/>
    <x v="19"/>
    <x v="127"/>
    <s v="85.678.901/0001-67"/>
    <x v="0"/>
    <s v="Pagamentos ADMs"/>
    <n v="2499"/>
    <s v="A VISTA"/>
    <d v="2024-02-03T00:00:00"/>
    <n v="2499"/>
    <s v=""/>
    <s v=""/>
    <s v=""/>
    <s v=""/>
    <s v=""/>
    <s v=""/>
  </r>
  <r>
    <s v="66137145"/>
    <x v="2"/>
    <x v="118"/>
    <s v="99.012.345/0001-45"/>
    <x v="1"/>
    <s v="MATERIAL B"/>
    <n v="3053"/>
    <s v="1+1"/>
    <d v="2023-07-29T00:00:00"/>
    <n v="1526.5"/>
    <d v="2023-08-27T00:00:00"/>
    <n v="1526.5"/>
    <s v=""/>
    <s v=""/>
    <s v=""/>
    <s v=""/>
  </r>
  <r>
    <s v="57823"/>
    <x v="4"/>
    <x v="22"/>
    <s v="89.012.345/0001-45"/>
    <x v="1"/>
    <s v="MATERIAL A"/>
    <n v="2786"/>
    <s v="1+3"/>
    <d v="2023-09-24T00:00:00"/>
    <n v="696.5"/>
    <d v="2023-09-23T00:00:00"/>
    <n v="696.5"/>
    <d v="2023-11-07T00:00:00"/>
    <n v="696.5"/>
    <d v="2023-11-22T00:00:00"/>
    <n v="696.5"/>
  </r>
  <r>
    <s v="3411048"/>
    <x v="34"/>
    <x v="69"/>
    <s v="21.234.567/0001-89"/>
    <x v="0"/>
    <s v="Consultoria"/>
    <n v="5235"/>
    <s v="1+3"/>
    <d v="2023-10-04T00:00:00"/>
    <n v="1308.75"/>
    <d v="2023-10-03T00:00:00"/>
    <n v="1308.75"/>
    <d v="2023-11-17T00:00:00"/>
    <n v="1308.75"/>
    <d v="2023-12-02T00:00:00"/>
    <n v="1308.75"/>
  </r>
  <r>
    <s v="94109121"/>
    <x v="26"/>
    <x v="143"/>
    <s v="78.901.234/0001-78"/>
    <x v="1"/>
    <s v="MATERIAL B"/>
    <n v="7659"/>
    <s v="1+3"/>
    <d v="2024-03-06T00:00:00"/>
    <n v="1914.75"/>
    <d v="2024-03-05T00:00:00"/>
    <n v="1914.75"/>
    <d v="2024-04-19T00:00:00"/>
    <n v="1914.75"/>
    <d v="2024-05-04T00:00:00"/>
    <n v="1914.75"/>
  </r>
  <r>
    <s v="3850241"/>
    <x v="40"/>
    <x v="144"/>
    <s v="12.345.678/0001-56"/>
    <x v="2"/>
    <s v="EXTRAVIADO"/>
    <n v="592"/>
    <s v="A VISTA"/>
    <d v="2024-03-31T00:00:00"/>
    <n v="592"/>
    <s v=""/>
    <s v=""/>
    <s v=""/>
    <s v=""/>
    <s v=""/>
    <s v=""/>
  </r>
  <r>
    <s v="5580188"/>
    <x v="25"/>
    <x v="130"/>
    <s v="41.234.567/0001-89"/>
    <x v="1"/>
    <s v="MATERIAL B"/>
    <n v="6838"/>
    <s v="A VISTA"/>
    <d v="2023-05-21T00:00:00"/>
    <n v="6838"/>
    <s v=""/>
    <s v=""/>
    <s v=""/>
    <s v=""/>
    <s v=""/>
    <s v=""/>
  </r>
  <r>
    <s v="8964247"/>
    <x v="35"/>
    <x v="145"/>
    <s v="29.012.345/0001-45"/>
    <x v="1"/>
    <s v="MATERIAL B"/>
    <n v="7867"/>
    <s v="1+2"/>
    <d v="2024-02-28T00:00:00"/>
    <n v="2622.3333333333335"/>
    <d v="2024-03-28T00:00:00"/>
    <n v="2622.3333333333335"/>
    <d v="2024-04-12T00:00:00"/>
    <n v="2622.3333333333326"/>
    <s v=""/>
    <s v=""/>
  </r>
  <r>
    <s v="629594"/>
    <x v="10"/>
    <x v="146"/>
    <s v="22.345.678/0001-56"/>
    <x v="0"/>
    <s v="Pagamentos ADMs"/>
    <n v="7106"/>
    <s v="1+2"/>
    <d v="2024-04-01T00:00:00"/>
    <n v="2368.6666666666665"/>
    <d v="2024-04-30T00:00:00"/>
    <n v="2368.6666666666665"/>
    <d v="2024-05-15T00:00:00"/>
    <n v="2368.6666666666674"/>
    <s v=""/>
    <s v=""/>
  </r>
  <r>
    <s v="3210360"/>
    <x v="38"/>
    <x v="147"/>
    <s v="63.456.789/0001-23"/>
    <x v="0"/>
    <s v="Consultoria"/>
    <n v="6679"/>
    <s v="1+2"/>
    <d v="2023-08-19T00:00:00"/>
    <n v="2226.3333333333335"/>
    <d v="2023-09-17T00:00:00"/>
    <n v="2226.3333333333335"/>
    <d v="2023-10-02T00:00:00"/>
    <n v="2226.3333333333326"/>
    <s v=""/>
    <s v=""/>
  </r>
  <r>
    <s v="2170202"/>
    <x v="6"/>
    <x v="148"/>
    <s v="08.901.234/0001-78"/>
    <x v="0"/>
    <s v="Factoring Fee"/>
    <n v="401"/>
    <s v="A VISTA"/>
    <d v="2023-11-06T00:00:00"/>
    <n v="401"/>
    <s v=""/>
    <s v=""/>
    <s v=""/>
    <s v=""/>
    <s v=""/>
    <s v=""/>
  </r>
  <r>
    <s v="644718"/>
    <x v="13"/>
    <x v="149"/>
    <s v="10.123.456/0001-12"/>
    <x v="1"/>
    <s v="MATERIAL A"/>
    <n v="9190"/>
    <s v="1+1"/>
    <d v="2023-12-02T00:00:00"/>
    <n v="4595"/>
    <d v="2023-12-31T00:00:00"/>
    <n v="4595"/>
    <s v=""/>
    <s v=""/>
    <s v=""/>
    <s v=""/>
  </r>
  <r>
    <s v="787119"/>
    <x v="22"/>
    <x v="150"/>
    <s v="55.678.901/0001-67"/>
    <x v="2"/>
    <s v="ENVIO INCORRETO"/>
    <n v="6129"/>
    <s v="A VISTA"/>
    <d v="2023-10-28T00:00:00"/>
    <n v="6129"/>
    <s v=""/>
    <s v=""/>
    <s v=""/>
    <s v=""/>
    <s v=""/>
    <s v=""/>
  </r>
  <r>
    <s v="5211210"/>
    <x v="46"/>
    <x v="79"/>
    <s v="44.567.890/0001-90"/>
    <x v="1"/>
    <s v="MATERIAL E"/>
    <n v="4180"/>
    <s v="1+2"/>
    <d v="2023-09-04T00:00:00"/>
    <n v="1393.3333333333333"/>
    <d v="2023-10-03T00:00:00"/>
    <n v="1393.3333333333333"/>
    <d v="2023-10-18T00:00:00"/>
    <n v="1393.3333333333337"/>
    <s v=""/>
    <s v=""/>
  </r>
  <r>
    <s v="4410640"/>
    <x v="11"/>
    <x v="151"/>
    <s v="52.345.678/0001-56"/>
    <x v="1"/>
    <s v="MATERIAL A"/>
    <n v="9950"/>
    <s v="A VISTA"/>
    <d v="2023-12-19T00:00:00"/>
    <n v="9950"/>
    <s v=""/>
    <s v=""/>
    <s v=""/>
    <s v=""/>
    <s v=""/>
    <s v=""/>
  </r>
  <r>
    <s v="39132213"/>
    <x v="23"/>
    <x v="152"/>
    <s v="77.890.123/0001-01"/>
    <x v="0"/>
    <s v="Impostos"/>
    <n v="5802"/>
    <s v="A VISTA"/>
    <d v="2024-03-16T00:00:00"/>
    <n v="5802"/>
    <s v=""/>
    <s v=""/>
    <s v=""/>
    <s v=""/>
    <s v=""/>
    <s v=""/>
  </r>
  <r>
    <s v="952518"/>
    <x v="14"/>
    <x v="153"/>
    <s v="86.789.012/0001-34"/>
    <x v="1"/>
    <s v="MATERIAL E"/>
    <n v="9484"/>
    <s v="A VISTA"/>
    <d v="2024-03-20T00:00:00"/>
    <n v="9484"/>
    <s v=""/>
    <s v=""/>
    <s v=""/>
    <s v=""/>
    <s v=""/>
    <s v=""/>
  </r>
  <r>
    <s v="818660"/>
    <x v="6"/>
    <x v="154"/>
    <s v="08.901.234/0001-78"/>
    <x v="0"/>
    <s v="Factoring Fee"/>
    <n v="2504"/>
    <s v="1+3"/>
    <d v="2024-04-29T00:00:00"/>
    <n v="626"/>
    <d v="2024-04-28T00:00:00"/>
    <n v="626"/>
    <d v="2024-06-12T00:00:00"/>
    <n v="626"/>
    <d v="2024-06-27T00:00:00"/>
    <n v="626"/>
  </r>
  <r>
    <s v="710534"/>
    <x v="9"/>
    <x v="78"/>
    <s v="53.456.789/0001-23"/>
    <x v="1"/>
    <s v="MATERIAL C"/>
    <n v="8677"/>
    <s v="1+2"/>
    <d v="2023-09-19T00:00:00"/>
    <n v="2892.3333333333335"/>
    <d v="2023-10-18T00:00:00"/>
    <n v="2892.3333333333335"/>
    <d v="2023-11-02T00:00:00"/>
    <n v="2892.3333333333326"/>
    <s v=""/>
    <s v=""/>
  </r>
  <r>
    <s v="8778179"/>
    <x v="20"/>
    <x v="29"/>
    <s v="20.123.456/0001-12"/>
    <x v="1"/>
    <s v="MATERIAL B"/>
    <n v="1893"/>
    <s v="A VISTA"/>
    <d v="2024-01-28T00:00:00"/>
    <n v="1893"/>
    <s v=""/>
    <s v=""/>
    <s v=""/>
    <s v=""/>
    <s v=""/>
    <s v=""/>
  </r>
  <r>
    <s v="1247246"/>
    <x v="7"/>
    <x v="155"/>
    <s v="67.890.123/0001-01"/>
    <x v="1"/>
    <s v="MATERIAL D"/>
    <n v="8676"/>
    <s v="A VISTA"/>
    <d v="2024-05-06T00:00:00"/>
    <n v="8676"/>
    <s v=""/>
    <s v=""/>
    <s v=""/>
    <s v=""/>
    <s v=""/>
    <s v=""/>
  </r>
  <r>
    <s v="73111110"/>
    <x v="40"/>
    <x v="156"/>
    <s v="12.345.678/0001-56"/>
    <x v="2"/>
    <s v="EXTRAVIADO"/>
    <n v="5431"/>
    <s v="A VISTA"/>
    <d v="2024-07-06T00:00:00"/>
    <n v="5431"/>
    <s v=""/>
    <s v=""/>
    <s v=""/>
    <s v=""/>
    <s v=""/>
    <s v=""/>
  </r>
  <r>
    <s v="957959"/>
    <x v="27"/>
    <x v="157"/>
    <s v="98.901.234/0001-78"/>
    <x v="0"/>
    <s v="Impostos"/>
    <n v="1169"/>
    <s v="A VISTA"/>
    <d v="2023-08-08T00:00:00"/>
    <n v="1169"/>
    <s v=""/>
    <s v=""/>
    <s v=""/>
    <s v=""/>
    <s v=""/>
    <s v=""/>
  </r>
  <r>
    <s v="193890"/>
    <x v="11"/>
    <x v="97"/>
    <s v="52.345.678/0001-56"/>
    <x v="1"/>
    <s v="MATERIAL A"/>
    <n v="7350"/>
    <s v="1+3"/>
    <d v="2024-07-05T00:00:00"/>
    <n v="1837.5"/>
    <d v="2024-07-04T00:00:00"/>
    <n v="1837.5"/>
    <d v="2024-08-18T00:00:00"/>
    <n v="1837.5"/>
    <d v="2024-09-02T00:00:00"/>
    <n v="1837.5"/>
  </r>
  <r>
    <s v="9875163"/>
    <x v="18"/>
    <x v="106"/>
    <s v="43.456.789/0001-23"/>
    <x v="0"/>
    <s v="Pagamentos ADMs"/>
    <n v="2166"/>
    <s v="1+2"/>
    <d v="2024-02-21T00:00:00"/>
    <n v="722"/>
    <d v="2024-03-21T00:00:00"/>
    <n v="722"/>
    <d v="2024-04-05T00:00:00"/>
    <n v="722"/>
    <s v=""/>
    <s v=""/>
  </r>
  <r>
    <s v="48148206"/>
    <x v="31"/>
    <x v="158"/>
    <s v="23.456.789/0001-23"/>
    <x v="1"/>
    <s v="MATERIAL E"/>
    <n v="6253"/>
    <s v="A VISTA"/>
    <d v="2024-03-09T00:00:00"/>
    <n v="6253"/>
    <s v=""/>
    <s v=""/>
    <s v=""/>
    <s v=""/>
    <s v=""/>
    <s v=""/>
  </r>
  <r>
    <s v="5396100"/>
    <x v="39"/>
    <x v="159"/>
    <s v="90.123.456/0001-12"/>
    <x v="0"/>
    <s v="Consultoria"/>
    <n v="1990"/>
    <s v="1+1"/>
    <d v="2024-02-26T00:00:00"/>
    <n v="995"/>
    <d v="2024-03-26T00:00:00"/>
    <n v="995"/>
    <s v=""/>
    <s v=""/>
    <s v=""/>
    <s v=""/>
  </r>
  <r>
    <s v="3362247"/>
    <x v="37"/>
    <x v="10"/>
    <s v="65.678.901/0001-67"/>
    <x v="1"/>
    <s v="MATERIAL E"/>
    <n v="8804"/>
    <s v="1+1"/>
    <d v="2024-02-22T00:00:00"/>
    <n v="4402"/>
    <d v="2024-03-22T00:00:00"/>
    <n v="4402"/>
    <s v=""/>
    <s v=""/>
    <s v=""/>
    <s v=""/>
  </r>
  <r>
    <s v="15125100"/>
    <x v="23"/>
    <x v="160"/>
    <s v="77.890.123/0001-01"/>
    <x v="0"/>
    <s v="Impostos"/>
    <n v="3706"/>
    <s v="1+2"/>
    <d v="2023-09-29T00:00:00"/>
    <n v="1235.3333333333333"/>
    <d v="2023-10-28T00:00:00"/>
    <n v="1235.3333333333333"/>
    <d v="2023-11-12T00:00:00"/>
    <n v="1235.3333333333337"/>
    <s v=""/>
    <s v=""/>
  </r>
  <r>
    <s v="3113123"/>
    <x v="24"/>
    <x v="47"/>
    <s v="11.234.567/0001-89"/>
    <x v="1"/>
    <s v="MATERIAL C"/>
    <n v="1276"/>
    <s v="1+3"/>
    <d v="2024-01-03T00:00:00"/>
    <n v="319"/>
    <d v="2024-01-02T00:00:00"/>
    <n v="319"/>
    <d v="2024-02-16T00:00:00"/>
    <n v="319"/>
    <d v="2024-03-02T00:00:00"/>
    <n v="319"/>
  </r>
  <r>
    <s v="9043102"/>
    <x v="19"/>
    <x v="161"/>
    <s v="85.678.901/0001-67"/>
    <x v="0"/>
    <s v="Pagamentos ADMs"/>
    <n v="1849"/>
    <s v="1+1"/>
    <d v="2024-04-26T00:00:00"/>
    <n v="924.5"/>
    <d v="2024-05-25T00:00:00"/>
    <n v="924.5"/>
    <s v=""/>
    <s v=""/>
    <s v=""/>
    <s v=""/>
  </r>
  <r>
    <s v="138511"/>
    <x v="8"/>
    <x v="162"/>
    <s v="54.567.890/0001-90"/>
    <x v="2"/>
    <s v="EXTRAVIADO"/>
    <n v="7586"/>
    <s v="A VISTA"/>
    <d v="2024-07-02T00:00:00"/>
    <n v="7586"/>
    <s v=""/>
    <s v=""/>
    <s v=""/>
    <s v=""/>
    <s v=""/>
    <s v=""/>
  </r>
  <r>
    <s v="8501"/>
    <x v="21"/>
    <x v="163"/>
    <s v="75.678.901/0001-67"/>
    <x v="2"/>
    <s v="EXTRAVIADO"/>
    <n v="9322"/>
    <s v="A VISTA"/>
    <d v="2023-06-12T00:00:00"/>
    <n v="9322"/>
    <s v=""/>
    <s v=""/>
    <s v=""/>
    <s v=""/>
    <s v=""/>
    <s v=""/>
  </r>
  <r>
    <s v="35146245"/>
    <x v="9"/>
    <x v="164"/>
    <s v="53.456.789/0001-23"/>
    <x v="1"/>
    <s v="MATERIAL C"/>
    <n v="2547"/>
    <s v="1+2"/>
    <d v="2023-12-24T00:00:00"/>
    <n v="849"/>
    <d v="2024-01-22T00:00:00"/>
    <n v="849"/>
    <d v="2024-02-06T00:00:00"/>
    <n v="849"/>
    <s v=""/>
    <s v=""/>
  </r>
  <r>
    <s v="7397189"/>
    <x v="12"/>
    <x v="165"/>
    <s v="09.012.345/0001-45"/>
    <x v="1"/>
    <s v="MATERIAL D"/>
    <n v="2105"/>
    <s v="A VISTA"/>
    <d v="2024-05-25T00:00:00"/>
    <n v="2105"/>
    <s v=""/>
    <s v=""/>
    <s v=""/>
    <s v=""/>
    <s v=""/>
    <s v=""/>
  </r>
  <r>
    <s v="253743"/>
    <x v="7"/>
    <x v="166"/>
    <s v="67.890.123/0001-01"/>
    <x v="1"/>
    <s v="MATERIAL D"/>
    <n v="9813"/>
    <s v="1+1"/>
    <d v="2023-08-23T00:00:00"/>
    <n v="4906.5"/>
    <d v="2023-09-21T00:00:00"/>
    <n v="4906.5"/>
    <s v=""/>
    <s v=""/>
    <s v=""/>
    <s v=""/>
  </r>
  <r>
    <s v="7345174"/>
    <x v="45"/>
    <x v="34"/>
    <s v="19.012.345/0001-45"/>
    <x v="0"/>
    <s v="Impostos"/>
    <n v="9521"/>
    <s v="A VISTA"/>
    <d v="2024-04-10T00:00:00"/>
    <n v="9521"/>
    <s v=""/>
    <s v=""/>
    <s v=""/>
    <s v=""/>
    <s v=""/>
    <s v=""/>
  </r>
  <r>
    <s v="797357"/>
    <x v="37"/>
    <x v="167"/>
    <s v="65.678.901/0001-67"/>
    <x v="1"/>
    <s v="MATERIAL E"/>
    <n v="5979"/>
    <s v="A VISTA"/>
    <d v="2024-03-21T00:00:00"/>
    <n v="5979"/>
    <s v=""/>
    <s v=""/>
    <s v=""/>
    <s v=""/>
    <s v=""/>
    <s v=""/>
  </r>
  <r>
    <s v="256010"/>
    <x v="12"/>
    <x v="168"/>
    <s v="09.012.345/0001-45"/>
    <x v="1"/>
    <s v="MATERIAL D"/>
    <n v="4704"/>
    <s v="1+2"/>
    <d v="2024-04-23T00:00:00"/>
    <n v="1568"/>
    <d v="2024-05-22T00:00:00"/>
    <n v="1568"/>
    <d v="2024-06-06T00:00:00"/>
    <n v="1568"/>
    <s v=""/>
    <s v=""/>
  </r>
  <r>
    <s v="5558215"/>
    <x v="23"/>
    <x v="169"/>
    <s v="77.890.123/0001-01"/>
    <x v="0"/>
    <s v="Impostos"/>
    <n v="2123"/>
    <s v="1+2"/>
    <d v="2023-08-04T00:00:00"/>
    <n v="707.66666666666663"/>
    <d v="2023-09-02T00:00:00"/>
    <n v="707.66666666666663"/>
    <d v="2023-09-17T00:00:00"/>
    <n v="707.66666666666686"/>
    <s v=""/>
    <s v=""/>
  </r>
  <r>
    <s v="2465227"/>
    <x v="34"/>
    <x v="6"/>
    <s v="21.234.567/0001-89"/>
    <x v="0"/>
    <s v="Consultoria"/>
    <n v="3341"/>
    <s v="A VISTA"/>
    <d v="2024-06-02T00:00:00"/>
    <n v="3341"/>
    <s v=""/>
    <s v=""/>
    <s v=""/>
    <s v=""/>
    <s v=""/>
    <s v=""/>
  </r>
  <r>
    <s v="33133224"/>
    <x v="5"/>
    <x v="170"/>
    <s v="34.567.890/0001-90"/>
    <x v="2"/>
    <s v="ENVIO INCORRETO"/>
    <n v="5561"/>
    <s v="A VISTA"/>
    <d v="2023-12-10T00:00:00"/>
    <n v="5561"/>
    <s v=""/>
    <s v=""/>
    <s v=""/>
    <s v=""/>
    <s v=""/>
    <s v=""/>
  </r>
  <r>
    <s v="74110"/>
    <x v="16"/>
    <x v="171"/>
    <s v="66.789.012/0001-34"/>
    <x v="0"/>
    <s v="Factoring Fee"/>
    <n v="9010"/>
    <s v="1+2"/>
    <d v="2023-11-27T00:00:00"/>
    <n v="3003.3333333333335"/>
    <d v="2023-12-26T00:00:00"/>
    <n v="3003.3333333333335"/>
    <d v="2024-01-10T00:00:00"/>
    <n v="3003.3333333333326"/>
    <s v=""/>
    <s v=""/>
  </r>
  <r>
    <s v="7850245"/>
    <x v="2"/>
    <x v="172"/>
    <s v="99.012.345/0001-45"/>
    <x v="1"/>
    <s v="MATERIAL B"/>
    <n v="9426"/>
    <s v="1+1"/>
    <d v="2024-03-11T00:00:00"/>
    <n v="4713"/>
    <d v="2024-04-09T00:00:00"/>
    <n v="4713"/>
    <s v=""/>
    <s v=""/>
    <s v=""/>
    <s v=""/>
  </r>
  <r>
    <s v="1859110"/>
    <x v="6"/>
    <x v="16"/>
    <s v="08.901.234/0001-78"/>
    <x v="0"/>
    <s v="Factoring Fee"/>
    <n v="2215"/>
    <s v="1+2"/>
    <d v="2023-12-09T00:00:00"/>
    <n v="738.33333333333337"/>
    <d v="2024-01-07T00:00:00"/>
    <n v="738.33333333333337"/>
    <d v="2024-01-22T00:00:00"/>
    <n v="738.33333333333314"/>
    <s v=""/>
    <s v=""/>
  </r>
  <r>
    <s v="1778233"/>
    <x v="27"/>
    <x v="173"/>
    <s v="98.901.234/0001-78"/>
    <x v="0"/>
    <s v="Impostos"/>
    <n v="3173"/>
    <s v="1+1"/>
    <d v="2024-02-13T00:00:00"/>
    <n v="1586.5"/>
    <d v="2024-03-13T00:00:00"/>
    <n v="1586.5"/>
    <s v=""/>
    <s v=""/>
    <s v=""/>
    <s v=""/>
  </r>
  <r>
    <s v="25140249"/>
    <x v="43"/>
    <x v="75"/>
    <s v="64.567.890/0001-90"/>
    <x v="0"/>
    <s v="Pagamentos ADMs"/>
    <n v="6591"/>
    <s v="A VISTA"/>
    <d v="2024-07-26T00:00:00"/>
    <n v="6591"/>
    <s v=""/>
    <s v=""/>
    <s v=""/>
    <s v=""/>
    <s v=""/>
    <s v=""/>
  </r>
  <r>
    <s v="6021225"/>
    <x v="5"/>
    <x v="174"/>
    <s v="34.567.890/0001-90"/>
    <x v="2"/>
    <s v="ENVIO INCORRETO"/>
    <n v="9169"/>
    <s v="A VISTA"/>
    <d v="2024-08-14T00:00:00"/>
    <n v="9169"/>
    <s v=""/>
    <s v=""/>
    <s v=""/>
    <s v=""/>
    <s v=""/>
    <s v=""/>
  </r>
  <r>
    <s v="1814479"/>
    <x v="7"/>
    <x v="175"/>
    <s v="67.890.123/0001-01"/>
    <x v="1"/>
    <s v="MATERIAL D"/>
    <n v="6193"/>
    <s v="1+1"/>
    <d v="2024-03-30T00:00:00"/>
    <n v="3096.5"/>
    <d v="2024-04-28T00:00:00"/>
    <n v="3096.5"/>
    <s v=""/>
    <s v=""/>
    <s v=""/>
    <s v=""/>
  </r>
  <r>
    <s v="6712518"/>
    <x v="41"/>
    <x v="176"/>
    <s v="18.901.234/0001-78"/>
    <x v="1"/>
    <s v="MATERIAL D"/>
    <n v="7567"/>
    <s v="1+2"/>
    <d v="2024-03-02T00:00:00"/>
    <n v="2522.3333333333335"/>
    <d v="2024-03-31T00:00:00"/>
    <n v="2522.3333333333335"/>
    <d v="2024-04-15T00:00:00"/>
    <n v="2522.3333333333326"/>
    <s v=""/>
    <s v=""/>
  </r>
  <r>
    <s v="52767"/>
    <x v="32"/>
    <x v="133"/>
    <s v="87.890.123/0001-01"/>
    <x v="0"/>
    <s v="Factoring Fee"/>
    <n v="874"/>
    <s v="1+2"/>
    <d v="2024-05-19T00:00:00"/>
    <n v="291.33333333333331"/>
    <d v="2024-06-17T00:00:00"/>
    <n v="291.33333333333331"/>
    <d v="2024-07-02T00:00:00"/>
    <n v="291.33333333333343"/>
    <s v=""/>
    <s v=""/>
  </r>
  <r>
    <s v="6109247"/>
    <x v="43"/>
    <x v="53"/>
    <s v="64.567.890/0001-90"/>
    <x v="0"/>
    <s v="Pagamentos ADMs"/>
    <n v="8293"/>
    <s v="1+1"/>
    <d v="2024-05-30T00:00:00"/>
    <n v="4146.5"/>
    <d v="2024-06-28T00:00:00"/>
    <n v="4146.5"/>
    <s v=""/>
    <s v=""/>
    <s v=""/>
    <s v=""/>
  </r>
  <r>
    <s v="743206"/>
    <x v="23"/>
    <x v="177"/>
    <s v="77.890.123/0001-01"/>
    <x v="0"/>
    <s v="Impostos"/>
    <n v="6745"/>
    <s v="1+2"/>
    <d v="2024-06-17T00:00:00"/>
    <n v="2248.3333333333335"/>
    <d v="2024-07-16T00:00:00"/>
    <n v="2248.3333333333335"/>
    <d v="2024-07-31T00:00:00"/>
    <n v="2248.3333333333326"/>
    <s v=""/>
    <s v=""/>
  </r>
  <r>
    <s v="1672150"/>
    <x v="0"/>
    <x v="178"/>
    <s v="45.678.901/0001-67"/>
    <x v="0"/>
    <s v="Factoring Fee"/>
    <n v="3455"/>
    <s v="1+3"/>
    <d v="2024-05-28T00:00:00"/>
    <n v="863.75"/>
    <d v="2024-05-27T00:00:00"/>
    <n v="863.75"/>
    <d v="2024-07-11T00:00:00"/>
    <n v="863.75"/>
    <d v="2024-07-26T00:00:00"/>
    <n v="863.75"/>
  </r>
  <r>
    <s v="2412331"/>
    <x v="14"/>
    <x v="15"/>
    <s v="86.789.012/0001-34"/>
    <x v="1"/>
    <s v="MATERIAL E"/>
    <n v="7979"/>
    <s v="1+2"/>
    <d v="2023-10-13T00:00:00"/>
    <n v="2659.6666666666665"/>
    <d v="2023-11-11T00:00:00"/>
    <n v="2659.6666666666665"/>
    <d v="2023-11-26T00:00:00"/>
    <n v="2659.6666666666674"/>
    <s v=""/>
    <s v=""/>
  </r>
  <r>
    <s v="13144219"/>
    <x v="4"/>
    <x v="179"/>
    <s v="89.012.345/0001-45"/>
    <x v="1"/>
    <s v="MATERIAL A"/>
    <n v="8660"/>
    <s v="A VISTA"/>
    <d v="2023-06-30T00:00:00"/>
    <n v="8660"/>
    <s v=""/>
    <s v=""/>
    <s v=""/>
    <s v=""/>
    <s v=""/>
    <s v=""/>
  </r>
  <r>
    <s v="5711428"/>
    <x v="35"/>
    <x v="180"/>
    <s v="29.012.345/0001-45"/>
    <x v="1"/>
    <s v="MATERIAL B"/>
    <n v="7962"/>
    <s v="1+2"/>
    <d v="2023-07-27T00:00:00"/>
    <n v="2654"/>
    <d v="2023-08-25T00:00:00"/>
    <n v="2654"/>
    <d v="2023-09-09T00:00:00"/>
    <n v="2654"/>
    <s v=""/>
    <s v=""/>
  </r>
  <r>
    <s v="726943"/>
    <x v="47"/>
    <x v="181"/>
    <s v="07.890.123/0001-01"/>
    <x v="1"/>
    <s v="MATERIAL E"/>
    <n v="9511"/>
    <s v="A VISTA"/>
    <d v="2023-08-11T00:00:00"/>
    <n v="9511"/>
    <s v=""/>
    <s v=""/>
    <s v=""/>
    <s v=""/>
    <s v=""/>
    <s v=""/>
  </r>
  <r>
    <s v="5350202"/>
    <x v="21"/>
    <x v="182"/>
    <s v="75.678.901/0001-67"/>
    <x v="2"/>
    <s v="EXTRAVIADO"/>
    <n v="8511"/>
    <s v="A VISTA"/>
    <d v="2023-09-11T00:00:00"/>
    <n v="8511"/>
    <s v=""/>
    <s v=""/>
    <s v=""/>
    <s v=""/>
    <s v=""/>
    <s v=""/>
  </r>
  <r>
    <s v="1864118"/>
    <x v="26"/>
    <x v="165"/>
    <s v="78.901.234/0001-78"/>
    <x v="1"/>
    <s v="MATERIAL B"/>
    <n v="8691"/>
    <s v="1+3"/>
    <d v="2024-05-25T00:00:00"/>
    <n v="2172.75"/>
    <d v="2024-05-24T00:00:00"/>
    <n v="2172.75"/>
    <d v="2024-07-08T00:00:00"/>
    <n v="2172.75"/>
    <d v="2024-07-23T00:00:00"/>
    <n v="2172.75"/>
  </r>
  <r>
    <s v="232162"/>
    <x v="13"/>
    <x v="143"/>
    <s v="10.123.456/0001-12"/>
    <x v="1"/>
    <s v="MATERIAL A"/>
    <n v="7016"/>
    <s v="1+3"/>
    <d v="2024-03-06T00:00:00"/>
    <n v="1754"/>
    <d v="2024-03-05T00:00:00"/>
    <n v="1754"/>
    <d v="2024-04-19T00:00:00"/>
    <n v="1754"/>
    <d v="2024-05-04T00:00:00"/>
    <n v="1754"/>
  </r>
  <r>
    <s v="1114574"/>
    <x v="47"/>
    <x v="92"/>
    <s v="07.890.123/0001-01"/>
    <x v="1"/>
    <s v="MATERIAL E"/>
    <n v="2432"/>
    <s v="A VISTA"/>
    <d v="2023-07-09T00:00:00"/>
    <n v="2432"/>
    <s v=""/>
    <s v=""/>
    <s v=""/>
    <s v=""/>
    <s v=""/>
    <s v=""/>
  </r>
  <r>
    <s v="4143216"/>
    <x v="2"/>
    <x v="183"/>
    <s v="99.012.345/0001-45"/>
    <x v="1"/>
    <s v="MATERIAL B"/>
    <n v="7988"/>
    <s v="1+3"/>
    <d v="2023-07-14T00:00:00"/>
    <n v="1997"/>
    <d v="2023-07-13T00:00:00"/>
    <n v="1997"/>
    <d v="2023-08-27T00:00:00"/>
    <n v="1997"/>
    <d v="2023-09-11T00:00:00"/>
    <n v="1997"/>
  </r>
  <r>
    <s v="4110676"/>
    <x v="23"/>
    <x v="184"/>
    <s v="77.890.123/0001-01"/>
    <x v="0"/>
    <s v="Impostos"/>
    <n v="5810"/>
    <s v="1+2"/>
    <d v="2024-03-24T00:00:00"/>
    <n v="1936.6666666666667"/>
    <d v="2024-04-22T00:00:00"/>
    <n v="1936.6666666666667"/>
    <d v="2024-05-07T00:00:00"/>
    <n v="1936.6666666666663"/>
    <s v=""/>
    <s v=""/>
  </r>
  <r>
    <s v="2128125"/>
    <x v="47"/>
    <x v="185"/>
    <s v="07.890.123/0001-01"/>
    <x v="1"/>
    <s v="MATERIAL E"/>
    <n v="4750"/>
    <s v="A VISTA"/>
    <d v="2023-05-10T00:00:00"/>
    <n v="4750"/>
    <s v=""/>
    <s v=""/>
    <s v=""/>
    <s v=""/>
    <s v=""/>
    <s v=""/>
  </r>
  <r>
    <s v="40149178"/>
    <x v="38"/>
    <x v="74"/>
    <s v="63.456.789/0001-23"/>
    <x v="0"/>
    <s v="Consultoria"/>
    <n v="5572"/>
    <s v="1+1"/>
    <d v="2023-08-30T00:00:00"/>
    <n v="2786"/>
    <d v="2023-09-28T00:00:00"/>
    <n v="2786"/>
    <s v=""/>
    <s v=""/>
    <s v=""/>
    <s v=""/>
  </r>
  <r>
    <s v="3712757"/>
    <x v="26"/>
    <x v="52"/>
    <s v="78.901.234/0001-78"/>
    <x v="1"/>
    <s v="MATERIAL B"/>
    <n v="2758"/>
    <s v="1+1"/>
    <d v="2023-12-25T00:00:00"/>
    <n v="1379"/>
    <d v="2024-01-23T00:00:00"/>
    <n v="1379"/>
    <s v=""/>
    <s v=""/>
    <s v=""/>
    <s v=""/>
  </r>
  <r>
    <s v="7103160"/>
    <x v="41"/>
    <x v="186"/>
    <s v="18.901.234/0001-78"/>
    <x v="1"/>
    <s v="MATERIAL D"/>
    <n v="5783"/>
    <s v="1+2"/>
    <d v="2024-08-23T00:00:00"/>
    <n v="1927.6666666666667"/>
    <d v="2024-09-21T00:00:00"/>
    <n v="1927.6666666666667"/>
    <d v="2024-10-06T00:00:00"/>
    <n v="1927.6666666666663"/>
    <s v=""/>
    <s v=""/>
  </r>
  <r>
    <s v="297967"/>
    <x v="41"/>
    <x v="187"/>
    <s v="18.901.234/0001-78"/>
    <x v="1"/>
    <s v="MATERIAL D"/>
    <n v="1013"/>
    <s v="A VISTA"/>
    <d v="2023-12-01T00:00:00"/>
    <n v="1013"/>
    <s v=""/>
    <s v=""/>
    <s v=""/>
    <s v=""/>
    <s v=""/>
    <s v=""/>
  </r>
  <r>
    <s v="30102206"/>
    <x v="26"/>
    <x v="188"/>
    <s v="78.901.234/0001-78"/>
    <x v="1"/>
    <s v="MATERIAL B"/>
    <n v="1296"/>
    <s v="1+2"/>
    <d v="2023-09-13T00:00:00"/>
    <n v="432"/>
    <d v="2023-10-12T00:00:00"/>
    <n v="432"/>
    <d v="2023-10-27T00:00:00"/>
    <n v="432"/>
    <s v=""/>
    <s v=""/>
  </r>
  <r>
    <s v="2490245"/>
    <x v="41"/>
    <x v="180"/>
    <s v="18.901.234/0001-78"/>
    <x v="1"/>
    <s v="MATERIAL D"/>
    <n v="3437"/>
    <s v="1+3"/>
    <d v="2023-07-27T00:00:00"/>
    <n v="859.25"/>
    <d v="2023-07-26T00:00:00"/>
    <n v="859.25"/>
    <d v="2023-09-09T00:00:00"/>
    <n v="859.25"/>
    <d v="2023-09-24T00:00:00"/>
    <n v="859.25"/>
  </r>
  <r>
    <s v="121323"/>
    <x v="10"/>
    <x v="189"/>
    <s v="22.345.678/0001-56"/>
    <x v="0"/>
    <s v="Pagamentos ADMs"/>
    <n v="4535"/>
    <s v="1+2"/>
    <d v="2024-02-27T00:00:00"/>
    <n v="1511.6666666666667"/>
    <d v="2024-03-27T00:00:00"/>
    <n v="1511.6666666666667"/>
    <d v="2024-04-11T00:00:00"/>
    <n v="1511.6666666666663"/>
    <s v=""/>
    <s v=""/>
  </r>
  <r>
    <s v="346752"/>
    <x v="10"/>
    <x v="190"/>
    <s v="22.345.678/0001-56"/>
    <x v="0"/>
    <s v="Pagamentos ADMs"/>
    <n v="6258"/>
    <s v="1+2"/>
    <d v="2023-06-14T00:00:00"/>
    <n v="2086"/>
    <d v="2023-07-13T00:00:00"/>
    <n v="2086"/>
    <d v="2023-07-28T00:00:00"/>
    <n v="2086"/>
    <s v=""/>
    <s v=""/>
  </r>
  <r>
    <s v="413053"/>
    <x v="33"/>
    <x v="191"/>
    <s v="42.345.678/0001-56"/>
    <x v="0"/>
    <s v="Consultoria"/>
    <n v="9865"/>
    <s v="1+2"/>
    <d v="2024-06-21T00:00:00"/>
    <n v="3288.3333333333335"/>
    <d v="2024-07-20T00:00:00"/>
    <n v="3288.3333333333335"/>
    <d v="2024-08-04T00:00:00"/>
    <n v="3288.3333333333326"/>
    <s v=""/>
    <s v=""/>
  </r>
  <r>
    <s v="318786"/>
    <x v="16"/>
    <x v="192"/>
    <s v="66.789.012/0001-34"/>
    <x v="0"/>
    <s v="Factoring Fee"/>
    <n v="3344"/>
    <s v="1+1"/>
    <d v="2023-12-08T00:00:00"/>
    <n v="1672"/>
    <d v="2024-01-06T00:00:00"/>
    <n v="1672"/>
    <s v=""/>
    <s v=""/>
    <s v=""/>
    <s v=""/>
  </r>
  <r>
    <s v="197522"/>
    <x v="46"/>
    <x v="73"/>
    <s v="44.567.890/0001-90"/>
    <x v="1"/>
    <s v="MATERIAL E"/>
    <n v="3488"/>
    <s v="1+3"/>
    <d v="2023-10-01T00:00:00"/>
    <n v="872"/>
    <d v="2023-09-30T00:00:00"/>
    <n v="872"/>
    <d v="2023-11-14T00:00:00"/>
    <n v="872"/>
    <d v="2023-11-29T00:00:00"/>
    <n v="872"/>
  </r>
  <r>
    <s v="20111207"/>
    <x v="11"/>
    <x v="193"/>
    <s v="52.345.678/0001-56"/>
    <x v="1"/>
    <s v="MATERIAL A"/>
    <n v="6517"/>
    <s v="1+3"/>
    <d v="2024-03-18T00:00:00"/>
    <n v="1629.25"/>
    <d v="2024-03-17T00:00:00"/>
    <n v="1629.25"/>
    <d v="2024-05-01T00:00:00"/>
    <n v="1629.25"/>
    <d v="2024-05-16T00:00:00"/>
    <n v="1629.25"/>
  </r>
  <r>
    <s v="5511239"/>
    <x v="31"/>
    <x v="194"/>
    <s v="23.456.789/0001-23"/>
    <x v="1"/>
    <s v="MATERIAL E"/>
    <n v="4114"/>
    <s v="1+2"/>
    <d v="2024-04-19T00:00:00"/>
    <n v="1371.3333333333333"/>
    <d v="2024-05-18T00:00:00"/>
    <n v="1371.3333333333333"/>
    <d v="2024-06-02T00:00:00"/>
    <n v="1371.3333333333337"/>
    <s v=""/>
    <s v=""/>
  </r>
  <r>
    <s v="583817"/>
    <x v="36"/>
    <x v="195"/>
    <s v="96.789.012/0001-34"/>
    <x v="2"/>
    <s v="EXTRAVIADO"/>
    <n v="5034"/>
    <s v="A VISTA"/>
    <d v="2024-02-17T00:00:00"/>
    <n v="5034"/>
    <s v=""/>
    <s v=""/>
    <s v=""/>
    <s v=""/>
    <s v=""/>
    <s v=""/>
  </r>
  <r>
    <s v="366553"/>
    <x v="48"/>
    <x v="164"/>
    <s v="56.789.012/0001-34"/>
    <x v="0"/>
    <s v="Impostos"/>
    <n v="3245"/>
    <s v="1+3"/>
    <d v="2023-12-24T00:00:00"/>
    <n v="811.25"/>
    <d v="2023-12-23T00:00:00"/>
    <n v="811.25"/>
    <d v="2024-02-06T00:00:00"/>
    <n v="811.25"/>
    <d v="2024-02-21T00:00:00"/>
    <n v="811.25"/>
  </r>
  <r>
    <s v="769526"/>
    <x v="21"/>
    <x v="196"/>
    <s v="75.678.901/0001-67"/>
    <x v="2"/>
    <s v="EXTRAVIADO"/>
    <n v="8733"/>
    <s v="A VISTA"/>
    <d v="2024-04-30T00:00:00"/>
    <n v="8733"/>
    <s v=""/>
    <s v=""/>
    <s v=""/>
    <s v=""/>
    <s v=""/>
    <s v=""/>
  </r>
  <r>
    <s v="972539"/>
    <x v="2"/>
    <x v="39"/>
    <s v="99.012.345/0001-45"/>
    <x v="1"/>
    <s v="MATERIAL B"/>
    <n v="7791"/>
    <s v="1+2"/>
    <d v="2024-01-02T00:00:00"/>
    <n v="2597"/>
    <d v="2024-01-31T00:00:00"/>
    <n v="2597"/>
    <d v="2024-02-15T00:00:00"/>
    <n v="2597"/>
    <s v=""/>
    <s v=""/>
  </r>
  <r>
    <s v="8451156"/>
    <x v="39"/>
    <x v="85"/>
    <s v="90.123.456/0001-12"/>
    <x v="0"/>
    <s v="Consultoria"/>
    <n v="7219"/>
    <s v="1+2"/>
    <d v="2024-01-19T00:00:00"/>
    <n v="2406.3333333333335"/>
    <d v="2024-02-17T00:00:00"/>
    <n v="2406.3333333333335"/>
    <d v="2024-03-03T00:00:00"/>
    <n v="2406.3333333333326"/>
    <s v=""/>
    <s v=""/>
  </r>
  <r>
    <s v="4738199"/>
    <x v="17"/>
    <x v="197"/>
    <s v="30.123.456/0001-12"/>
    <x v="1"/>
    <s v="MATERIAL D"/>
    <n v="8725"/>
    <s v="1+3"/>
    <d v="2024-06-10T00:00:00"/>
    <n v="2181.25"/>
    <d v="2024-06-09T00:00:00"/>
    <n v="2181.25"/>
    <d v="2024-07-24T00:00:00"/>
    <n v="2181.25"/>
    <d v="2024-08-08T00:00:00"/>
    <n v="2181.25"/>
  </r>
  <r>
    <s v="3011765"/>
    <x v="36"/>
    <x v="124"/>
    <s v="96.789.012/0001-34"/>
    <x v="2"/>
    <s v="EXTRAVIADO"/>
    <n v="4117"/>
    <s v="A VISTA"/>
    <d v="2023-10-23T00:00:00"/>
    <n v="4117"/>
    <s v=""/>
    <s v=""/>
    <s v=""/>
    <s v=""/>
    <s v=""/>
    <s v=""/>
  </r>
  <r>
    <s v="803266"/>
    <x v="0"/>
    <x v="67"/>
    <s v="45.678.901/0001-67"/>
    <x v="0"/>
    <s v="Factoring Fee"/>
    <n v="3894"/>
    <s v="1+1"/>
    <d v="2023-10-26T00:00:00"/>
    <n v="1947"/>
    <d v="2023-11-24T00:00:00"/>
    <n v="1947"/>
    <s v=""/>
    <s v=""/>
    <s v=""/>
    <s v=""/>
  </r>
  <r>
    <s v="5512918"/>
    <x v="40"/>
    <x v="193"/>
    <s v="12.345.678/0001-56"/>
    <x v="2"/>
    <s v="EXTRAVIADO"/>
    <n v="8800"/>
    <s v="A VISTA"/>
    <d v="2024-03-18T00:00:00"/>
    <n v="8800"/>
    <s v=""/>
    <s v=""/>
    <s v=""/>
    <s v=""/>
    <s v=""/>
    <s v=""/>
  </r>
  <r>
    <s v="818167"/>
    <x v="1"/>
    <x v="61"/>
    <s v="32.345.678/0001-56"/>
    <x v="1"/>
    <s v="MATERIAL C"/>
    <n v="6917"/>
    <s v="1+2"/>
    <d v="2023-10-10T00:00:00"/>
    <n v="2305.6666666666665"/>
    <d v="2023-11-08T00:00:00"/>
    <n v="2305.6666666666665"/>
    <d v="2023-11-23T00:00:00"/>
    <n v="2305.6666666666674"/>
    <s v=""/>
    <s v=""/>
  </r>
  <r>
    <s v="82107185"/>
    <x v="29"/>
    <x v="198"/>
    <s v="01.234.567/0001-89"/>
    <x v="0"/>
    <s v="Pagamentos ADMs"/>
    <n v="7098"/>
    <s v="1+1"/>
    <d v="2024-09-03T00:00:00"/>
    <n v="3549"/>
    <d v="2024-10-02T00:00:00"/>
    <n v="3549"/>
    <s v=""/>
    <s v=""/>
    <s v=""/>
    <s v=""/>
  </r>
  <r>
    <s v="783100"/>
    <x v="39"/>
    <x v="199"/>
    <s v="90.123.456/0001-12"/>
    <x v="0"/>
    <s v="Consultoria"/>
    <n v="7136"/>
    <s v="1+1"/>
    <d v="2024-04-14T00:00:00"/>
    <n v="3568"/>
    <d v="2024-05-13T00:00:00"/>
    <n v="3568"/>
    <s v=""/>
    <s v=""/>
    <s v=""/>
    <s v=""/>
  </r>
  <r>
    <s v="7828186"/>
    <x v="42"/>
    <x v="180"/>
    <s v="31.234.567/0001-89"/>
    <x v="1"/>
    <s v="MATERIAL A"/>
    <n v="9829"/>
    <s v="1+3"/>
    <d v="2023-07-27T00:00:00"/>
    <n v="2457.25"/>
    <d v="2023-07-26T00:00:00"/>
    <n v="2457.25"/>
    <d v="2023-09-09T00:00:00"/>
    <n v="2457.25"/>
    <d v="2023-09-24T00:00:00"/>
    <n v="2457.25"/>
  </r>
  <r>
    <s v="764295"/>
    <x v="17"/>
    <x v="200"/>
    <s v="30.123.456/0001-12"/>
    <x v="1"/>
    <s v="MATERIAL D"/>
    <n v="3126"/>
    <s v="A VISTA"/>
    <d v="2024-06-06T00:00:00"/>
    <n v="3126"/>
    <s v=""/>
    <s v=""/>
    <s v=""/>
    <s v=""/>
    <s v=""/>
    <s v=""/>
  </r>
  <r>
    <s v="26120222"/>
    <x v="16"/>
    <x v="162"/>
    <s v="66.789.012/0001-34"/>
    <x v="0"/>
    <s v="Factoring Fee"/>
    <n v="567"/>
    <s v="1+2"/>
    <d v="2024-07-02T00:00:00"/>
    <n v="189"/>
    <d v="2024-07-31T00:00:00"/>
    <n v="189"/>
    <d v="2024-08-15T00:00:00"/>
    <n v="189"/>
    <s v=""/>
    <s v=""/>
  </r>
  <r>
    <s v="38144173"/>
    <x v="23"/>
    <x v="201"/>
    <s v="77.890.123/0001-01"/>
    <x v="0"/>
    <s v="Impostos"/>
    <n v="6718"/>
    <s v="1+1"/>
    <d v="2023-07-28T00:00:00"/>
    <n v="3359"/>
    <d v="2023-08-26T00:00:00"/>
    <n v="3359"/>
    <s v=""/>
    <s v=""/>
    <s v=""/>
    <s v=""/>
  </r>
  <r>
    <s v="2011895"/>
    <x v="25"/>
    <x v="202"/>
    <s v="41.234.567/0001-89"/>
    <x v="1"/>
    <s v="MATERIAL B"/>
    <n v="2248"/>
    <s v="1+3"/>
    <d v="2024-04-11T00:00:00"/>
    <n v="562"/>
    <d v="2024-04-10T00:00:00"/>
    <n v="562"/>
    <d v="2024-05-25T00:00:00"/>
    <n v="562"/>
    <d v="2024-06-09T00:00:00"/>
    <n v="562"/>
  </r>
  <r>
    <s v="54137150"/>
    <x v="1"/>
    <x v="106"/>
    <s v="32.345.678/0001-56"/>
    <x v="1"/>
    <s v="MATERIAL C"/>
    <n v="1279"/>
    <s v="1+1"/>
    <d v="2024-02-21T00:00:00"/>
    <n v="639.5"/>
    <d v="2024-03-21T00:00:00"/>
    <n v="639.5"/>
    <s v=""/>
    <s v=""/>
    <s v=""/>
    <s v=""/>
  </r>
  <r>
    <s v="5110046"/>
    <x v="21"/>
    <x v="138"/>
    <s v="75.678.901/0001-67"/>
    <x v="2"/>
    <s v="EXTRAVIADO"/>
    <n v="5377"/>
    <s v="A VISTA"/>
    <d v="2023-10-08T00:00:00"/>
    <n v="5377"/>
    <s v=""/>
    <s v=""/>
    <s v=""/>
    <s v=""/>
    <s v=""/>
    <s v=""/>
  </r>
  <r>
    <s v="24131149"/>
    <x v="4"/>
    <x v="57"/>
    <s v="89.012.345/0001-45"/>
    <x v="1"/>
    <s v="MATERIAL A"/>
    <n v="8289"/>
    <s v="A VISTA"/>
    <d v="2023-10-05T00:00:00"/>
    <n v="8289"/>
    <s v=""/>
    <s v=""/>
    <s v=""/>
    <s v=""/>
    <s v=""/>
    <s v=""/>
  </r>
  <r>
    <s v="16121146"/>
    <x v="1"/>
    <x v="203"/>
    <s v="32.345.678/0001-56"/>
    <x v="1"/>
    <s v="MATERIAL C"/>
    <n v="1910"/>
    <s v="1+1"/>
    <d v="2023-08-31T00:00:00"/>
    <n v="955"/>
    <d v="2023-09-29T00:00:00"/>
    <n v="955"/>
    <s v=""/>
    <s v=""/>
    <s v=""/>
    <s v=""/>
  </r>
  <r>
    <s v="28519"/>
    <x v="29"/>
    <x v="204"/>
    <s v="01.234.567/0001-89"/>
    <x v="0"/>
    <s v="Pagamentos ADMs"/>
    <n v="5586"/>
    <s v="1+1"/>
    <d v="2024-01-10T00:00:00"/>
    <n v="2793"/>
    <d v="2024-02-08T00:00:00"/>
    <n v="2793"/>
    <s v=""/>
    <s v=""/>
    <s v=""/>
    <s v=""/>
  </r>
  <r>
    <s v="6178158"/>
    <x v="5"/>
    <x v="205"/>
    <s v="34.567.890/0001-90"/>
    <x v="2"/>
    <s v="ENVIO INCORRETO"/>
    <n v="6304"/>
    <s v="A VISTA"/>
    <d v="2024-03-27T00:00:00"/>
    <n v="6304"/>
    <s v=""/>
    <s v=""/>
    <s v=""/>
    <s v=""/>
    <s v=""/>
    <s v=""/>
  </r>
  <r>
    <s v="379725"/>
    <x v="34"/>
    <x v="187"/>
    <s v="21.234.567/0001-89"/>
    <x v="0"/>
    <s v="Consultoria"/>
    <n v="9891"/>
    <s v="1+2"/>
    <d v="2023-12-01T00:00:00"/>
    <n v="3297"/>
    <d v="2023-12-30T00:00:00"/>
    <n v="3297"/>
    <d v="2024-01-14T00:00:00"/>
    <n v="3297"/>
    <s v=""/>
    <s v=""/>
  </r>
  <r>
    <s v="7176110"/>
    <x v="44"/>
    <x v="206"/>
    <s v="74.567.890/0001-90"/>
    <x v="1"/>
    <s v="MATERIAL C"/>
    <n v="6316"/>
    <s v="1+3"/>
    <d v="2023-08-27T00:00:00"/>
    <n v="1579"/>
    <d v="2023-08-26T00:00:00"/>
    <n v="1579"/>
    <d v="2023-10-10T00:00:00"/>
    <n v="1579"/>
    <d v="2023-10-25T00:00:00"/>
    <n v="1579"/>
  </r>
  <r>
    <s v="32126101"/>
    <x v="29"/>
    <x v="207"/>
    <s v="01.234.567/0001-89"/>
    <x v="0"/>
    <s v="Pagamentos ADMs"/>
    <n v="564"/>
    <s v="1+3"/>
    <d v="2023-08-14T00:00:00"/>
    <n v="141"/>
    <d v="2023-08-13T00:00:00"/>
    <n v="141"/>
    <d v="2023-09-27T00:00:00"/>
    <n v="141"/>
    <d v="2023-10-12T00:00:00"/>
    <n v="141"/>
  </r>
  <r>
    <s v="2843217"/>
    <x v="12"/>
    <x v="146"/>
    <s v="09.012.345/0001-45"/>
    <x v="1"/>
    <s v="MATERIAL D"/>
    <n v="6948"/>
    <s v="1+2"/>
    <d v="2024-04-01T00:00:00"/>
    <n v="2316"/>
    <d v="2024-04-30T00:00:00"/>
    <n v="2316"/>
    <d v="2024-05-15T00:00:00"/>
    <n v="2316"/>
    <s v=""/>
    <s v=""/>
  </r>
  <r>
    <s v="83149247"/>
    <x v="30"/>
    <x v="208"/>
    <s v="33.456.789/0001-23"/>
    <x v="2"/>
    <s v="EXTRAVIADO"/>
    <n v="1836"/>
    <s v="A VISTA"/>
    <d v="2024-03-19T00:00:00"/>
    <n v="1836"/>
    <s v=""/>
    <s v=""/>
    <s v=""/>
    <s v=""/>
    <s v=""/>
    <s v=""/>
  </r>
  <r>
    <s v="3412106"/>
    <x v="42"/>
    <x v="91"/>
    <s v="31.234.567/0001-89"/>
    <x v="1"/>
    <s v="MATERIAL A"/>
    <n v="9553"/>
    <s v="A VISTA"/>
    <d v="2024-01-29T00:00:00"/>
    <n v="9553"/>
    <s v=""/>
    <s v=""/>
    <s v=""/>
    <s v=""/>
    <s v=""/>
    <s v=""/>
  </r>
  <r>
    <s v="332566"/>
    <x v="37"/>
    <x v="20"/>
    <s v="65.678.901/0001-67"/>
    <x v="1"/>
    <s v="MATERIAL E"/>
    <n v="7858"/>
    <s v="1+1"/>
    <d v="2023-09-01T00:00:00"/>
    <n v="3929"/>
    <d v="2023-09-30T00:00:00"/>
    <n v="3929"/>
    <s v=""/>
    <s v=""/>
    <s v=""/>
    <s v=""/>
  </r>
  <r>
    <s v="52145124"/>
    <x v="5"/>
    <x v="72"/>
    <s v="34.567.890/0001-90"/>
    <x v="2"/>
    <s v="ENVIO INCORRETO"/>
    <n v="1293"/>
    <s v="A VISTA"/>
    <d v="2023-12-13T00:00:00"/>
    <n v="1293"/>
    <s v=""/>
    <s v=""/>
    <s v=""/>
    <s v=""/>
    <s v=""/>
    <s v=""/>
  </r>
  <r>
    <s v="402273"/>
    <x v="34"/>
    <x v="114"/>
    <s v="21.234.567/0001-89"/>
    <x v="0"/>
    <s v="Consultoria"/>
    <n v="5598"/>
    <s v="1+3"/>
    <d v="2024-06-04T00:00:00"/>
    <n v="1399.5"/>
    <d v="2024-06-03T00:00:00"/>
    <n v="1399.5"/>
    <d v="2024-07-18T00:00:00"/>
    <n v="1399.5"/>
    <d v="2024-08-02T00:00:00"/>
    <n v="1399.5"/>
  </r>
  <r>
    <s v="459414"/>
    <x v="5"/>
    <x v="207"/>
    <s v="34.567.890/0001-90"/>
    <x v="2"/>
    <s v="ENVIO INCORRETO"/>
    <n v="3434"/>
    <s v="A VISTA"/>
    <d v="2023-08-14T00:00:00"/>
    <n v="3434"/>
    <s v=""/>
    <s v=""/>
    <s v=""/>
    <s v=""/>
    <s v=""/>
    <s v=""/>
  </r>
  <r>
    <s v="8530209"/>
    <x v="7"/>
    <x v="209"/>
    <s v="67.890.123/0001-01"/>
    <x v="1"/>
    <s v="MATERIAL D"/>
    <n v="8864"/>
    <s v="1+2"/>
    <d v="2023-08-29T00:00:00"/>
    <n v="2954.6666666666665"/>
    <d v="2023-09-27T00:00:00"/>
    <n v="2954.6666666666665"/>
    <d v="2023-10-12T00:00:00"/>
    <n v="2954.6666666666674"/>
    <s v=""/>
    <s v=""/>
  </r>
  <r>
    <s v="8351175"/>
    <x v="20"/>
    <x v="118"/>
    <s v="20.123.456/0001-12"/>
    <x v="1"/>
    <s v="MATERIAL B"/>
    <n v="6331"/>
    <s v="A VISTA"/>
    <d v="2023-07-29T00:00:00"/>
    <n v="6331"/>
    <s v=""/>
    <s v=""/>
    <s v=""/>
    <s v=""/>
    <s v=""/>
    <s v=""/>
  </r>
  <r>
    <s v="302522"/>
    <x v="40"/>
    <x v="210"/>
    <s v="12.345.678/0001-56"/>
    <x v="2"/>
    <s v="EXTRAVIADO"/>
    <n v="3309"/>
    <s v="A VISTA"/>
    <d v="2023-09-07T00:00:00"/>
    <n v="3309"/>
    <s v=""/>
    <s v=""/>
    <s v=""/>
    <s v=""/>
    <s v=""/>
    <s v=""/>
  </r>
  <r>
    <s v="9913520"/>
    <x v="19"/>
    <x v="211"/>
    <s v="85.678.901/0001-67"/>
    <x v="0"/>
    <s v="Pagamentos ADMs"/>
    <n v="7742"/>
    <s v="1+2"/>
    <d v="2023-07-11T00:00:00"/>
    <n v="2580.6666666666665"/>
    <d v="2023-08-09T00:00:00"/>
    <n v="2580.6666666666665"/>
    <d v="2023-08-24T00:00:00"/>
    <n v="2580.6666666666674"/>
    <s v=""/>
    <s v=""/>
  </r>
  <r>
    <s v="1212910"/>
    <x v="19"/>
    <x v="212"/>
    <s v="85.678.901/0001-67"/>
    <x v="0"/>
    <s v="Pagamentos ADMs"/>
    <n v="8698"/>
    <s v="1+2"/>
    <d v="2023-05-06T00:00:00"/>
    <n v="2899.3333333333335"/>
    <d v="2023-06-04T00:00:00"/>
    <n v="2899.3333333333335"/>
    <d v="2023-06-19T00:00:00"/>
    <n v="2899.3333333333326"/>
    <s v=""/>
    <s v=""/>
  </r>
  <r>
    <s v="806206"/>
    <x v="47"/>
    <x v="89"/>
    <s v="07.890.123/0001-01"/>
    <x v="1"/>
    <s v="MATERIAL E"/>
    <n v="1002"/>
    <s v="1+2"/>
    <d v="2023-08-16T00:00:00"/>
    <n v="334"/>
    <d v="2023-09-14T00:00:00"/>
    <n v="334"/>
    <d v="2023-09-29T00:00:00"/>
    <n v="334"/>
    <s v=""/>
    <s v=""/>
  </r>
  <r>
    <s v="8710160"/>
    <x v="3"/>
    <x v="213"/>
    <s v="88.901.234/0001-78"/>
    <x v="1"/>
    <s v="MATERIAL D"/>
    <n v="5390"/>
    <s v="A VISTA"/>
    <d v="2024-03-05T00:00:00"/>
    <n v="5390"/>
    <s v=""/>
    <s v=""/>
    <s v=""/>
    <s v=""/>
    <s v=""/>
    <s v=""/>
  </r>
  <r>
    <s v="22146121"/>
    <x v="41"/>
    <x v="50"/>
    <s v="18.901.234/0001-78"/>
    <x v="1"/>
    <s v="MATERIAL D"/>
    <n v="8316"/>
    <s v="1+1"/>
    <d v="2023-08-21T00:00:00"/>
    <n v="4158"/>
    <d v="2023-09-19T00:00:00"/>
    <n v="4158"/>
    <s v=""/>
    <s v=""/>
    <s v=""/>
    <s v=""/>
  </r>
  <r>
    <s v="245343"/>
    <x v="5"/>
    <x v="87"/>
    <s v="34.567.890/0001-90"/>
    <x v="2"/>
    <s v="ENVIO INCORRETO"/>
    <n v="3139"/>
    <s v="A VISTA"/>
    <d v="2023-10-09T00:00:00"/>
    <n v="3139"/>
    <s v=""/>
    <s v=""/>
    <s v=""/>
    <s v=""/>
    <s v=""/>
    <s v=""/>
  </r>
  <r>
    <s v="2654155"/>
    <x v="29"/>
    <x v="214"/>
    <s v="01.234.567/0001-89"/>
    <x v="0"/>
    <s v="Pagamentos ADMs"/>
    <n v="2373"/>
    <s v="A VISTA"/>
    <d v="2023-12-15T00:00:00"/>
    <n v="2373"/>
    <s v=""/>
    <s v=""/>
    <s v=""/>
    <s v=""/>
    <s v=""/>
    <s v=""/>
  </r>
  <r>
    <s v="82134241"/>
    <x v="23"/>
    <x v="215"/>
    <s v="77.890.123/0001-01"/>
    <x v="0"/>
    <s v="Impostos"/>
    <n v="465"/>
    <s v="1+3"/>
    <d v="2023-07-08T00:00:00"/>
    <n v="116.25"/>
    <d v="2023-07-07T00:00:00"/>
    <n v="116.25"/>
    <d v="2023-08-21T00:00:00"/>
    <n v="116.25"/>
    <d v="2023-09-05T00:00:00"/>
    <n v="116.25"/>
  </r>
  <r>
    <s v="924128"/>
    <x v="46"/>
    <x v="159"/>
    <s v="44.567.890/0001-90"/>
    <x v="1"/>
    <s v="MATERIAL E"/>
    <n v="3828"/>
    <s v="1+3"/>
    <d v="2024-02-26T00:00:00"/>
    <n v="957"/>
    <d v="2024-02-25T00:00:00"/>
    <n v="957"/>
    <d v="2024-04-10T00:00:00"/>
    <n v="957"/>
    <d v="2024-04-25T00:00:00"/>
    <n v="957"/>
  </r>
  <r>
    <s v="746861"/>
    <x v="14"/>
    <x v="216"/>
    <s v="86.789.012/0001-34"/>
    <x v="1"/>
    <s v="MATERIAL E"/>
    <n v="3075"/>
    <s v="A VISTA"/>
    <d v="2024-02-16T00:00:00"/>
    <n v="3075"/>
    <s v=""/>
    <s v=""/>
    <s v=""/>
    <s v=""/>
    <s v=""/>
    <s v=""/>
  </r>
  <r>
    <s v="96106186"/>
    <x v="8"/>
    <x v="1"/>
    <s v="54.567.890/0001-90"/>
    <x v="2"/>
    <s v="EXTRAVIADO"/>
    <n v="9709"/>
    <s v="A VISTA"/>
    <d v="2024-06-23T00:00:00"/>
    <n v="9709"/>
    <s v=""/>
    <s v=""/>
    <s v=""/>
    <s v=""/>
    <s v=""/>
    <s v=""/>
  </r>
  <r>
    <s v="3080193"/>
    <x v="47"/>
    <x v="217"/>
    <s v="07.890.123/0001-01"/>
    <x v="1"/>
    <s v="MATERIAL E"/>
    <n v="6635"/>
    <s v="1+3"/>
    <d v="2023-08-05T00:00:00"/>
    <n v="1658.75"/>
    <d v="2023-08-04T00:00:00"/>
    <n v="1658.75"/>
    <d v="2023-09-18T00:00:00"/>
    <n v="1658.75"/>
    <d v="2023-10-03T00:00:00"/>
    <n v="1658.75"/>
  </r>
  <r>
    <s v="5312116"/>
    <x v="48"/>
    <x v="90"/>
    <s v="56.789.012/0001-34"/>
    <x v="0"/>
    <s v="Impostos"/>
    <n v="3765"/>
    <s v="1+2"/>
    <d v="2023-10-06T00:00:00"/>
    <n v="1255"/>
    <d v="2023-11-04T00:00:00"/>
    <n v="1255"/>
    <d v="2023-11-19T00:00:00"/>
    <n v="1255"/>
    <s v=""/>
    <s v=""/>
  </r>
  <r>
    <s v="6463139"/>
    <x v="13"/>
    <x v="218"/>
    <s v="10.123.456/0001-12"/>
    <x v="1"/>
    <s v="MATERIAL A"/>
    <n v="4503"/>
    <s v="A VISTA"/>
    <d v="2024-02-18T00:00:00"/>
    <n v="4503"/>
    <s v=""/>
    <s v=""/>
    <s v=""/>
    <s v=""/>
    <s v=""/>
    <s v=""/>
  </r>
  <r>
    <s v="12146234"/>
    <x v="44"/>
    <x v="200"/>
    <s v="74.567.890/0001-90"/>
    <x v="1"/>
    <s v="MATERIAL C"/>
    <n v="9392"/>
    <s v="1+1"/>
    <d v="2024-06-06T00:00:00"/>
    <n v="4696"/>
    <d v="2024-07-05T00:00:00"/>
    <n v="4696"/>
    <s v=""/>
    <s v=""/>
    <s v=""/>
    <s v=""/>
  </r>
  <r>
    <s v="758694"/>
    <x v="11"/>
    <x v="112"/>
    <s v="52.345.678/0001-56"/>
    <x v="1"/>
    <s v="MATERIAL A"/>
    <n v="9896"/>
    <s v="A VISTA"/>
    <d v="2024-05-14T00:00:00"/>
    <n v="9896"/>
    <s v=""/>
    <s v=""/>
    <s v=""/>
    <s v=""/>
    <s v=""/>
    <s v=""/>
  </r>
  <r>
    <s v="4128136"/>
    <x v="35"/>
    <x v="219"/>
    <s v="29.012.345/0001-45"/>
    <x v="1"/>
    <s v="MATERIAL B"/>
    <n v="1414"/>
    <s v="A VISTA"/>
    <d v="2024-04-13T00:00:00"/>
    <n v="1414"/>
    <s v=""/>
    <s v=""/>
    <s v=""/>
    <s v=""/>
    <s v=""/>
    <s v=""/>
  </r>
  <r>
    <s v="351440"/>
    <x v="12"/>
    <x v="96"/>
    <s v="09.012.345/0001-45"/>
    <x v="1"/>
    <s v="MATERIAL D"/>
    <n v="588"/>
    <s v="1+1"/>
    <d v="2024-05-16T00:00:00"/>
    <n v="294"/>
    <d v="2024-06-14T00:00:00"/>
    <n v="294"/>
    <s v=""/>
    <s v=""/>
    <s v=""/>
    <s v=""/>
  </r>
  <r>
    <s v="419914"/>
    <x v="48"/>
    <x v="153"/>
    <s v="56.789.012/0001-34"/>
    <x v="0"/>
    <s v="Impostos"/>
    <n v="1196"/>
    <s v="1+1"/>
    <d v="2024-03-20T00:00:00"/>
    <n v="598"/>
    <d v="2024-04-18T00:00:00"/>
    <n v="598"/>
    <s v=""/>
    <s v=""/>
    <s v=""/>
    <s v=""/>
  </r>
  <r>
    <s v="893021"/>
    <x v="4"/>
    <x v="220"/>
    <s v="89.012.345/0001-45"/>
    <x v="1"/>
    <s v="MATERIAL A"/>
    <n v="3763"/>
    <s v="1+1"/>
    <d v="2023-04-26T00:00:00"/>
    <n v="1881.5"/>
    <d v="2023-05-25T00:00:00"/>
    <n v="1881.5"/>
    <s v=""/>
    <s v=""/>
    <s v=""/>
    <s v=""/>
  </r>
  <r>
    <s v="325596"/>
    <x v="10"/>
    <x v="2"/>
    <s v="22.345.678/0001-56"/>
    <x v="0"/>
    <s v="Pagamentos ADMs"/>
    <n v="3158"/>
    <s v="1+3"/>
    <d v="2023-10-20T00:00:00"/>
    <n v="789.5"/>
    <d v="2023-10-19T00:00:00"/>
    <n v="789.5"/>
    <d v="2023-12-03T00:00:00"/>
    <n v="789.5"/>
    <d v="2023-12-18T00:00:00"/>
    <n v="789.5"/>
  </r>
  <r>
    <s v="6076244"/>
    <x v="43"/>
    <x v="221"/>
    <s v="64.567.890/0001-90"/>
    <x v="0"/>
    <s v="Pagamentos ADMs"/>
    <n v="805"/>
    <s v="1+2"/>
    <d v="2024-02-12T00:00:00"/>
    <n v="268.33333333333331"/>
    <d v="2024-03-12T00:00:00"/>
    <n v="268.33333333333331"/>
    <d v="2024-03-27T00:00:00"/>
    <n v="268.33333333333343"/>
    <s v=""/>
    <s v=""/>
  </r>
  <r>
    <s v="61137172"/>
    <x v="26"/>
    <x v="6"/>
    <s v="78.901.234/0001-78"/>
    <x v="1"/>
    <s v="MATERIAL B"/>
    <n v="6988"/>
    <s v="1+1"/>
    <d v="2024-06-02T00:00:00"/>
    <n v="3494"/>
    <d v="2024-07-01T00:00:00"/>
    <n v="3494"/>
    <s v=""/>
    <s v=""/>
    <s v=""/>
    <s v=""/>
  </r>
  <r>
    <s v="2769183"/>
    <x v="41"/>
    <x v="222"/>
    <s v="18.901.234/0001-78"/>
    <x v="1"/>
    <s v="MATERIAL D"/>
    <n v="826"/>
    <s v="1+2"/>
    <d v="2023-09-20T00:00:00"/>
    <n v="275.33333333333331"/>
    <d v="2023-10-19T00:00:00"/>
    <n v="275.33333333333331"/>
    <d v="2023-11-03T00:00:00"/>
    <n v="275.33333333333343"/>
    <s v=""/>
    <s v=""/>
  </r>
  <r>
    <s v="6211014"/>
    <x v="10"/>
    <x v="154"/>
    <s v="22.345.678/0001-56"/>
    <x v="0"/>
    <s v="Pagamentos ADMs"/>
    <n v="9423"/>
    <s v="1+1"/>
    <d v="2024-04-29T00:00:00"/>
    <n v="4711.5"/>
    <d v="2024-05-28T00:00:00"/>
    <n v="4711.5"/>
    <s v=""/>
    <s v=""/>
    <s v=""/>
    <s v=""/>
  </r>
  <r>
    <s v="7747226"/>
    <x v="16"/>
    <x v="223"/>
    <s v="66.789.012/0001-34"/>
    <x v="0"/>
    <s v="Factoring Fee"/>
    <n v="568"/>
    <s v="1+2"/>
    <d v="2024-09-09T00:00:00"/>
    <n v="189.33333333333334"/>
    <d v="2024-10-08T00:00:00"/>
    <n v="189.33333333333334"/>
    <d v="2024-10-23T00:00:00"/>
    <n v="189.33333333333329"/>
    <s v=""/>
    <s v=""/>
  </r>
  <r>
    <s v="252366"/>
    <x v="5"/>
    <x v="224"/>
    <s v="34.567.890/0001-90"/>
    <x v="2"/>
    <s v="ENVIO INCORRETO"/>
    <n v="684"/>
    <s v="A VISTA"/>
    <d v="2024-02-08T00:00:00"/>
    <n v="684"/>
    <s v=""/>
    <s v=""/>
    <s v=""/>
    <s v=""/>
    <s v=""/>
    <s v=""/>
  </r>
  <r>
    <s v="2568243"/>
    <x v="27"/>
    <x v="225"/>
    <s v="98.901.234/0001-78"/>
    <x v="0"/>
    <s v="Impostos"/>
    <n v="7836"/>
    <s v="A VISTA"/>
    <d v="2024-08-01T00:00:00"/>
    <n v="7836"/>
    <s v=""/>
    <s v=""/>
    <s v=""/>
    <s v=""/>
    <s v=""/>
    <s v=""/>
  </r>
  <r>
    <s v="4067108"/>
    <x v="0"/>
    <x v="226"/>
    <s v="45.678.901/0001-67"/>
    <x v="0"/>
    <s v="Factoring Fee"/>
    <n v="2027"/>
    <s v="A VISTA"/>
    <d v="2024-06-18T00:00:00"/>
    <n v="2027"/>
    <s v=""/>
    <s v=""/>
    <s v=""/>
    <s v=""/>
    <s v=""/>
    <s v=""/>
  </r>
  <r>
    <s v="20148198"/>
    <x v="36"/>
    <x v="0"/>
    <s v="96.789.012/0001-34"/>
    <x v="2"/>
    <s v="EXTRAVIADO"/>
    <n v="6089"/>
    <s v="A VISTA"/>
    <d v="2024-05-10T00:00:00"/>
    <n v="6089"/>
    <s v=""/>
    <s v=""/>
    <s v=""/>
    <s v=""/>
    <s v=""/>
    <s v=""/>
  </r>
  <r>
    <s v="96114182"/>
    <x v="13"/>
    <x v="227"/>
    <s v="10.123.456/0001-12"/>
    <x v="1"/>
    <s v="MATERIAL A"/>
    <n v="3771"/>
    <s v="1+3"/>
    <d v="2024-02-19T00:00:00"/>
    <n v="942.75"/>
    <d v="2024-02-18T00:00:00"/>
    <n v="942.75"/>
    <d v="2024-04-03T00:00:00"/>
    <n v="942.75"/>
    <d v="2024-04-18T00:00:00"/>
    <n v="942.75"/>
  </r>
  <r>
    <s v="8532115"/>
    <x v="47"/>
    <x v="228"/>
    <s v="07.890.123/0001-01"/>
    <x v="1"/>
    <s v="MATERIAL E"/>
    <n v="8695"/>
    <s v="A VISTA"/>
    <d v="2023-11-21T00:00:00"/>
    <n v="8695"/>
    <s v=""/>
    <s v=""/>
    <s v=""/>
    <s v=""/>
    <s v=""/>
    <s v=""/>
  </r>
  <r>
    <s v="144843"/>
    <x v="7"/>
    <x v="229"/>
    <s v="67.890.123/0001-01"/>
    <x v="1"/>
    <s v="MATERIAL D"/>
    <n v="3941"/>
    <s v="A VISTA"/>
    <d v="2023-10-07T00:00:00"/>
    <n v="3941"/>
    <s v=""/>
    <s v=""/>
    <s v=""/>
    <s v=""/>
    <s v=""/>
    <s v=""/>
  </r>
  <r>
    <s v="5255136"/>
    <x v="35"/>
    <x v="141"/>
    <s v="29.012.345/0001-45"/>
    <x v="1"/>
    <s v="MATERIAL B"/>
    <n v="7529"/>
    <s v="1+1"/>
    <d v="2023-07-04T00:00:00"/>
    <n v="3764.5"/>
    <d v="2023-08-02T00:00:00"/>
    <n v="3764.5"/>
    <s v=""/>
    <s v=""/>
    <s v=""/>
    <s v=""/>
  </r>
  <r>
    <s v="51123105"/>
    <x v="3"/>
    <x v="147"/>
    <s v="88.901.234/0001-78"/>
    <x v="1"/>
    <s v="MATERIAL D"/>
    <n v="3809"/>
    <s v="1+2"/>
    <d v="2023-08-19T00:00:00"/>
    <n v="1269.6666666666667"/>
    <d v="2023-09-17T00:00:00"/>
    <n v="1269.6666666666667"/>
    <d v="2023-10-02T00:00:00"/>
    <n v="1269.6666666666663"/>
    <s v=""/>
    <s v=""/>
  </r>
  <r>
    <s v="6011474"/>
    <x v="16"/>
    <x v="230"/>
    <s v="66.789.012/0001-34"/>
    <x v="0"/>
    <s v="Factoring Fee"/>
    <n v="9961"/>
    <s v="1+2"/>
    <d v="2023-11-28T00:00:00"/>
    <n v="3320.3333333333335"/>
    <d v="2023-12-27T00:00:00"/>
    <n v="3320.3333333333335"/>
    <d v="2024-01-11T00:00:00"/>
    <n v="3320.3333333333326"/>
    <s v=""/>
    <s v=""/>
  </r>
  <r>
    <s v="32134162"/>
    <x v="32"/>
    <x v="199"/>
    <s v="87.890.123/0001-01"/>
    <x v="0"/>
    <s v="Factoring Fee"/>
    <n v="3972"/>
    <s v="A VISTA"/>
    <d v="2024-04-14T00:00:00"/>
    <n v="3972"/>
    <s v=""/>
    <s v=""/>
    <s v=""/>
    <s v=""/>
    <s v=""/>
    <s v=""/>
  </r>
  <r>
    <s v="2254171"/>
    <x v="8"/>
    <x v="231"/>
    <s v="54.567.890/0001-90"/>
    <x v="2"/>
    <s v="EXTRAVIADO"/>
    <n v="4058"/>
    <s v="A VISTA"/>
    <d v="2023-05-24T00:00:00"/>
    <n v="4058"/>
    <s v=""/>
    <s v=""/>
    <s v=""/>
    <s v=""/>
    <s v=""/>
    <s v=""/>
  </r>
  <r>
    <s v="939187"/>
    <x v="39"/>
    <x v="232"/>
    <s v="90.123.456/0001-12"/>
    <x v="0"/>
    <s v="Consultoria"/>
    <n v="6809"/>
    <s v="1+2"/>
    <d v="2023-11-04T00:00:00"/>
    <n v="2269.6666666666665"/>
    <d v="2023-12-03T00:00:00"/>
    <n v="2269.6666666666665"/>
    <d v="2023-12-18T00:00:00"/>
    <n v="2269.6666666666674"/>
    <s v=""/>
    <s v=""/>
  </r>
  <r>
    <s v="4093131"/>
    <x v="48"/>
    <x v="233"/>
    <s v="56.789.012/0001-34"/>
    <x v="0"/>
    <s v="Impostos"/>
    <n v="4005"/>
    <s v="A VISTA"/>
    <d v="2023-06-03T00:00:00"/>
    <n v="4005"/>
    <s v=""/>
    <s v=""/>
    <s v=""/>
    <s v=""/>
    <s v=""/>
    <s v=""/>
  </r>
  <r>
    <s v="913332"/>
    <x v="2"/>
    <x v="159"/>
    <s v="99.012.345/0001-45"/>
    <x v="1"/>
    <s v="MATERIAL B"/>
    <n v="7997"/>
    <s v="1+2"/>
    <d v="2024-02-26T00:00:00"/>
    <n v="2665.6666666666665"/>
    <d v="2024-03-26T00:00:00"/>
    <n v="2665.6666666666665"/>
    <d v="2024-04-10T00:00:00"/>
    <n v="2665.6666666666674"/>
    <s v=""/>
    <s v=""/>
  </r>
  <r>
    <s v="2212229"/>
    <x v="11"/>
    <x v="234"/>
    <s v="52.345.678/0001-56"/>
    <x v="1"/>
    <s v="MATERIAL A"/>
    <n v="3814"/>
    <s v="1+2"/>
    <d v="2023-12-04T00:00:00"/>
    <n v="1271.3333333333333"/>
    <d v="2024-01-02T00:00:00"/>
    <n v="1271.3333333333333"/>
    <d v="2024-01-17T00:00:00"/>
    <n v="1271.3333333333337"/>
    <s v=""/>
    <s v=""/>
  </r>
  <r>
    <s v="12135177"/>
    <x v="22"/>
    <x v="203"/>
    <s v="55.678.901/0001-67"/>
    <x v="2"/>
    <s v="ENVIO INCORRETO"/>
    <n v="8017"/>
    <s v="A VISTA"/>
    <d v="2023-08-31T00:00:00"/>
    <n v="8017"/>
    <s v=""/>
    <s v=""/>
    <s v=""/>
    <s v=""/>
    <s v=""/>
    <s v=""/>
  </r>
  <r>
    <s v="511227"/>
    <x v="39"/>
    <x v="228"/>
    <s v="90.123.456/0001-12"/>
    <x v="0"/>
    <s v="Consultoria"/>
    <n v="7719"/>
    <s v="1+1"/>
    <d v="2023-11-21T00:00:00"/>
    <n v="3859.5"/>
    <d v="2023-12-20T00:00:00"/>
    <n v="3859.5"/>
    <s v=""/>
    <s v=""/>
    <s v=""/>
    <s v=""/>
  </r>
  <r>
    <s v="88125144"/>
    <x v="38"/>
    <x v="210"/>
    <s v="63.456.789/0001-23"/>
    <x v="0"/>
    <s v="Consultoria"/>
    <n v="8837"/>
    <s v="A VISTA"/>
    <d v="2023-09-07T00:00:00"/>
    <n v="8837"/>
    <s v=""/>
    <s v=""/>
    <s v=""/>
    <s v=""/>
    <s v=""/>
    <s v=""/>
  </r>
  <r>
    <s v="545512"/>
    <x v="8"/>
    <x v="215"/>
    <s v="54.567.890/0001-90"/>
    <x v="2"/>
    <s v="EXTRAVIADO"/>
    <n v="3117"/>
    <s v="A VISTA"/>
    <d v="2023-07-08T00:00:00"/>
    <n v="3117"/>
    <s v=""/>
    <s v=""/>
    <s v=""/>
    <s v=""/>
    <s v=""/>
    <s v=""/>
  </r>
  <r>
    <s v="7310572"/>
    <x v="4"/>
    <x v="98"/>
    <s v="89.012.345/0001-45"/>
    <x v="1"/>
    <s v="MATERIAL A"/>
    <n v="781"/>
    <s v="1+3"/>
    <d v="2024-01-12T00:00:00"/>
    <n v="195.25"/>
    <d v="2024-01-11T00:00:00"/>
    <n v="195.25"/>
    <d v="2024-02-25T00:00:00"/>
    <n v="195.25"/>
    <d v="2024-03-11T00:00:00"/>
    <n v="195.25"/>
  </r>
  <r>
    <s v="2179119"/>
    <x v="29"/>
    <x v="235"/>
    <s v="01.234.567/0001-89"/>
    <x v="0"/>
    <s v="Pagamentos ADMs"/>
    <n v="2684"/>
    <s v="1+1"/>
    <d v="2023-11-30T00:00:00"/>
    <n v="1342"/>
    <d v="2023-12-29T00:00:00"/>
    <n v="1342"/>
    <s v=""/>
    <s v=""/>
    <s v=""/>
    <s v=""/>
  </r>
  <r>
    <s v="8228195"/>
    <x v="20"/>
    <x v="236"/>
    <s v="20.123.456/0001-12"/>
    <x v="1"/>
    <s v="MATERIAL B"/>
    <n v="5313"/>
    <s v="1+1"/>
    <d v="2023-05-31T00:00:00"/>
    <n v="2656.5"/>
    <d v="2023-06-29T00:00:00"/>
    <n v="2656.5"/>
    <s v=""/>
    <s v=""/>
    <s v=""/>
    <s v=""/>
  </r>
  <r>
    <s v="7846137"/>
    <x v="35"/>
    <x v="70"/>
    <s v="29.012.345/0001-45"/>
    <x v="1"/>
    <s v="MATERIAL B"/>
    <n v="1085"/>
    <s v="1+2"/>
    <d v="2024-01-04T00:00:00"/>
    <n v="361.66666666666669"/>
    <d v="2024-02-02T00:00:00"/>
    <n v="361.66666666666669"/>
    <d v="2024-02-17T00:00:00"/>
    <n v="361.66666666666657"/>
    <s v=""/>
    <s v=""/>
  </r>
  <r>
    <s v="958682"/>
    <x v="37"/>
    <x v="72"/>
    <s v="65.678.901/0001-67"/>
    <x v="1"/>
    <s v="MATERIAL E"/>
    <n v="9429"/>
    <s v="1+1"/>
    <d v="2023-12-13T00:00:00"/>
    <n v="4714.5"/>
    <d v="2024-01-11T00:00:00"/>
    <n v="4714.5"/>
    <s v=""/>
    <s v=""/>
    <s v=""/>
    <s v=""/>
  </r>
  <r>
    <s v="2611058"/>
    <x v="16"/>
    <x v="91"/>
    <s v="66.789.012/0001-34"/>
    <x v="0"/>
    <s v="Factoring Fee"/>
    <n v="8504"/>
    <s v="A VISTA"/>
    <d v="2024-01-29T00:00:00"/>
    <n v="8504"/>
    <s v=""/>
    <s v=""/>
    <s v=""/>
    <s v=""/>
    <s v=""/>
    <s v=""/>
  </r>
  <r>
    <s v="1363182"/>
    <x v="28"/>
    <x v="13"/>
    <s v="76.789.012/0001-34"/>
    <x v="2"/>
    <s v="ENVIO INCORRETO"/>
    <n v="1646"/>
    <s v="A VISTA"/>
    <d v="2023-06-25T00:00:00"/>
    <n v="1646"/>
    <s v=""/>
    <s v=""/>
    <s v=""/>
    <s v=""/>
    <s v=""/>
    <s v=""/>
  </r>
  <r>
    <s v="8713131"/>
    <x v="23"/>
    <x v="237"/>
    <s v="77.890.123/0001-01"/>
    <x v="0"/>
    <s v="Impostos"/>
    <n v="7876"/>
    <s v="1+3"/>
    <d v="2023-12-28T00:00:00"/>
    <n v="1969"/>
    <d v="2023-12-27T00:00:00"/>
    <n v="1969"/>
    <d v="2024-02-10T00:00:00"/>
    <n v="1969"/>
    <d v="2024-02-25T00:00:00"/>
    <n v="1969"/>
  </r>
  <r>
    <s v="368093"/>
    <x v="3"/>
    <x v="98"/>
    <s v="88.901.234/0001-78"/>
    <x v="1"/>
    <s v="MATERIAL D"/>
    <n v="4203"/>
    <s v="1+2"/>
    <d v="2024-01-12T00:00:00"/>
    <n v="1401"/>
    <d v="2024-02-10T00:00:00"/>
    <n v="1401"/>
    <d v="2024-02-25T00:00:00"/>
    <n v="1401"/>
    <s v=""/>
    <s v=""/>
  </r>
  <r>
    <s v="80120226"/>
    <x v="2"/>
    <x v="238"/>
    <s v="99.012.345/0001-45"/>
    <x v="1"/>
    <s v="MATERIAL B"/>
    <n v="5128"/>
    <s v="A VISTA"/>
    <d v="2023-10-25T00:00:00"/>
    <n v="5128"/>
    <s v=""/>
    <s v=""/>
    <s v=""/>
    <s v=""/>
    <s v=""/>
    <s v=""/>
  </r>
  <r>
    <s v="98571"/>
    <x v="0"/>
    <x v="2"/>
    <s v="45.678.901/0001-67"/>
    <x v="0"/>
    <s v="Factoring Fee"/>
    <n v="6535"/>
    <s v="1+1"/>
    <d v="2023-10-20T00:00:00"/>
    <n v="3267.5"/>
    <d v="2023-11-18T00:00:00"/>
    <n v="3267.5"/>
    <s v=""/>
    <s v=""/>
    <s v=""/>
    <s v=""/>
  </r>
  <r>
    <s v="601372"/>
    <x v="24"/>
    <x v="16"/>
    <s v="11.234.567/0001-89"/>
    <x v="1"/>
    <s v="MATERIAL C"/>
    <n v="9749"/>
    <s v="A VISTA"/>
    <d v="2023-12-09T00:00:00"/>
    <n v="9749"/>
    <s v=""/>
    <s v=""/>
    <s v=""/>
    <s v=""/>
    <s v=""/>
    <s v=""/>
  </r>
  <r>
    <s v="1107132"/>
    <x v="6"/>
    <x v="239"/>
    <s v="08.901.234/0001-78"/>
    <x v="0"/>
    <s v="Factoring Fee"/>
    <n v="7122"/>
    <s v="1+1"/>
    <d v="2024-04-17T00:00:00"/>
    <n v="3561"/>
    <d v="2024-05-16T00:00:00"/>
    <n v="3561"/>
    <s v=""/>
    <s v=""/>
    <s v=""/>
    <s v=""/>
  </r>
  <r>
    <s v="337214"/>
    <x v="10"/>
    <x v="240"/>
    <s v="22.345.678/0001-56"/>
    <x v="0"/>
    <s v="Pagamentos ADMs"/>
    <n v="5829"/>
    <s v="1+1"/>
    <d v="2023-11-19T00:00:00"/>
    <n v="2914.5"/>
    <d v="2023-12-18T00:00:00"/>
    <n v="2914.5"/>
    <s v=""/>
    <s v=""/>
    <s v=""/>
    <s v=""/>
  </r>
  <r>
    <s v="651469"/>
    <x v="5"/>
    <x v="160"/>
    <s v="34.567.890/0001-90"/>
    <x v="2"/>
    <s v="ENVIO INCORRETO"/>
    <n v="540"/>
    <s v="A VISTA"/>
    <d v="2023-09-29T00:00:00"/>
    <n v="540"/>
    <s v=""/>
    <s v=""/>
    <s v=""/>
    <s v=""/>
    <s v=""/>
    <s v=""/>
  </r>
  <r>
    <s v="1710191"/>
    <x v="41"/>
    <x v="241"/>
    <s v="18.901.234/0001-78"/>
    <x v="1"/>
    <s v="MATERIAL D"/>
    <n v="8984"/>
    <s v="1+1"/>
    <d v="2023-09-08T00:00:00"/>
    <n v="4492"/>
    <d v="2023-10-07T00:00:00"/>
    <n v="4492"/>
    <s v=""/>
    <s v=""/>
    <s v=""/>
    <s v=""/>
  </r>
  <r>
    <s v="29113155"/>
    <x v="16"/>
    <x v="69"/>
    <s v="66.789.012/0001-34"/>
    <x v="0"/>
    <s v="Factoring Fee"/>
    <n v="6497"/>
    <s v="A VISTA"/>
    <d v="2023-10-04T00:00:00"/>
    <n v="6497"/>
    <s v=""/>
    <s v=""/>
    <s v=""/>
    <s v=""/>
    <s v=""/>
    <s v=""/>
  </r>
  <r>
    <s v="21491"/>
    <x v="29"/>
    <x v="77"/>
    <s v="01.234.567/0001-89"/>
    <x v="0"/>
    <s v="Pagamentos ADMs"/>
    <n v="758"/>
    <s v="1+1"/>
    <d v="2024-06-19T00:00:00"/>
    <n v="379"/>
    <d v="2024-07-18T00:00:00"/>
    <n v="379"/>
    <s v=""/>
    <s v=""/>
    <s v=""/>
    <s v=""/>
  </r>
  <r>
    <s v="171669"/>
    <x v="30"/>
    <x v="242"/>
    <s v="33.456.789/0001-23"/>
    <x v="2"/>
    <s v="EXTRAVIADO"/>
    <n v="4543"/>
    <s v="A VISTA"/>
    <d v="2024-03-29T00:00:00"/>
    <n v="4543"/>
    <s v=""/>
    <s v=""/>
    <s v=""/>
    <s v=""/>
    <s v=""/>
    <s v=""/>
  </r>
  <r>
    <s v="30116195"/>
    <x v="23"/>
    <x v="73"/>
    <s v="77.890.123/0001-01"/>
    <x v="0"/>
    <s v="Impostos"/>
    <n v="7578"/>
    <s v="A VISTA"/>
    <d v="2023-10-01T00:00:00"/>
    <n v="7578"/>
    <s v=""/>
    <s v=""/>
    <s v=""/>
    <s v=""/>
    <s v=""/>
    <s v=""/>
  </r>
  <r>
    <s v="78482"/>
    <x v="26"/>
    <x v="243"/>
    <s v="78.901.234/0001-78"/>
    <x v="1"/>
    <s v="MATERIAL B"/>
    <n v="4592"/>
    <s v="1+2"/>
    <d v="2023-11-14T00:00:00"/>
    <n v="1530.6666666666667"/>
    <d v="2023-12-13T00:00:00"/>
    <n v="1530.6666666666667"/>
    <d v="2023-12-28T00:00:00"/>
    <n v="1530.6666666666663"/>
    <s v=""/>
    <s v=""/>
  </r>
  <r>
    <s v="4620138"/>
    <x v="28"/>
    <x v="119"/>
    <s v="76.789.012/0001-34"/>
    <x v="2"/>
    <s v="ENVIO INCORRETO"/>
    <n v="5792"/>
    <s v="A VISTA"/>
    <d v="2023-09-15T00:00:00"/>
    <n v="5792"/>
    <s v=""/>
    <s v=""/>
    <s v=""/>
    <s v=""/>
    <s v=""/>
    <s v=""/>
  </r>
  <r>
    <s v="6938108"/>
    <x v="36"/>
    <x v="129"/>
    <s v="96.789.012/0001-34"/>
    <x v="2"/>
    <s v="EXTRAVIADO"/>
    <n v="616"/>
    <s v="A VISTA"/>
    <d v="2024-01-21T00:00:00"/>
    <n v="616"/>
    <s v=""/>
    <s v=""/>
    <s v=""/>
    <s v=""/>
    <s v=""/>
    <s v=""/>
  </r>
  <r>
    <s v="811941"/>
    <x v="39"/>
    <x v="156"/>
    <s v="90.123.456/0001-12"/>
    <x v="0"/>
    <s v="Consultoria"/>
    <n v="4140"/>
    <s v="A VISTA"/>
    <d v="2024-07-06T00:00:00"/>
    <n v="4140"/>
    <s v=""/>
    <s v=""/>
    <s v=""/>
    <s v=""/>
    <s v=""/>
    <s v=""/>
  </r>
  <r>
    <s v="951374"/>
    <x v="2"/>
    <x v="244"/>
    <s v="99.012.345/0001-45"/>
    <x v="1"/>
    <s v="MATERIAL B"/>
    <n v="9229"/>
    <s v="1+1"/>
    <d v="2023-11-23T00:00:00"/>
    <n v="4614.5"/>
    <d v="2023-12-22T00:00:00"/>
    <n v="4614.5"/>
    <s v=""/>
    <s v=""/>
    <s v=""/>
    <s v=""/>
  </r>
  <r>
    <s v="76138137"/>
    <x v="0"/>
    <x v="245"/>
    <s v="45.678.901/0001-67"/>
    <x v="0"/>
    <s v="Factoring Fee"/>
    <n v="3522"/>
    <s v="1+1"/>
    <d v="2023-05-16T00:00:00"/>
    <n v="1761"/>
    <d v="2023-06-14T00:00:00"/>
    <n v="1761"/>
    <s v=""/>
    <s v=""/>
    <s v=""/>
    <s v=""/>
  </r>
  <r>
    <s v="644256"/>
    <x v="9"/>
    <x v="246"/>
    <s v="53.456.789/0001-23"/>
    <x v="1"/>
    <s v="MATERIAL C"/>
    <n v="7682"/>
    <s v="A VISTA"/>
    <d v="2024-07-07T00:00:00"/>
    <n v="7682"/>
    <s v=""/>
    <s v=""/>
    <s v=""/>
    <s v=""/>
    <s v=""/>
    <s v=""/>
  </r>
  <r>
    <s v="1383104"/>
    <x v="43"/>
    <x v="98"/>
    <s v="64.567.890/0001-90"/>
    <x v="0"/>
    <s v="Pagamentos ADMs"/>
    <n v="1237"/>
    <s v="1+1"/>
    <d v="2024-01-12T00:00:00"/>
    <n v="618.5"/>
    <d v="2024-02-10T00:00:00"/>
    <n v="618.5"/>
    <s v=""/>
    <s v=""/>
    <s v=""/>
    <s v=""/>
  </r>
  <r>
    <s v="6151225"/>
    <x v="1"/>
    <x v="247"/>
    <s v="32.345.678/0001-56"/>
    <x v="1"/>
    <s v="MATERIAL C"/>
    <n v="6432"/>
    <s v="1+3"/>
    <d v="2024-01-23T00:00:00"/>
    <n v="1608"/>
    <d v="2024-01-22T00:00:00"/>
    <n v="1608"/>
    <d v="2024-03-07T00:00:00"/>
    <n v="1608"/>
    <d v="2024-03-22T00:00:00"/>
    <n v="1608"/>
  </r>
  <r>
    <s v="37125213"/>
    <x v="25"/>
    <x v="33"/>
    <s v="41.234.567/0001-89"/>
    <x v="1"/>
    <s v="MATERIAL B"/>
    <n v="3676"/>
    <s v="1+2"/>
    <d v="2024-03-07T00:00:00"/>
    <n v="1225.3333333333333"/>
    <d v="2024-04-05T00:00:00"/>
    <n v="1225.3333333333333"/>
    <d v="2024-04-20T00:00:00"/>
    <n v="1225.3333333333337"/>
    <s v=""/>
    <s v=""/>
  </r>
  <r>
    <s v="64120219"/>
    <x v="44"/>
    <x v="248"/>
    <s v="74.567.890/0001-90"/>
    <x v="1"/>
    <s v="MATERIAL C"/>
    <n v="2707"/>
    <s v="1+3"/>
    <d v="2024-09-16T00:00:00"/>
    <n v="676.75"/>
    <d v="2024-09-15T00:00:00"/>
    <n v="676.75"/>
    <d v="2024-10-30T00:00:00"/>
    <n v="676.75"/>
    <d v="2024-11-14T00:00:00"/>
    <n v="676.75"/>
  </r>
  <r>
    <s v="9010100"/>
    <x v="14"/>
    <x v="89"/>
    <s v="86.789.012/0001-34"/>
    <x v="1"/>
    <s v="MATERIAL E"/>
    <n v="4611"/>
    <s v="1+3"/>
    <d v="2023-08-16T00:00:00"/>
    <n v="1152.75"/>
    <d v="2023-08-15T00:00:00"/>
    <n v="1152.75"/>
    <d v="2023-09-29T00:00:00"/>
    <n v="1152.75"/>
    <d v="2023-10-14T00:00:00"/>
    <n v="1152.75"/>
  </r>
  <r>
    <s v="9674130"/>
    <x v="36"/>
    <x v="249"/>
    <s v="96.789.012/0001-34"/>
    <x v="2"/>
    <s v="EXTRAVIADO"/>
    <n v="7421"/>
    <s v="A VISTA"/>
    <d v="2024-07-31T00:00:00"/>
    <n v="7421"/>
    <s v=""/>
    <s v=""/>
    <s v=""/>
    <s v=""/>
    <s v=""/>
    <s v=""/>
  </r>
  <r>
    <s v="66176"/>
    <x v="18"/>
    <x v="63"/>
    <s v="43.456.789/0001-23"/>
    <x v="0"/>
    <s v="Pagamentos ADMs"/>
    <n v="9599"/>
    <s v="A VISTA"/>
    <d v="2023-09-26T00:00:00"/>
    <n v="9599"/>
    <s v=""/>
    <s v=""/>
    <s v=""/>
    <s v=""/>
    <s v=""/>
    <s v=""/>
  </r>
  <r>
    <s v="423255"/>
    <x v="31"/>
    <x v="105"/>
    <s v="23.456.789/0001-23"/>
    <x v="1"/>
    <s v="MATERIAL E"/>
    <n v="5255"/>
    <s v="1+1"/>
    <d v="2024-01-24T00:00:00"/>
    <n v="2627.5"/>
    <d v="2024-02-22T00:00:00"/>
    <n v="2627.5"/>
    <s v=""/>
    <s v=""/>
    <s v=""/>
    <s v=""/>
  </r>
  <r>
    <s v="8166192"/>
    <x v="18"/>
    <x v="206"/>
    <s v="43.456.789/0001-23"/>
    <x v="0"/>
    <s v="Pagamentos ADMs"/>
    <n v="3320"/>
    <s v="1+2"/>
    <d v="2023-08-27T00:00:00"/>
    <n v="1106.6666666666667"/>
    <d v="2023-09-25T00:00:00"/>
    <n v="1106.6666666666667"/>
    <d v="2023-10-10T00:00:00"/>
    <n v="1106.6666666666663"/>
    <s v=""/>
    <s v=""/>
  </r>
  <r>
    <s v="33146185"/>
    <x v="43"/>
    <x v="220"/>
    <s v="64.567.890/0001-90"/>
    <x v="0"/>
    <s v="Pagamentos ADMs"/>
    <n v="7447"/>
    <s v="A VISTA"/>
    <d v="2023-04-26T00:00:00"/>
    <n v="7447"/>
    <s v=""/>
    <s v=""/>
    <s v=""/>
    <s v=""/>
    <s v=""/>
    <s v=""/>
  </r>
  <r>
    <s v="308109"/>
    <x v="15"/>
    <x v="250"/>
    <s v="97.890.123/0001-01"/>
    <x v="2"/>
    <s v="ENVIO INCORRETO"/>
    <n v="3383"/>
    <s v="A VISTA"/>
    <d v="2024-08-13T00:00:00"/>
    <n v="3383"/>
    <s v=""/>
    <s v=""/>
    <s v=""/>
    <s v=""/>
    <s v=""/>
    <s v=""/>
  </r>
  <r>
    <s v="174957"/>
    <x v="0"/>
    <x v="91"/>
    <s v="45.678.901/0001-67"/>
    <x v="0"/>
    <s v="Factoring Fee"/>
    <n v="4137"/>
    <s v="1+3"/>
    <d v="2024-01-29T00:00:00"/>
    <n v="1034.25"/>
    <d v="2024-01-28T00:00:00"/>
    <n v="1034.25"/>
    <d v="2024-03-13T00:00:00"/>
    <n v="1034.25"/>
    <d v="2024-03-28T00:00:00"/>
    <n v="1034.25"/>
  </r>
  <r>
    <s v="1611479"/>
    <x v="48"/>
    <x v="251"/>
    <s v="56.789.012/0001-34"/>
    <x v="0"/>
    <s v="Impostos"/>
    <n v="9391"/>
    <s v="A VISTA"/>
    <d v="2023-06-19T00:00:00"/>
    <n v="9391"/>
    <s v=""/>
    <s v=""/>
    <s v=""/>
    <s v=""/>
    <s v=""/>
    <s v=""/>
  </r>
  <r>
    <s v="37146159"/>
    <x v="40"/>
    <x v="245"/>
    <s v="12.345.678/0001-56"/>
    <x v="2"/>
    <s v="EXTRAVIADO"/>
    <n v="8548"/>
    <s v="A VISTA"/>
    <d v="2023-05-16T00:00:00"/>
    <n v="8548"/>
    <s v=""/>
    <s v=""/>
    <s v=""/>
    <s v=""/>
    <s v=""/>
    <s v=""/>
  </r>
  <r>
    <s v="42111201"/>
    <x v="36"/>
    <x v="252"/>
    <s v="96.789.012/0001-34"/>
    <x v="2"/>
    <s v="EXTRAVIADO"/>
    <n v="8952"/>
    <s v="A VISTA"/>
    <d v="2023-07-16T00:00:00"/>
    <n v="8952"/>
    <s v=""/>
    <s v=""/>
    <s v=""/>
    <s v=""/>
    <s v=""/>
    <s v=""/>
  </r>
  <r>
    <s v="31144110"/>
    <x v="45"/>
    <x v="253"/>
    <s v="19.012.345/0001-45"/>
    <x v="0"/>
    <s v="Impostos"/>
    <n v="2638"/>
    <s v="1+3"/>
    <d v="2024-03-14T00:00:00"/>
    <n v="659.5"/>
    <d v="2024-03-13T00:00:00"/>
    <n v="659.5"/>
    <d v="2024-04-27T00:00:00"/>
    <n v="659.5"/>
    <d v="2024-05-12T00:00:00"/>
    <n v="659.5"/>
  </r>
  <r>
    <s v="4882105"/>
    <x v="37"/>
    <x v="2"/>
    <s v="65.678.901/0001-67"/>
    <x v="1"/>
    <s v="MATERIAL E"/>
    <n v="5176"/>
    <s v="1+1"/>
    <d v="2023-10-20T00:00:00"/>
    <n v="2588"/>
    <d v="2023-11-18T00:00:00"/>
    <n v="2588"/>
    <s v=""/>
    <s v=""/>
    <s v=""/>
    <s v=""/>
  </r>
  <r>
    <s v="76122"/>
    <x v="40"/>
    <x v="157"/>
    <s v="12.345.678/0001-56"/>
    <x v="2"/>
    <s v="EXTRAVIADO"/>
    <n v="7900"/>
    <s v="A VISTA"/>
    <d v="2023-08-08T00:00:00"/>
    <n v="7900"/>
    <s v=""/>
    <s v=""/>
    <s v=""/>
    <s v=""/>
    <s v=""/>
    <s v=""/>
  </r>
  <r>
    <s v="88127225"/>
    <x v="42"/>
    <x v="113"/>
    <s v="31.234.567/0001-89"/>
    <x v="1"/>
    <s v="MATERIAL A"/>
    <n v="7627"/>
    <s v="1+2"/>
    <d v="2023-08-22T00:00:00"/>
    <n v="2542.3333333333335"/>
    <d v="2023-09-20T00:00:00"/>
    <n v="2542.3333333333335"/>
    <d v="2023-10-05T00:00:00"/>
    <n v="2542.3333333333326"/>
    <s v=""/>
    <s v=""/>
  </r>
  <r>
    <s v="51125189"/>
    <x v="36"/>
    <x v="164"/>
    <s v="96.789.012/0001-34"/>
    <x v="2"/>
    <s v="EXTRAVIADO"/>
    <n v="1758"/>
    <s v="A VISTA"/>
    <d v="2023-12-24T00:00:00"/>
    <n v="1758"/>
    <s v=""/>
    <s v=""/>
    <s v=""/>
    <s v=""/>
    <s v=""/>
    <s v=""/>
  </r>
  <r>
    <s v="6730231"/>
    <x v="15"/>
    <x v="254"/>
    <s v="97.890.123/0001-01"/>
    <x v="2"/>
    <s v="ENVIO INCORRETO"/>
    <n v="5753"/>
    <s v="A VISTA"/>
    <d v="2024-01-07T00:00:00"/>
    <n v="5753"/>
    <s v=""/>
    <s v=""/>
    <s v=""/>
    <s v=""/>
    <s v=""/>
    <s v=""/>
  </r>
  <r>
    <s v="206214"/>
    <x v="25"/>
    <x v="239"/>
    <s v="41.234.567/0001-89"/>
    <x v="1"/>
    <s v="MATERIAL B"/>
    <n v="7056"/>
    <s v="1+2"/>
    <d v="2024-04-17T00:00:00"/>
    <n v="2352"/>
    <d v="2024-05-16T00:00:00"/>
    <n v="2352"/>
    <d v="2024-05-31T00:00:00"/>
    <n v="2352"/>
    <s v=""/>
    <s v=""/>
  </r>
  <r>
    <s v="50139145"/>
    <x v="8"/>
    <x v="255"/>
    <s v="54.567.890/0001-90"/>
    <x v="2"/>
    <s v="EXTRAVIADO"/>
    <n v="2451"/>
    <s v="A VISTA"/>
    <d v="2024-09-17T00:00:00"/>
    <n v="2451"/>
    <s v=""/>
    <s v=""/>
    <s v=""/>
    <s v=""/>
    <s v=""/>
    <s v=""/>
  </r>
  <r>
    <s v="31053"/>
    <x v="20"/>
    <x v="93"/>
    <s v="20.123.456/0001-12"/>
    <x v="1"/>
    <s v="MATERIAL B"/>
    <n v="4909"/>
    <s v="1+3"/>
    <d v="2023-12-17T00:00:00"/>
    <n v="1227.25"/>
    <d v="2023-12-16T00:00:00"/>
    <n v="1227.25"/>
    <d v="2024-01-30T00:00:00"/>
    <n v="1227.25"/>
    <d v="2024-02-14T00:00:00"/>
    <n v="1227.25"/>
  </r>
  <r>
    <s v="186928"/>
    <x v="27"/>
    <x v="204"/>
    <s v="98.901.234/0001-78"/>
    <x v="0"/>
    <s v="Impostos"/>
    <n v="443"/>
    <s v="1+2"/>
    <d v="2024-01-10T00:00:00"/>
    <n v="147.66666666666666"/>
    <d v="2024-02-08T00:00:00"/>
    <n v="147.66666666666666"/>
    <d v="2024-02-23T00:00:00"/>
    <n v="147.66666666666671"/>
    <s v=""/>
    <s v=""/>
  </r>
  <r>
    <s v="62119221"/>
    <x v="28"/>
    <x v="153"/>
    <s v="76.789.012/0001-34"/>
    <x v="2"/>
    <s v="ENVIO INCORRETO"/>
    <n v="3426"/>
    <s v="A VISTA"/>
    <d v="2024-03-20T00:00:00"/>
    <n v="3426"/>
    <s v=""/>
    <s v=""/>
    <s v=""/>
    <s v=""/>
    <s v=""/>
    <s v=""/>
  </r>
  <r>
    <s v="29936"/>
    <x v="34"/>
    <x v="57"/>
    <s v="21.234.567/0001-89"/>
    <x v="0"/>
    <s v="Consultoria"/>
    <n v="6332"/>
    <s v="1+1"/>
    <d v="2023-10-05T00:00:00"/>
    <n v="3166"/>
    <d v="2023-11-03T00:00:00"/>
    <n v="3166"/>
    <s v=""/>
    <s v=""/>
    <s v=""/>
    <s v=""/>
  </r>
  <r>
    <s v="66107125"/>
    <x v="7"/>
    <x v="256"/>
    <s v="67.890.123/0001-01"/>
    <x v="1"/>
    <s v="MATERIAL D"/>
    <n v="3681"/>
    <s v="A VISTA"/>
    <d v="2023-07-18T00:00:00"/>
    <n v="3681"/>
    <s v=""/>
    <s v=""/>
    <s v=""/>
    <s v=""/>
    <s v=""/>
    <s v=""/>
  </r>
  <r>
    <s v="7461236"/>
    <x v="41"/>
    <x v="257"/>
    <s v="18.901.234/0001-78"/>
    <x v="1"/>
    <s v="MATERIAL D"/>
    <n v="5515"/>
    <s v="1+3"/>
    <d v="2024-01-13T00:00:00"/>
    <n v="1378.75"/>
    <d v="2024-01-12T00:00:00"/>
    <n v="1378.75"/>
    <d v="2024-02-26T00:00:00"/>
    <n v="1378.75"/>
    <d v="2024-03-12T00:00:00"/>
    <n v="1378.75"/>
  </r>
  <r>
    <s v="516352"/>
    <x v="2"/>
    <x v="46"/>
    <s v="99.012.345/0001-45"/>
    <x v="1"/>
    <s v="MATERIAL B"/>
    <n v="2110"/>
    <s v="1+2"/>
    <d v="2023-12-26T00:00:00"/>
    <n v="703.33333333333337"/>
    <d v="2024-01-24T00:00:00"/>
    <n v="703.33333333333337"/>
    <d v="2024-02-08T00:00:00"/>
    <n v="703.33333333333314"/>
    <s v=""/>
    <s v=""/>
  </r>
  <r>
    <s v="72129196"/>
    <x v="23"/>
    <x v="208"/>
    <s v="77.890.123/0001-01"/>
    <x v="0"/>
    <s v="Impostos"/>
    <n v="3168"/>
    <s v="1+2"/>
    <d v="2024-03-19T00:00:00"/>
    <n v="1056"/>
    <d v="2024-04-17T00:00:00"/>
    <n v="1056"/>
    <d v="2024-05-02T00:00:00"/>
    <n v="1056"/>
    <s v=""/>
    <s v=""/>
  </r>
  <r>
    <s v="4366136"/>
    <x v="7"/>
    <x v="27"/>
    <s v="67.890.123/0001-01"/>
    <x v="1"/>
    <s v="MATERIAL D"/>
    <n v="2393"/>
    <s v="1+1"/>
    <d v="2024-01-30T00:00:00"/>
    <n v="1196.5"/>
    <d v="2024-02-28T00:00:00"/>
    <n v="1196.5"/>
    <s v=""/>
    <s v=""/>
    <s v=""/>
    <s v=""/>
  </r>
  <r>
    <s v="7613818"/>
    <x v="34"/>
    <x v="160"/>
    <s v="21.234.567/0001-89"/>
    <x v="0"/>
    <s v="Consultoria"/>
    <n v="7652"/>
    <s v="1+2"/>
    <d v="2023-09-29T00:00:00"/>
    <n v="2550.6666666666665"/>
    <d v="2023-10-28T00:00:00"/>
    <n v="2550.6666666666665"/>
    <d v="2023-11-12T00:00:00"/>
    <n v="2550.6666666666674"/>
    <s v=""/>
    <s v=""/>
  </r>
  <r>
    <s v="9578114"/>
    <x v="6"/>
    <x v="73"/>
    <s v="08.901.234/0001-78"/>
    <x v="0"/>
    <s v="Factoring Fee"/>
    <n v="4050"/>
    <s v="1+3"/>
    <d v="2023-10-01T00:00:00"/>
    <n v="1012.5"/>
    <d v="2023-09-30T00:00:00"/>
    <n v="1012.5"/>
    <d v="2023-11-14T00:00:00"/>
    <n v="1012.5"/>
    <d v="2023-11-29T00:00:00"/>
    <n v="1012.5"/>
  </r>
  <r>
    <s v="56112220"/>
    <x v="29"/>
    <x v="258"/>
    <s v="01.234.567/0001-89"/>
    <x v="0"/>
    <s v="Pagamentos ADMs"/>
    <n v="2336"/>
    <s v="1+3"/>
    <d v="2023-12-30T00:00:00"/>
    <n v="584"/>
    <d v="2023-12-29T00:00:00"/>
    <n v="584"/>
    <d v="2024-02-12T00:00:00"/>
    <n v="584"/>
    <d v="2024-02-27T00:00:00"/>
    <n v="584"/>
  </r>
  <r>
    <s v="695212"/>
    <x v="23"/>
    <x v="254"/>
    <s v="77.890.123/0001-01"/>
    <x v="0"/>
    <s v="Impostos"/>
    <n v="3078"/>
    <s v="1+1"/>
    <d v="2024-01-07T00:00:00"/>
    <n v="1539"/>
    <d v="2024-02-05T00:00:00"/>
    <n v="1539"/>
    <s v=""/>
    <s v=""/>
    <s v=""/>
    <s v=""/>
  </r>
  <r>
    <s v="1411337"/>
    <x v="27"/>
    <x v="34"/>
    <s v="98.901.234/0001-78"/>
    <x v="0"/>
    <s v="Impostos"/>
    <n v="1063"/>
    <s v="1+1"/>
    <d v="2024-04-10T00:00:00"/>
    <n v="531.5"/>
    <d v="2024-05-09T00:00:00"/>
    <n v="531.5"/>
    <s v=""/>
    <s v=""/>
    <s v=""/>
    <s v=""/>
  </r>
  <r>
    <s v="515344"/>
    <x v="40"/>
    <x v="52"/>
    <s v="12.345.678/0001-56"/>
    <x v="2"/>
    <s v="EXTRAVIADO"/>
    <n v="5061"/>
    <s v="A VISTA"/>
    <d v="2023-12-25T00:00:00"/>
    <n v="5061"/>
    <s v=""/>
    <s v=""/>
    <s v=""/>
    <s v=""/>
    <s v=""/>
    <s v=""/>
  </r>
  <r>
    <s v="233899"/>
    <x v="41"/>
    <x v="189"/>
    <s v="18.901.234/0001-78"/>
    <x v="1"/>
    <s v="MATERIAL D"/>
    <n v="4323"/>
    <s v="1+2"/>
    <d v="2024-02-27T00:00:00"/>
    <n v="1441"/>
    <d v="2024-03-27T00:00:00"/>
    <n v="1441"/>
    <d v="2024-04-11T00:00:00"/>
    <n v="1441"/>
    <s v=""/>
    <s v=""/>
  </r>
  <r>
    <s v="100133200"/>
    <x v="33"/>
    <x v="5"/>
    <s v="42.345.678/0001-56"/>
    <x v="0"/>
    <s v="Consultoria"/>
    <n v="5282"/>
    <s v="1+2"/>
    <d v="2023-09-02T00:00:00"/>
    <n v="1760.6666666666667"/>
    <d v="2023-10-01T00:00:00"/>
    <n v="1760.6666666666667"/>
    <d v="2023-10-16T00:00:00"/>
    <n v="1760.6666666666663"/>
    <s v=""/>
    <s v=""/>
  </r>
  <r>
    <s v="6443186"/>
    <x v="7"/>
    <x v="25"/>
    <s v="67.890.123/0001-01"/>
    <x v="1"/>
    <s v="MATERIAL D"/>
    <n v="2837"/>
    <s v="A VISTA"/>
    <d v="2023-08-24T00:00:00"/>
    <n v="2837"/>
    <s v=""/>
    <s v=""/>
    <s v=""/>
    <s v=""/>
    <s v=""/>
    <s v=""/>
  </r>
  <r>
    <s v="8129234"/>
    <x v="28"/>
    <x v="259"/>
    <s v="76.789.012/0001-34"/>
    <x v="2"/>
    <s v="ENVIO INCORRETO"/>
    <n v="7874"/>
    <s v="A VISTA"/>
    <d v="2024-02-11T00:00:00"/>
    <n v="7874"/>
    <s v=""/>
    <s v=""/>
    <s v=""/>
    <s v=""/>
    <s v=""/>
    <s v=""/>
  </r>
  <r>
    <s v="377330"/>
    <x v="8"/>
    <x v="260"/>
    <s v="54.567.890/0001-90"/>
    <x v="2"/>
    <s v="EXTRAVIADO"/>
    <n v="8182"/>
    <s v="A VISTA"/>
    <d v="2023-07-06T00:00:00"/>
    <n v="8182"/>
    <s v=""/>
    <s v=""/>
    <s v=""/>
    <s v=""/>
    <s v=""/>
    <s v=""/>
  </r>
  <r>
    <s v="9936137"/>
    <x v="43"/>
    <x v="169"/>
    <s v="64.567.890/0001-90"/>
    <x v="0"/>
    <s v="Pagamentos ADMs"/>
    <n v="3563"/>
    <s v="1+3"/>
    <d v="2023-08-04T00:00:00"/>
    <n v="890.75"/>
    <d v="2023-08-03T00:00:00"/>
    <n v="890.75"/>
    <d v="2023-09-17T00:00:00"/>
    <n v="890.75"/>
    <d v="2023-10-02T00:00:00"/>
    <n v="890.75"/>
  </r>
  <r>
    <s v="708050"/>
    <x v="28"/>
    <x v="106"/>
    <s v="76.789.012/0001-34"/>
    <x v="2"/>
    <s v="ENVIO INCORRETO"/>
    <n v="2295"/>
    <s v="A VISTA"/>
    <d v="2024-02-21T00:00:00"/>
    <n v="2295"/>
    <s v=""/>
    <s v=""/>
    <s v=""/>
    <s v=""/>
    <s v=""/>
    <s v=""/>
  </r>
  <r>
    <s v="5012374"/>
    <x v="22"/>
    <x v="261"/>
    <s v="55.678.901/0001-67"/>
    <x v="2"/>
    <s v="ENVIO INCORRETO"/>
    <n v="5621"/>
    <s v="A VISTA"/>
    <d v="2023-09-16T00:00:00"/>
    <n v="5621"/>
    <s v=""/>
    <s v=""/>
    <s v=""/>
    <s v=""/>
    <s v=""/>
    <s v=""/>
  </r>
  <r>
    <s v="221841"/>
    <x v="25"/>
    <x v="173"/>
    <s v="41.234.567/0001-89"/>
    <x v="1"/>
    <s v="MATERIAL B"/>
    <n v="5611"/>
    <s v="A VISTA"/>
    <d v="2024-02-13T00:00:00"/>
    <n v="5611"/>
    <s v=""/>
    <s v=""/>
    <s v=""/>
    <s v=""/>
    <s v=""/>
    <s v=""/>
  </r>
  <r>
    <s v="91143"/>
    <x v="33"/>
    <x v="262"/>
    <s v="42.345.678/0001-56"/>
    <x v="0"/>
    <s v="Consultoria"/>
    <n v="9978"/>
    <s v="1+1"/>
    <d v="2024-06-29T00:00:00"/>
    <n v="4989"/>
    <d v="2024-07-28T00:00:00"/>
    <n v="4989"/>
    <s v=""/>
    <s v=""/>
    <s v=""/>
    <s v=""/>
  </r>
  <r>
    <s v="22114169"/>
    <x v="2"/>
    <x v="263"/>
    <s v="99.012.345/0001-45"/>
    <x v="1"/>
    <s v="MATERIAL B"/>
    <n v="8750"/>
    <s v="1+1"/>
    <d v="2023-11-07T00:00:00"/>
    <n v="4375"/>
    <d v="2023-12-06T00:00:00"/>
    <n v="4375"/>
    <s v=""/>
    <s v=""/>
    <s v=""/>
    <s v=""/>
  </r>
  <r>
    <s v="2341193"/>
    <x v="17"/>
    <x v="264"/>
    <s v="30.123.456/0001-12"/>
    <x v="1"/>
    <s v="MATERIAL D"/>
    <n v="8236"/>
    <s v="1+3"/>
    <d v="2023-07-01T00:00:00"/>
    <n v="2059"/>
    <d v="2023-06-30T00:00:00"/>
    <n v="2059"/>
    <d v="2023-08-14T00:00:00"/>
    <n v="2059"/>
    <d v="2023-08-29T00:00:00"/>
    <n v="2059"/>
  </r>
  <r>
    <s v="674468"/>
    <x v="21"/>
    <x v="265"/>
    <s v="75.678.901/0001-67"/>
    <x v="2"/>
    <s v="EXTRAVIADO"/>
    <n v="1065"/>
    <s v="A VISTA"/>
    <d v="2024-01-17T00:00:00"/>
    <n v="1065"/>
    <s v=""/>
    <s v=""/>
    <s v=""/>
    <s v=""/>
    <s v=""/>
    <s v=""/>
  </r>
  <r>
    <s v="543743"/>
    <x v="40"/>
    <x v="167"/>
    <s v="12.345.678/0001-56"/>
    <x v="2"/>
    <s v="EXTRAVIADO"/>
    <n v="486"/>
    <s v="A VISTA"/>
    <d v="2024-03-21T00:00:00"/>
    <n v="486"/>
    <s v=""/>
    <s v=""/>
    <s v=""/>
    <s v=""/>
    <s v=""/>
    <s v=""/>
  </r>
  <r>
    <s v="9273149"/>
    <x v="6"/>
    <x v="266"/>
    <s v="08.901.234/0001-78"/>
    <x v="0"/>
    <s v="Factoring Fee"/>
    <n v="8422"/>
    <s v="1+1"/>
    <d v="2023-12-12T00:00:00"/>
    <n v="4211"/>
    <d v="2024-01-10T00:00:00"/>
    <n v="4211"/>
    <s v=""/>
    <s v=""/>
    <s v=""/>
    <s v=""/>
  </r>
  <r>
    <s v="705624"/>
    <x v="28"/>
    <x v="267"/>
    <s v="76.789.012/0001-34"/>
    <x v="2"/>
    <s v="ENVIO INCORRETO"/>
    <n v="5339"/>
    <s v="A VISTA"/>
    <d v="2024-05-03T00:00:00"/>
    <n v="5339"/>
    <s v=""/>
    <s v=""/>
    <s v=""/>
    <s v=""/>
    <s v=""/>
    <s v=""/>
  </r>
  <r>
    <s v="411692"/>
    <x v="14"/>
    <x v="0"/>
    <s v="86.789.012/0001-34"/>
    <x v="1"/>
    <s v="MATERIAL E"/>
    <n v="1109"/>
    <s v="A VISTA"/>
    <d v="2024-05-10T00:00:00"/>
    <n v="1109"/>
    <s v=""/>
    <s v=""/>
    <s v=""/>
    <s v=""/>
    <s v=""/>
    <s v=""/>
  </r>
  <r>
    <s v="523143"/>
    <x v="48"/>
    <x v="132"/>
    <s v="56.789.012/0001-34"/>
    <x v="0"/>
    <s v="Impostos"/>
    <n v="9579"/>
    <s v="1+1"/>
    <d v="2023-06-11T00:00:00"/>
    <n v="4789.5"/>
    <d v="2023-07-10T00:00:00"/>
    <n v="4789.5"/>
    <s v=""/>
    <s v=""/>
    <s v=""/>
    <s v=""/>
  </r>
  <r>
    <s v="845723"/>
    <x v="33"/>
    <x v="268"/>
    <s v="42.345.678/0001-56"/>
    <x v="0"/>
    <s v="Consultoria"/>
    <n v="7776"/>
    <s v="1+3"/>
    <d v="2023-11-10T00:00:00"/>
    <n v="1944"/>
    <d v="2023-11-09T00:00:00"/>
    <n v="1944"/>
    <d v="2023-12-24T00:00:00"/>
    <n v="1944"/>
    <d v="2024-01-08T00:00:00"/>
    <n v="1944"/>
  </r>
  <r>
    <s v="10091143"/>
    <x v="35"/>
    <x v="93"/>
    <s v="29.012.345/0001-45"/>
    <x v="1"/>
    <s v="MATERIAL B"/>
    <n v="2584"/>
    <s v="1+3"/>
    <d v="2023-12-17T00:00:00"/>
    <n v="646"/>
    <d v="2023-12-16T00:00:00"/>
    <n v="646"/>
    <d v="2024-01-30T00:00:00"/>
    <n v="646"/>
    <d v="2024-02-14T00:00:00"/>
    <n v="646"/>
  </r>
  <r>
    <s v="415162"/>
    <x v="20"/>
    <x v="269"/>
    <s v="20.123.456/0001-12"/>
    <x v="1"/>
    <s v="MATERIAL B"/>
    <n v="6415"/>
    <s v="1+3"/>
    <d v="2024-04-07T00:00:00"/>
    <n v="1603.75"/>
    <d v="2024-04-06T00:00:00"/>
    <n v="1603.75"/>
    <d v="2024-05-21T00:00:00"/>
    <n v="1603.75"/>
    <d v="2024-06-05T00:00:00"/>
    <n v="1603.75"/>
  </r>
  <r>
    <s v="325873"/>
    <x v="45"/>
    <x v="88"/>
    <s v="19.012.345/0001-45"/>
    <x v="0"/>
    <s v="Impostos"/>
    <n v="1976"/>
    <s v="1+3"/>
    <d v="2023-10-15T00:00:00"/>
    <n v="494"/>
    <d v="2023-10-14T00:00:00"/>
    <n v="494"/>
    <d v="2023-11-28T00:00:00"/>
    <n v="494"/>
    <d v="2023-12-13T00:00:00"/>
    <n v="494"/>
  </r>
  <r>
    <s v="1412067"/>
    <x v="11"/>
    <x v="148"/>
    <s v="52.345.678/0001-56"/>
    <x v="1"/>
    <s v="MATERIAL A"/>
    <n v="690"/>
    <s v="A VISTA"/>
    <d v="2023-11-06T00:00:00"/>
    <n v="690"/>
    <s v=""/>
    <s v=""/>
    <s v=""/>
    <s v=""/>
    <s v=""/>
    <s v=""/>
  </r>
  <r>
    <s v="9311066"/>
    <x v="11"/>
    <x v="270"/>
    <s v="52.345.678/0001-56"/>
    <x v="1"/>
    <s v="MATERIAL A"/>
    <n v="4101"/>
    <s v="A VISTA"/>
    <d v="2024-08-09T00:00:00"/>
    <n v="4101"/>
    <s v=""/>
    <s v=""/>
    <s v=""/>
    <s v=""/>
    <s v=""/>
    <s v=""/>
  </r>
  <r>
    <s v="9793167"/>
    <x v="42"/>
    <x v="175"/>
    <s v="31.234.567/0001-89"/>
    <x v="1"/>
    <s v="MATERIAL A"/>
    <n v="4789"/>
    <s v="1+1"/>
    <d v="2024-03-30T00:00:00"/>
    <n v="2394.5"/>
    <d v="2024-04-28T00:00:00"/>
    <n v="2394.5"/>
    <s v=""/>
    <s v=""/>
    <s v=""/>
    <s v=""/>
  </r>
  <r>
    <s v="431414"/>
    <x v="42"/>
    <x v="46"/>
    <s v="31.234.567/0001-89"/>
    <x v="1"/>
    <s v="MATERIAL A"/>
    <n v="6021"/>
    <s v="1+3"/>
    <d v="2023-12-26T00:00:00"/>
    <n v="1505.25"/>
    <d v="2023-12-25T00:00:00"/>
    <n v="1505.25"/>
    <d v="2024-02-08T00:00:00"/>
    <n v="1505.25"/>
    <d v="2024-02-23T00:00:00"/>
    <n v="1505.25"/>
  </r>
  <r>
    <s v="98103143"/>
    <x v="48"/>
    <x v="170"/>
    <s v="56.789.012/0001-34"/>
    <x v="0"/>
    <s v="Impostos"/>
    <n v="1410"/>
    <s v="1+1"/>
    <d v="2023-12-10T00:00:00"/>
    <n v="705"/>
    <d v="2024-01-08T00:00:00"/>
    <n v="705"/>
    <s v=""/>
    <s v=""/>
    <s v=""/>
    <s v=""/>
  </r>
  <r>
    <s v="465350"/>
    <x v="48"/>
    <x v="271"/>
    <s v="56.789.012/0001-34"/>
    <x v="0"/>
    <s v="Impostos"/>
    <n v="818"/>
    <s v="1+2"/>
    <d v="2023-09-09T00:00:00"/>
    <n v="272.66666666666669"/>
    <d v="2023-10-08T00:00:00"/>
    <n v="272.66666666666669"/>
    <d v="2023-10-23T00:00:00"/>
    <n v="272.66666666666657"/>
    <s v=""/>
    <s v=""/>
  </r>
  <r>
    <s v="835264"/>
    <x v="35"/>
    <x v="272"/>
    <s v="29.012.345/0001-45"/>
    <x v="1"/>
    <s v="MATERIAL B"/>
    <n v="1355"/>
    <s v="1+2"/>
    <d v="2023-09-21T00:00:00"/>
    <n v="451.66666666666669"/>
    <d v="2023-10-20T00:00:00"/>
    <n v="451.66666666666669"/>
    <d v="2023-11-04T00:00:00"/>
    <n v="451.66666666666657"/>
    <s v=""/>
    <s v=""/>
  </r>
  <r>
    <s v="5969219"/>
    <x v="13"/>
    <x v="236"/>
    <s v="10.123.456/0001-12"/>
    <x v="1"/>
    <s v="MATERIAL A"/>
    <n v="2689"/>
    <s v="A VISTA"/>
    <d v="2023-05-31T00:00:00"/>
    <n v="2689"/>
    <s v=""/>
    <s v=""/>
    <s v=""/>
    <s v=""/>
    <s v=""/>
    <s v=""/>
  </r>
  <r>
    <s v="6749231"/>
    <x v="17"/>
    <x v="36"/>
    <s v="30.123.456/0001-12"/>
    <x v="1"/>
    <s v="MATERIAL D"/>
    <n v="3042"/>
    <s v="1+3"/>
    <d v="2023-11-26T00:00:00"/>
    <n v="760.5"/>
    <d v="2023-11-25T00:00:00"/>
    <n v="760.5"/>
    <d v="2024-01-09T00:00:00"/>
    <n v="760.5"/>
    <d v="2024-01-24T00:00:00"/>
    <n v="760.5"/>
  </r>
  <r>
    <s v="151257"/>
    <x v="0"/>
    <x v="266"/>
    <s v="45.678.901/0001-67"/>
    <x v="0"/>
    <s v="Factoring Fee"/>
    <n v="4050"/>
    <s v="A VISTA"/>
    <d v="2023-12-12T00:00:00"/>
    <n v="4050"/>
    <s v=""/>
    <s v=""/>
    <s v=""/>
    <s v=""/>
    <s v=""/>
    <s v=""/>
  </r>
  <r>
    <s v="2892209"/>
    <x v="31"/>
    <x v="273"/>
    <s v="23.456.789/0001-23"/>
    <x v="1"/>
    <s v="MATERIAL E"/>
    <n v="3048"/>
    <s v="1+3"/>
    <d v="2023-12-21T00:00:00"/>
    <n v="762"/>
    <d v="2023-12-20T00:00:00"/>
    <n v="762"/>
    <d v="2024-02-03T00:00:00"/>
    <n v="762"/>
    <d v="2024-02-18T00:00:00"/>
    <n v="762"/>
  </r>
  <r>
    <s v="26104101"/>
    <x v="29"/>
    <x v="55"/>
    <s v="01.234.567/0001-89"/>
    <x v="0"/>
    <s v="Pagamentos ADMs"/>
    <n v="3601"/>
    <s v="A VISTA"/>
    <d v="2024-01-16T00:00:00"/>
    <n v="3601"/>
    <s v=""/>
    <s v=""/>
    <s v=""/>
    <s v=""/>
    <s v=""/>
    <s v=""/>
  </r>
  <r>
    <s v="6614986"/>
    <x v="45"/>
    <x v="43"/>
    <s v="19.012.345/0001-45"/>
    <x v="0"/>
    <s v="Impostos"/>
    <n v="2213"/>
    <s v="1+3"/>
    <d v="2023-09-10T00:00:00"/>
    <n v="553.25"/>
    <d v="2023-09-09T00:00:00"/>
    <n v="553.25"/>
    <d v="2023-10-24T00:00:00"/>
    <n v="553.25"/>
    <d v="2023-11-08T00:00:00"/>
    <n v="553.25"/>
  </r>
  <r>
    <s v="552460"/>
    <x v="30"/>
    <x v="90"/>
    <s v="33.456.789/0001-23"/>
    <x v="2"/>
    <s v="EXTRAVIADO"/>
    <n v="8007"/>
    <s v="A VISTA"/>
    <d v="2023-10-06T00:00:00"/>
    <n v="8007"/>
    <s v=""/>
    <s v=""/>
    <s v=""/>
    <s v=""/>
    <s v=""/>
    <s v=""/>
  </r>
  <r>
    <s v="2674156"/>
    <x v="17"/>
    <x v="83"/>
    <s v="30.123.456/0001-12"/>
    <x v="1"/>
    <s v="MATERIAL D"/>
    <n v="8142"/>
    <s v="1+2"/>
    <d v="2024-05-31T00:00:00"/>
    <n v="2714"/>
    <d v="2024-06-29T00:00:00"/>
    <n v="2714"/>
    <d v="2024-07-14T00:00:00"/>
    <n v="2714"/>
    <s v=""/>
    <s v=""/>
  </r>
  <r>
    <s v="523216"/>
    <x v="10"/>
    <x v="274"/>
    <s v="22.345.678/0001-56"/>
    <x v="0"/>
    <s v="Pagamentos ADMs"/>
    <n v="6611"/>
    <s v="1+2"/>
    <d v="2023-11-29T00:00:00"/>
    <n v="2203.6666666666665"/>
    <d v="2023-12-28T00:00:00"/>
    <n v="2203.6666666666665"/>
    <d v="2024-01-12T00:00:00"/>
    <n v="2203.6666666666674"/>
    <s v=""/>
    <s v=""/>
  </r>
  <r>
    <s v="9993160"/>
    <x v="6"/>
    <x v="113"/>
    <s v="08.901.234/0001-78"/>
    <x v="0"/>
    <s v="Factoring Fee"/>
    <n v="4532"/>
    <s v="1+2"/>
    <d v="2023-08-22T00:00:00"/>
    <n v="1510.6666666666667"/>
    <d v="2023-09-20T00:00:00"/>
    <n v="1510.6666666666667"/>
    <d v="2023-10-05T00:00:00"/>
    <n v="1510.6666666666663"/>
    <s v=""/>
    <s v=""/>
  </r>
  <r>
    <s v="70138149"/>
    <x v="47"/>
    <x v="275"/>
    <s v="07.890.123/0001-01"/>
    <x v="1"/>
    <s v="MATERIAL E"/>
    <n v="4881"/>
    <s v="1+2"/>
    <d v="2024-01-26T00:00:00"/>
    <n v="1627"/>
    <d v="2024-02-24T00:00:00"/>
    <n v="1627"/>
    <d v="2024-03-10T00:00:00"/>
    <n v="1627"/>
    <s v=""/>
    <s v=""/>
  </r>
  <r>
    <s v="877346"/>
    <x v="19"/>
    <x v="276"/>
    <s v="85.678.901/0001-67"/>
    <x v="0"/>
    <s v="Pagamentos ADMs"/>
    <n v="708"/>
    <s v="1+1"/>
    <d v="2024-07-12T00:00:00"/>
    <n v="354"/>
    <d v="2024-08-10T00:00:00"/>
    <n v="354"/>
    <s v=""/>
    <s v=""/>
    <s v=""/>
    <s v=""/>
  </r>
  <r>
    <s v="41124194"/>
    <x v="34"/>
    <x v="277"/>
    <s v="21.234.567/0001-89"/>
    <x v="0"/>
    <s v="Consultoria"/>
    <n v="2981"/>
    <s v="1+3"/>
    <d v="2024-03-25T00:00:00"/>
    <n v="745.25"/>
    <d v="2024-03-24T00:00:00"/>
    <n v="745.25"/>
    <d v="2024-05-08T00:00:00"/>
    <n v="745.25"/>
    <d v="2024-05-23T00:00:00"/>
    <n v="745.25"/>
  </r>
  <r>
    <s v="9117218"/>
    <x v="20"/>
    <x v="15"/>
    <s v="20.123.456/0001-12"/>
    <x v="1"/>
    <s v="MATERIAL B"/>
    <n v="5334"/>
    <s v="A VISTA"/>
    <d v="2023-10-13T00:00:00"/>
    <n v="5334"/>
    <s v=""/>
    <s v=""/>
    <s v=""/>
    <s v=""/>
    <s v=""/>
    <s v=""/>
  </r>
  <r>
    <s v="3266151"/>
    <x v="22"/>
    <x v="85"/>
    <s v="55.678.901/0001-67"/>
    <x v="2"/>
    <s v="ENVIO INCORRETO"/>
    <n v="3281"/>
    <s v="A VISTA"/>
    <d v="2024-01-19T00:00:00"/>
    <n v="3281"/>
    <s v=""/>
    <s v=""/>
    <s v=""/>
    <s v=""/>
    <s v=""/>
    <s v=""/>
  </r>
  <r>
    <s v="24128229"/>
    <x v="35"/>
    <x v="278"/>
    <s v="29.012.345/0001-45"/>
    <x v="1"/>
    <s v="MATERIAL B"/>
    <n v="7392"/>
    <s v="1+1"/>
    <d v="2023-12-22T00:00:00"/>
    <n v="3696"/>
    <d v="2024-01-20T00:00:00"/>
    <n v="3696"/>
    <s v=""/>
    <s v=""/>
    <s v=""/>
    <s v=""/>
  </r>
  <r>
    <s v="88893"/>
    <x v="25"/>
    <x v="279"/>
    <s v="41.234.567/0001-89"/>
    <x v="1"/>
    <s v="MATERIAL B"/>
    <n v="3364"/>
    <s v="1+3"/>
    <d v="2024-04-27T00:00:00"/>
    <n v="841"/>
    <d v="2024-04-26T00:00:00"/>
    <n v="841"/>
    <d v="2024-06-10T00:00:00"/>
    <n v="841"/>
    <d v="2024-06-25T00:00:00"/>
    <n v="841"/>
  </r>
  <r>
    <s v="691853"/>
    <x v="39"/>
    <x v="19"/>
    <s v="90.123.456/0001-12"/>
    <x v="0"/>
    <s v="Consultoria"/>
    <n v="870"/>
    <s v="A VISTA"/>
    <d v="2024-01-01T00:00:00"/>
    <n v="870"/>
    <s v=""/>
    <s v=""/>
    <s v=""/>
    <s v=""/>
    <s v=""/>
    <s v=""/>
  </r>
  <r>
    <s v="4781183"/>
    <x v="32"/>
    <x v="97"/>
    <s v="87.890.123/0001-01"/>
    <x v="0"/>
    <s v="Factoring Fee"/>
    <n v="5221"/>
    <s v="A VISTA"/>
    <d v="2024-07-05T00:00:00"/>
    <n v="5221"/>
    <s v=""/>
    <s v=""/>
    <s v=""/>
    <s v=""/>
    <s v=""/>
    <s v=""/>
  </r>
  <r>
    <s v="279390"/>
    <x v="29"/>
    <x v="280"/>
    <s v="01.234.567/0001-89"/>
    <x v="0"/>
    <s v="Pagamentos ADMs"/>
    <n v="8538"/>
    <s v="A VISTA"/>
    <d v="2023-10-24T00:00:00"/>
    <n v="8538"/>
    <s v=""/>
    <s v=""/>
    <s v=""/>
    <s v=""/>
    <s v=""/>
    <s v=""/>
  </r>
  <r>
    <s v="783129"/>
    <x v="40"/>
    <x v="281"/>
    <s v="12.345.678/0001-56"/>
    <x v="2"/>
    <s v="EXTRAVIADO"/>
    <n v="1688"/>
    <s v="A VISTA"/>
    <d v="2024-02-01T00:00:00"/>
    <n v="1688"/>
    <s v=""/>
    <s v=""/>
    <s v=""/>
    <s v=""/>
    <s v=""/>
    <s v=""/>
  </r>
  <r>
    <s v="5410111"/>
    <x v="9"/>
    <x v="233"/>
    <s v="53.456.789/0001-23"/>
    <x v="1"/>
    <s v="MATERIAL C"/>
    <n v="1112"/>
    <s v="1+2"/>
    <d v="2023-06-03T00:00:00"/>
    <n v="370.66666666666669"/>
    <d v="2023-07-02T00:00:00"/>
    <n v="370.66666666666669"/>
    <d v="2023-07-17T00:00:00"/>
    <n v="370.66666666666657"/>
    <s v=""/>
    <s v=""/>
  </r>
  <r>
    <s v="78113195"/>
    <x v="14"/>
    <x v="282"/>
    <s v="86.789.012/0001-34"/>
    <x v="1"/>
    <s v="MATERIAL E"/>
    <n v="8387"/>
    <s v="A VISTA"/>
    <d v="2024-01-14T00:00:00"/>
    <n v="8387"/>
    <s v=""/>
    <s v=""/>
    <s v=""/>
    <s v=""/>
    <s v=""/>
    <s v=""/>
  </r>
  <r>
    <s v="54115174"/>
    <x v="20"/>
    <x v="283"/>
    <s v="20.123.456/0001-12"/>
    <x v="1"/>
    <s v="MATERIAL B"/>
    <n v="1802"/>
    <s v="1+1"/>
    <d v="2024-01-05T00:00:00"/>
    <n v="901"/>
    <d v="2024-02-03T00:00:00"/>
    <n v="901"/>
    <s v=""/>
    <s v=""/>
    <s v=""/>
    <s v=""/>
  </r>
  <r>
    <s v="5569179"/>
    <x v="10"/>
    <x v="78"/>
    <s v="22.345.678/0001-56"/>
    <x v="0"/>
    <s v="Pagamentos ADMs"/>
    <n v="5788"/>
    <s v="1+1"/>
    <d v="2023-09-19T00:00:00"/>
    <n v="2894"/>
    <d v="2023-10-18T00:00:00"/>
    <n v="2894"/>
    <s v=""/>
    <s v=""/>
    <s v=""/>
    <s v=""/>
  </r>
  <r>
    <s v="9493176"/>
    <x v="48"/>
    <x v="284"/>
    <s v="56.789.012/0001-34"/>
    <x v="0"/>
    <s v="Impostos"/>
    <n v="5519"/>
    <s v="1+3"/>
    <d v="2023-11-25T00:00:00"/>
    <n v="1379.75"/>
    <d v="2023-11-24T00:00:00"/>
    <n v="1379.75"/>
    <d v="2024-01-08T00:00:00"/>
    <n v="1379.75"/>
    <d v="2024-01-23T00:00:00"/>
    <n v="1379.75"/>
  </r>
  <r>
    <s v="4511089"/>
    <x v="20"/>
    <x v="285"/>
    <s v="20.123.456/0001-12"/>
    <x v="1"/>
    <s v="MATERIAL B"/>
    <n v="9182"/>
    <s v="A VISTA"/>
    <d v="2023-03-22T00:00:00"/>
    <n v="9182"/>
    <s v=""/>
    <s v=""/>
    <s v=""/>
    <s v=""/>
    <s v=""/>
    <s v=""/>
  </r>
  <r>
    <s v="3775123"/>
    <x v="39"/>
    <x v="286"/>
    <s v="90.123.456/0001-12"/>
    <x v="0"/>
    <s v="Consultoria"/>
    <n v="3154"/>
    <s v="1+3"/>
    <d v="2023-09-03T00:00:00"/>
    <n v="788.5"/>
    <d v="2023-09-02T00:00:00"/>
    <n v="788.5"/>
    <d v="2023-10-17T00:00:00"/>
    <n v="788.5"/>
    <d v="2023-11-01T00:00:00"/>
    <n v="788.5"/>
  </r>
  <r>
    <s v="66621"/>
    <x v="28"/>
    <x v="287"/>
    <s v="76.789.012/0001-34"/>
    <x v="2"/>
    <s v="ENVIO INCORRETO"/>
    <n v="6164"/>
    <s v="A VISTA"/>
    <d v="2024-05-26T00:00:00"/>
    <n v="6164"/>
    <s v=""/>
    <s v=""/>
    <s v=""/>
    <s v=""/>
    <s v=""/>
    <s v=""/>
  </r>
  <r>
    <s v="8713113"/>
    <x v="7"/>
    <x v="288"/>
    <s v="67.890.123/0001-01"/>
    <x v="1"/>
    <s v="MATERIAL D"/>
    <n v="3859"/>
    <s v="A VISTA"/>
    <d v="2024-08-04T00:00:00"/>
    <n v="3859"/>
    <s v=""/>
    <s v=""/>
    <s v=""/>
    <s v=""/>
    <s v=""/>
    <s v=""/>
  </r>
  <r>
    <s v="9798240"/>
    <x v="30"/>
    <x v="154"/>
    <s v="33.456.789/0001-23"/>
    <x v="2"/>
    <s v="EXTRAVIADO"/>
    <n v="6257"/>
    <s v="A VISTA"/>
    <d v="2024-04-29T00:00:00"/>
    <n v="6257"/>
    <s v=""/>
    <s v=""/>
    <s v=""/>
    <s v=""/>
    <s v=""/>
    <s v=""/>
  </r>
  <r>
    <s v="648764"/>
    <x v="15"/>
    <x v="211"/>
    <s v="97.890.123/0001-01"/>
    <x v="2"/>
    <s v="ENVIO INCORRETO"/>
    <n v="4081"/>
    <s v="A VISTA"/>
    <d v="2023-07-11T00:00:00"/>
    <n v="4081"/>
    <s v=""/>
    <s v=""/>
    <s v=""/>
    <s v=""/>
    <s v=""/>
    <s v=""/>
  </r>
  <r>
    <s v="9692243"/>
    <x v="18"/>
    <x v="4"/>
    <s v="43.456.789/0001-23"/>
    <x v="0"/>
    <s v="Pagamentos ADMs"/>
    <n v="8508"/>
    <s v="1+1"/>
    <d v="2024-02-25T00:00:00"/>
    <n v="4254"/>
    <d v="2024-03-25T00:00:00"/>
    <n v="4254"/>
    <s v=""/>
    <s v=""/>
    <s v=""/>
    <s v=""/>
  </r>
  <r>
    <s v="788142"/>
    <x v="39"/>
    <x v="129"/>
    <s v="90.123.456/0001-12"/>
    <x v="0"/>
    <s v="Consultoria"/>
    <n v="8975"/>
    <s v="1+1"/>
    <d v="2024-01-21T00:00:00"/>
    <n v="4487.5"/>
    <d v="2024-02-19T00:00:00"/>
    <n v="4487.5"/>
    <s v=""/>
    <s v=""/>
    <s v=""/>
    <s v=""/>
  </r>
  <r>
    <s v="2623180"/>
    <x v="8"/>
    <x v="289"/>
    <s v="54.567.890/0001-90"/>
    <x v="2"/>
    <s v="EXTRAVIADO"/>
    <n v="5195"/>
    <s v="A VISTA"/>
    <d v="2024-03-28T00:00:00"/>
    <n v="5195"/>
    <s v=""/>
    <s v=""/>
    <s v=""/>
    <s v=""/>
    <s v=""/>
    <s v=""/>
  </r>
  <r>
    <s v="69126179"/>
    <x v="21"/>
    <x v="259"/>
    <s v="75.678.901/0001-67"/>
    <x v="2"/>
    <s v="EXTRAVIADO"/>
    <n v="5649"/>
    <s v="A VISTA"/>
    <d v="2024-02-11T00:00:00"/>
    <n v="5649"/>
    <s v=""/>
    <s v=""/>
    <s v=""/>
    <s v=""/>
    <s v=""/>
    <s v=""/>
  </r>
  <r>
    <s v="21111180"/>
    <x v="14"/>
    <x v="223"/>
    <s v="86.789.012/0001-34"/>
    <x v="1"/>
    <s v="MATERIAL E"/>
    <n v="527"/>
    <s v="1+2"/>
    <d v="2024-09-09T00:00:00"/>
    <n v="175.66666666666666"/>
    <d v="2024-10-08T00:00:00"/>
    <n v="175.66666666666666"/>
    <d v="2024-10-23T00:00:00"/>
    <n v="175.66666666666671"/>
    <s v=""/>
    <s v=""/>
  </r>
  <r>
    <s v="5987113"/>
    <x v="42"/>
    <x v="168"/>
    <s v="31.234.567/0001-89"/>
    <x v="1"/>
    <s v="MATERIAL A"/>
    <n v="7277"/>
    <s v="A VISTA"/>
    <d v="2024-04-23T00:00:00"/>
    <n v="7277"/>
    <s v=""/>
    <s v=""/>
    <s v=""/>
    <s v=""/>
    <s v=""/>
    <s v=""/>
  </r>
  <r>
    <s v="2912028"/>
    <x v="30"/>
    <x v="266"/>
    <s v="33.456.789/0001-23"/>
    <x v="2"/>
    <s v="EXTRAVIADO"/>
    <n v="6242"/>
    <s v="A VISTA"/>
    <d v="2023-12-12T00:00:00"/>
    <n v="6242"/>
    <s v=""/>
    <s v=""/>
    <s v=""/>
    <s v=""/>
    <s v=""/>
    <s v=""/>
  </r>
  <r>
    <s v="358144"/>
    <x v="32"/>
    <x v="99"/>
    <s v="87.890.123/0001-01"/>
    <x v="0"/>
    <s v="Factoring Fee"/>
    <n v="9670"/>
    <s v="1+1"/>
    <d v="2023-12-11T00:00:00"/>
    <n v="4835"/>
    <d v="2024-01-09T00:00:00"/>
    <n v="4835"/>
    <s v=""/>
    <s v=""/>
    <s v=""/>
    <s v=""/>
  </r>
  <r>
    <s v="96376"/>
    <x v="25"/>
    <x v="290"/>
    <s v="41.234.567/0001-89"/>
    <x v="1"/>
    <s v="MATERIAL B"/>
    <n v="2636"/>
    <s v="A VISTA"/>
    <d v="2023-10-02T00:00:00"/>
    <n v="2636"/>
    <s v=""/>
    <s v=""/>
    <s v=""/>
    <s v=""/>
    <s v=""/>
    <s v=""/>
  </r>
  <r>
    <s v="8926142"/>
    <x v="23"/>
    <x v="68"/>
    <s v="77.890.123/0001-01"/>
    <x v="0"/>
    <s v="Impostos"/>
    <n v="1670"/>
    <s v="1+3"/>
    <d v="2024-02-04T00:00:00"/>
    <n v="417.5"/>
    <d v="2024-02-03T00:00:00"/>
    <n v="417.5"/>
    <d v="2024-03-19T00:00:00"/>
    <n v="417.5"/>
    <d v="2024-04-03T00:00:00"/>
    <n v="417.5"/>
  </r>
  <r>
    <s v="877120"/>
    <x v="44"/>
    <x v="78"/>
    <s v="74.567.890/0001-90"/>
    <x v="1"/>
    <s v="MATERIAL C"/>
    <n v="1754"/>
    <s v="1+1"/>
    <d v="2023-09-19T00:00:00"/>
    <n v="877"/>
    <d v="2023-10-18T00:00:00"/>
    <n v="877"/>
    <s v=""/>
    <s v=""/>
    <s v=""/>
    <s v=""/>
  </r>
  <r>
    <s v="3812224"/>
    <x v="31"/>
    <x v="258"/>
    <s v="23.456.789/0001-23"/>
    <x v="1"/>
    <s v="MATERIAL E"/>
    <n v="1967"/>
    <s v="A VISTA"/>
    <d v="2023-12-30T00:00:00"/>
    <n v="1967"/>
    <s v=""/>
    <s v=""/>
    <s v=""/>
    <s v=""/>
    <s v=""/>
    <s v=""/>
  </r>
  <r>
    <s v="3711246"/>
    <x v="46"/>
    <x v="10"/>
    <s v="44.567.890/0001-90"/>
    <x v="1"/>
    <s v="MATERIAL E"/>
    <n v="2838"/>
    <s v="A VISTA"/>
    <d v="2024-02-22T00:00:00"/>
    <n v="2838"/>
    <s v=""/>
    <s v=""/>
    <s v=""/>
    <s v=""/>
    <s v=""/>
    <s v=""/>
  </r>
  <r>
    <s v="105897"/>
    <x v="35"/>
    <x v="291"/>
    <s v="29.012.345/0001-45"/>
    <x v="1"/>
    <s v="MATERIAL B"/>
    <n v="6251"/>
    <s v="A VISTA"/>
    <d v="2024-04-06T00:00:00"/>
    <n v="6251"/>
    <s v=""/>
    <s v=""/>
    <s v=""/>
    <s v=""/>
    <s v=""/>
    <s v=""/>
  </r>
  <r>
    <s v="61497"/>
    <x v="1"/>
    <x v="292"/>
    <s v="32.345.678/0001-56"/>
    <x v="1"/>
    <s v="MATERIAL C"/>
    <n v="8439"/>
    <s v="1+2"/>
    <d v="2024-01-11T00:00:00"/>
    <n v="2813"/>
    <d v="2024-02-09T00:00:00"/>
    <n v="2813"/>
    <d v="2024-02-24T00:00:00"/>
    <n v="2813"/>
    <s v=""/>
    <s v=""/>
  </r>
  <r>
    <s v="6414549"/>
    <x v="32"/>
    <x v="293"/>
    <s v="87.890.123/0001-01"/>
    <x v="0"/>
    <s v="Factoring Fee"/>
    <n v="8706"/>
    <s v="1+1"/>
    <d v="2024-07-01T00:00:00"/>
    <n v="4353"/>
    <d v="2024-07-30T00:00:00"/>
    <n v="4353"/>
    <s v=""/>
    <s v=""/>
    <s v=""/>
    <s v=""/>
  </r>
  <r>
    <s v="1211519"/>
    <x v="18"/>
    <x v="8"/>
    <s v="43.456.789/0001-23"/>
    <x v="0"/>
    <s v="Pagamentos ADMs"/>
    <n v="9705"/>
    <s v="A VISTA"/>
    <d v="2023-09-12T00:00:00"/>
    <n v="9705"/>
    <s v=""/>
    <s v=""/>
    <s v=""/>
    <s v=""/>
    <s v=""/>
    <s v=""/>
  </r>
  <r>
    <s v="58597"/>
    <x v="44"/>
    <x v="72"/>
    <s v="74.567.890/0001-90"/>
    <x v="1"/>
    <s v="MATERIAL C"/>
    <n v="2802"/>
    <s v="1+2"/>
    <d v="2023-12-13T00:00:00"/>
    <n v="934"/>
    <d v="2024-01-11T00:00:00"/>
    <n v="934"/>
    <d v="2024-01-26T00:00:00"/>
    <n v="934"/>
    <s v=""/>
    <s v=""/>
  </r>
  <r>
    <s v="567102"/>
    <x v="16"/>
    <x v="294"/>
    <s v="66.789.012/0001-34"/>
    <x v="0"/>
    <s v="Factoring Fee"/>
    <n v="4886"/>
    <s v="A VISTA"/>
    <d v="2024-06-13T00:00:00"/>
    <n v="4886"/>
    <s v=""/>
    <s v=""/>
    <s v=""/>
    <s v=""/>
    <s v=""/>
    <s v=""/>
  </r>
  <r>
    <s v="127655"/>
    <x v="33"/>
    <x v="295"/>
    <s v="42.345.678/0001-56"/>
    <x v="0"/>
    <s v="Consultoria"/>
    <n v="5905"/>
    <s v="A VISTA"/>
    <d v="2024-07-27T00:00:00"/>
    <n v="5905"/>
    <s v=""/>
    <s v=""/>
    <s v=""/>
    <s v=""/>
    <s v=""/>
    <s v=""/>
  </r>
  <r>
    <s v="67127212"/>
    <x v="2"/>
    <x v="261"/>
    <s v="99.012.345/0001-45"/>
    <x v="1"/>
    <s v="MATERIAL B"/>
    <n v="7209"/>
    <s v="1+3"/>
    <d v="2023-09-16T00:00:00"/>
    <n v="1802.25"/>
    <d v="2023-09-15T00:00:00"/>
    <n v="1802.25"/>
    <d v="2023-10-30T00:00:00"/>
    <n v="1802.25"/>
    <d v="2023-11-14T00:00:00"/>
    <n v="1802.25"/>
  </r>
  <r>
    <s v="306368"/>
    <x v="43"/>
    <x v="296"/>
    <s v="64.567.890/0001-90"/>
    <x v="0"/>
    <s v="Pagamentos ADMs"/>
    <n v="9939"/>
    <s v="1+3"/>
    <d v="2023-11-13T00:00:00"/>
    <n v="2484.75"/>
    <d v="2023-11-12T00:00:00"/>
    <n v="2484.75"/>
    <d v="2023-12-27T00:00:00"/>
    <n v="2484.75"/>
    <d v="2024-01-11T00:00:00"/>
    <n v="2484.75"/>
  </r>
  <r>
    <s v="36144250"/>
    <x v="11"/>
    <x v="297"/>
    <s v="52.345.678/0001-56"/>
    <x v="1"/>
    <s v="MATERIAL A"/>
    <n v="9183"/>
    <s v="1+1"/>
    <d v="2024-02-05T00:00:00"/>
    <n v="4591.5"/>
    <d v="2024-03-05T00:00:00"/>
    <n v="4591.5"/>
    <s v=""/>
    <s v=""/>
    <s v=""/>
    <s v=""/>
  </r>
  <r>
    <s v="6146155"/>
    <x v="12"/>
    <x v="298"/>
    <s v="09.012.345/0001-45"/>
    <x v="1"/>
    <s v="MATERIAL D"/>
    <n v="6641"/>
    <s v="1+3"/>
    <d v="2023-09-25T00:00:00"/>
    <n v="1660.25"/>
    <d v="2023-09-24T00:00:00"/>
    <n v="1660.25"/>
    <d v="2023-11-08T00:00:00"/>
    <n v="1660.25"/>
    <d v="2023-11-23T00:00:00"/>
    <n v="1660.25"/>
  </r>
  <r>
    <s v="204473"/>
    <x v="0"/>
    <x v="21"/>
    <s v="45.678.901/0001-67"/>
    <x v="0"/>
    <s v="Factoring Fee"/>
    <n v="4292"/>
    <s v="A VISTA"/>
    <d v="2023-10-12T00:00:00"/>
    <n v="4292"/>
    <s v=""/>
    <s v=""/>
    <s v=""/>
    <s v=""/>
    <s v=""/>
    <s v=""/>
  </r>
  <r>
    <s v="981209"/>
    <x v="41"/>
    <x v="74"/>
    <s v="18.901.234/0001-78"/>
    <x v="1"/>
    <s v="MATERIAL D"/>
    <n v="6758"/>
    <s v="A VISTA"/>
    <d v="2023-08-30T00:00:00"/>
    <n v="6758"/>
    <s v=""/>
    <s v=""/>
    <s v=""/>
    <s v=""/>
    <s v=""/>
    <s v=""/>
  </r>
  <r>
    <s v="53140107"/>
    <x v="40"/>
    <x v="282"/>
    <s v="12.345.678/0001-56"/>
    <x v="2"/>
    <s v="EXTRAVIADO"/>
    <n v="490"/>
    <s v="A VISTA"/>
    <d v="2024-01-14T00:00:00"/>
    <n v="490"/>
    <s v=""/>
    <s v=""/>
    <s v=""/>
    <s v=""/>
    <s v=""/>
    <s v=""/>
  </r>
  <r>
    <s v="8314373"/>
    <x v="17"/>
    <x v="84"/>
    <s v="30.123.456/0001-12"/>
    <x v="1"/>
    <s v="MATERIAL D"/>
    <n v="4256"/>
    <s v="A VISTA"/>
    <d v="2024-04-16T00:00:00"/>
    <n v="4256"/>
    <s v=""/>
    <s v=""/>
    <s v=""/>
    <s v=""/>
    <s v=""/>
    <s v=""/>
  </r>
  <r>
    <s v="41312"/>
    <x v="27"/>
    <x v="22"/>
    <s v="98.901.234/0001-78"/>
    <x v="0"/>
    <s v="Impostos"/>
    <n v="3784"/>
    <s v="1+3"/>
    <d v="2023-09-24T00:00:00"/>
    <n v="946"/>
    <d v="2023-09-23T00:00:00"/>
    <n v="946"/>
    <d v="2023-11-07T00:00:00"/>
    <n v="946"/>
    <d v="2023-11-22T00:00:00"/>
    <n v="946"/>
  </r>
  <r>
    <s v="91684"/>
    <x v="14"/>
    <x v="235"/>
    <s v="86.789.012/0001-34"/>
    <x v="1"/>
    <s v="MATERIAL E"/>
    <n v="7456"/>
    <s v="1+3"/>
    <d v="2023-11-30T00:00:00"/>
    <n v="1864"/>
    <d v="2023-11-29T00:00:00"/>
    <n v="1864"/>
    <d v="2024-01-13T00:00:00"/>
    <n v="1864"/>
    <d v="2024-01-28T00:00:00"/>
    <n v="1864"/>
  </r>
  <r>
    <s v="37128172"/>
    <x v="11"/>
    <x v="164"/>
    <s v="52.345.678/0001-56"/>
    <x v="1"/>
    <s v="MATERIAL A"/>
    <n v="1344"/>
    <s v="1+3"/>
    <d v="2023-12-24T00:00:00"/>
    <n v="336"/>
    <d v="2023-12-23T00:00:00"/>
    <n v="336"/>
    <d v="2024-02-06T00:00:00"/>
    <n v="336"/>
    <d v="2024-02-21T00:00:00"/>
    <n v="336"/>
  </r>
  <r>
    <s v="6010124"/>
    <x v="34"/>
    <x v="299"/>
    <s v="21.234.567/0001-89"/>
    <x v="0"/>
    <s v="Consultoria"/>
    <n v="8367"/>
    <s v="A VISTA"/>
    <d v="2023-12-07T00:00:00"/>
    <n v="8367"/>
    <s v=""/>
    <s v=""/>
    <s v=""/>
    <s v=""/>
    <s v=""/>
    <s v=""/>
  </r>
  <r>
    <s v="4378109"/>
    <x v="40"/>
    <x v="221"/>
    <s v="12.345.678/0001-56"/>
    <x v="2"/>
    <s v="EXTRAVIADO"/>
    <n v="9077"/>
    <s v="A VISTA"/>
    <d v="2024-02-12T00:00:00"/>
    <n v="9077"/>
    <s v=""/>
    <s v=""/>
    <s v=""/>
    <s v=""/>
    <s v=""/>
    <s v=""/>
  </r>
  <r>
    <s v="914330"/>
    <x v="29"/>
    <x v="300"/>
    <s v="01.234.567/0001-89"/>
    <x v="0"/>
    <s v="Pagamentos ADMs"/>
    <n v="6656"/>
    <s v="1+2"/>
    <d v="2023-09-14T00:00:00"/>
    <n v="2218.6666666666665"/>
    <d v="2023-10-13T00:00:00"/>
    <n v="2218.6666666666665"/>
    <d v="2023-10-28T00:00:00"/>
    <n v="2218.6666666666674"/>
    <s v=""/>
    <s v=""/>
  </r>
  <r>
    <s v="1004763"/>
    <x v="48"/>
    <x v="166"/>
    <s v="56.789.012/0001-34"/>
    <x v="0"/>
    <s v="Impostos"/>
    <n v="9287"/>
    <s v="1+1"/>
    <d v="2023-08-23T00:00:00"/>
    <n v="4643.5"/>
    <d v="2023-09-21T00:00:00"/>
    <n v="4643.5"/>
    <s v=""/>
    <s v=""/>
    <s v=""/>
    <s v=""/>
  </r>
  <r>
    <s v="31545"/>
    <x v="33"/>
    <x v="301"/>
    <s v="42.345.678/0001-56"/>
    <x v="0"/>
    <s v="Consultoria"/>
    <n v="3141"/>
    <s v="1+3"/>
    <d v="2023-11-15T00:00:00"/>
    <n v="785.25"/>
    <d v="2023-11-14T00:00:00"/>
    <n v="785.25"/>
    <d v="2023-12-29T00:00:00"/>
    <n v="785.25"/>
    <d v="2024-01-13T00:00:00"/>
    <n v="785.25"/>
  </r>
  <r>
    <s v="2445233"/>
    <x v="43"/>
    <x v="279"/>
    <s v="64.567.890/0001-90"/>
    <x v="0"/>
    <s v="Pagamentos ADMs"/>
    <n v="5094"/>
    <s v="1+2"/>
    <d v="2024-04-27T00:00:00"/>
    <n v="1698"/>
    <d v="2024-05-26T00:00:00"/>
    <n v="1698"/>
    <d v="2024-06-10T00:00:00"/>
    <n v="1698"/>
    <s v=""/>
    <s v=""/>
  </r>
  <r>
    <s v="43128136"/>
    <x v="7"/>
    <x v="296"/>
    <s v="67.890.123/0001-01"/>
    <x v="1"/>
    <s v="MATERIAL D"/>
    <n v="430"/>
    <s v="1+3"/>
    <d v="2023-11-13T00:00:00"/>
    <n v="107.5"/>
    <d v="2023-11-12T00:00:00"/>
    <n v="107.5"/>
    <d v="2023-12-27T00:00:00"/>
    <n v="107.5"/>
    <d v="2024-01-11T00:00:00"/>
    <n v="107.5"/>
  </r>
  <r>
    <s v="3636179"/>
    <x v="44"/>
    <x v="204"/>
    <s v="74.567.890/0001-90"/>
    <x v="1"/>
    <s v="MATERIAL C"/>
    <n v="595"/>
    <s v="1+1"/>
    <d v="2024-01-10T00:00:00"/>
    <n v="297.5"/>
    <d v="2024-02-08T00:00:00"/>
    <n v="297.5"/>
    <s v=""/>
    <s v=""/>
    <s v=""/>
    <s v=""/>
  </r>
  <r>
    <s v="19148124"/>
    <x v="12"/>
    <x v="133"/>
    <s v="09.012.345/0001-45"/>
    <x v="1"/>
    <s v="MATERIAL D"/>
    <n v="8491"/>
    <s v="1+1"/>
    <d v="2024-05-19T00:00:00"/>
    <n v="4245.5"/>
    <d v="2024-06-17T00:00:00"/>
    <n v="4245.5"/>
    <s v=""/>
    <s v=""/>
    <s v=""/>
    <s v=""/>
  </r>
  <r>
    <s v="8082135"/>
    <x v="31"/>
    <x v="209"/>
    <s v="23.456.789/0001-23"/>
    <x v="1"/>
    <s v="MATERIAL E"/>
    <n v="8360"/>
    <s v="A VISTA"/>
    <d v="2023-08-29T00:00:00"/>
    <n v="8360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47CFA5-D3FD-4221-8790-8F2E85BBA54C}" name="Tabela dinâmica15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5">
  <location ref="A3:AA8" firstHeaderRow="1" firstDataRow="3" firstDataCol="1" rowPageCount="1" colPageCount="1"/>
  <pivotFields count="18">
    <pivotField showAll="0"/>
    <pivotField showAll="0"/>
    <pivotField axis="axisCol" dataField="1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Page" showAll="0">
      <items count="4">
        <item x="1"/>
        <item x="2"/>
        <item x="0"/>
        <item t="default"/>
      </items>
    </pivotField>
    <pivotField showAll="0"/>
    <pivotField dataField="1" numFmtId="165" showAll="0"/>
    <pivotField showAll="0"/>
    <pivotField numFmtId="14" showAll="0"/>
    <pivotField numFmtId="165" showAll="0"/>
    <pivotField showAll="0"/>
    <pivotField showAll="0"/>
    <pivotField showAll="0"/>
    <pivotField showAll="0"/>
    <pivotField showAll="0"/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sd="0" x="1"/>
        <item sd="0" x="2"/>
        <item sd="0" x="3"/>
        <item t="default"/>
      </items>
    </pivotField>
  </pivotFields>
  <rowFields count="2">
    <field x="17"/>
    <field x="16"/>
  </rowFields>
  <rowItems count="3">
    <i>
      <x v="1"/>
    </i>
    <i>
      <x v="2"/>
    </i>
    <i t="grand">
      <x/>
    </i>
  </rowItems>
  <colFields count="2">
    <field x="2"/>
    <field x="-2"/>
  </colFields>
  <colItems count="26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  <i>
      <x v="11"/>
      <x/>
    </i>
    <i r="1" i="1">
      <x v="1"/>
    </i>
    <i>
      <x v="12"/>
      <x/>
    </i>
    <i r="1" i="1">
      <x v="1"/>
    </i>
    <i t="grand">
      <x/>
    </i>
    <i t="grand" i="1">
      <x/>
    </i>
  </colItems>
  <pageFields count="1">
    <pageField fld="4" item="0" hier="-1"/>
  </pageFields>
  <dataFields count="2">
    <dataField name="Contagem de DATA DE EMISSÃO" fld="2" subtotal="count" baseField="0" baseItem="0"/>
    <dataField name="Soma de R$ TOTAL" fld="6" baseField="0" baseItem="0"/>
  </dataFields>
  <chartFormats count="24"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4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4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4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4" format="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14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4" format="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14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4" format="1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14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4" format="1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14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4" format="1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14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4" format="1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14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4" format="1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14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4" format="2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4" format="2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F6D139-B32F-406C-83B7-14A27EF466F0}" name="Tabela dinâmica15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6">
  <location ref="A3:AA8" firstHeaderRow="1" firstDataRow="3" firstDataCol="1" rowPageCount="1" colPageCount="1"/>
  <pivotFields count="18">
    <pivotField showAll="0"/>
    <pivotField showAll="0"/>
    <pivotField axis="axisCol" dataField="1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Page" showAll="0">
      <items count="4">
        <item x="1"/>
        <item x="2"/>
        <item x="0"/>
        <item t="default"/>
      </items>
    </pivotField>
    <pivotField showAll="0"/>
    <pivotField dataField="1" numFmtId="165" showAll="0"/>
    <pivotField showAll="0"/>
    <pivotField numFmtId="14" showAll="0"/>
    <pivotField numFmtId="165" showAll="0"/>
    <pivotField showAll="0"/>
    <pivotField showAll="0"/>
    <pivotField showAll="0"/>
    <pivotField showAll="0"/>
    <pivotField showAll="0"/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sd="0" x="1"/>
        <item sd="0" x="2"/>
        <item sd="0" x="3"/>
        <item t="default"/>
      </items>
    </pivotField>
  </pivotFields>
  <rowFields count="2">
    <field x="17"/>
    <field x="16"/>
  </rowFields>
  <rowItems count="3">
    <i>
      <x v="1"/>
    </i>
    <i>
      <x v="2"/>
    </i>
    <i t="grand">
      <x/>
    </i>
  </rowItems>
  <colFields count="2">
    <field x="2"/>
    <field x="-2"/>
  </colFields>
  <colItems count="26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  <i>
      <x v="11"/>
      <x/>
    </i>
    <i r="1" i="1">
      <x v="1"/>
    </i>
    <i>
      <x v="12"/>
      <x/>
    </i>
    <i r="1" i="1">
      <x v="1"/>
    </i>
    <i t="grand">
      <x/>
    </i>
    <i t="grand" i="1">
      <x/>
    </i>
  </colItems>
  <pageFields count="1">
    <pageField fld="4" item="2" hier="-1"/>
  </pageFields>
  <dataFields count="2">
    <dataField name="Contagem de DATA DE EMISSÃO" fld="2" subtotal="count" baseField="0" baseItem="0"/>
    <dataField name="Soma de R$ TOTAL" fld="6" baseField="0" baseItem="0"/>
  </dataFields>
  <chartFormats count="48"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4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4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4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4" format="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14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4" format="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14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4" format="1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14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4" format="1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14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4" format="1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14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4" format="1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14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4" format="1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14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4" format="2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4" format="2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chartFormat>
    <chartFormat chart="15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2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2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5" format="2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5" format="3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1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5" format="3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1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5" format="3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1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5" format="3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1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5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1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5" format="4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15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5" format="4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15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5" format="4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chartFormat>
    <chartFormat chart="15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5" format="4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9D9559-FCCE-409B-B0AB-D4AC7E3D6026}" name="Tabela dinâmica15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7">
  <location ref="A3:AA8" firstHeaderRow="1" firstDataRow="3" firstDataCol="1" rowPageCount="1" colPageCount="1"/>
  <pivotFields count="18">
    <pivotField showAll="0"/>
    <pivotField showAll="0"/>
    <pivotField axis="axisCol" dataField="1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Page" showAll="0">
      <items count="4">
        <item x="1"/>
        <item x="2"/>
        <item x="0"/>
        <item t="default"/>
      </items>
    </pivotField>
    <pivotField showAll="0"/>
    <pivotField dataField="1" numFmtId="165" showAll="0"/>
    <pivotField showAll="0"/>
    <pivotField numFmtId="14" showAll="0"/>
    <pivotField numFmtId="165" showAll="0"/>
    <pivotField showAll="0"/>
    <pivotField showAll="0"/>
    <pivotField showAll="0"/>
    <pivotField showAll="0"/>
    <pivotField showAll="0"/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sd="0" x="1"/>
        <item sd="0" x="2"/>
        <item sd="0" x="3"/>
        <item t="default"/>
      </items>
    </pivotField>
  </pivotFields>
  <rowFields count="2">
    <field x="17"/>
    <field x="16"/>
  </rowFields>
  <rowItems count="3">
    <i>
      <x v="1"/>
    </i>
    <i>
      <x v="2"/>
    </i>
    <i t="grand">
      <x/>
    </i>
  </rowItems>
  <colFields count="2">
    <field x="2"/>
    <field x="-2"/>
  </colFields>
  <colItems count="26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  <i>
      <x v="11"/>
      <x/>
    </i>
    <i r="1" i="1">
      <x v="1"/>
    </i>
    <i>
      <x v="12"/>
      <x/>
    </i>
    <i r="1" i="1">
      <x v="1"/>
    </i>
    <i t="grand">
      <x/>
    </i>
    <i t="grand" i="1">
      <x/>
    </i>
  </colItems>
  <pageFields count="1">
    <pageField fld="4" item="1" hier="-1"/>
  </pageFields>
  <dataFields count="2">
    <dataField name="Contagem de DATA DE EMISSÃO" fld="2" subtotal="count" baseField="0" baseItem="0"/>
    <dataField name="Soma de R$ TOTAL" fld="6" baseField="0" baseItem="0"/>
  </dataFields>
  <chartFormats count="72"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4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4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4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4" format="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14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4" format="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14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4" format="1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14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4" format="1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14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4" format="1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14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4" format="1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14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4" format="1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14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4" format="2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4" format="2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chartFormat>
    <chartFormat chart="15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2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2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5" format="2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5" format="3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1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5" format="3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1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5" format="3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1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5" format="3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1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5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1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5" format="4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15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5" format="4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15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5" format="4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chartFormat>
    <chartFormat chart="15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5" format="4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chartFormat>
    <chartFormat chart="16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6" format="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6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6" format="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6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6" format="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6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6" format="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16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6" format="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16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6" format="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16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6" format="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16" format="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6" format="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16" format="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6" format="6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16" format="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6" format="6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16" format="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6" format="6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chartFormat>
    <chartFormat chart="16" format="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6" format="7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B32CBA-63B2-40B3-BADB-28CC58D4F43C}" name="Tabela dinâmica15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8">
  <location ref="A3:AA8" firstHeaderRow="1" firstDataRow="3" firstDataCol="1" rowPageCount="1" colPageCount="1"/>
  <pivotFields count="18">
    <pivotField showAll="0"/>
    <pivotField showAll="0"/>
    <pivotField axis="axisCol" dataField="1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Page" multipleItemSelectionAllowed="1" showAll="0">
      <items count="4">
        <item x="1"/>
        <item x="2"/>
        <item x="0"/>
        <item t="default"/>
      </items>
    </pivotField>
    <pivotField showAll="0"/>
    <pivotField dataField="1" numFmtId="165" showAll="0"/>
    <pivotField showAll="0"/>
    <pivotField numFmtId="14" showAll="0"/>
    <pivotField numFmtId="165" showAll="0"/>
    <pivotField showAll="0"/>
    <pivotField showAll="0"/>
    <pivotField showAll="0"/>
    <pivotField showAll="0"/>
    <pivotField showAll="0"/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sd="0" x="1"/>
        <item sd="0" x="2"/>
        <item sd="0" x="3"/>
        <item t="default"/>
      </items>
    </pivotField>
  </pivotFields>
  <rowFields count="2">
    <field x="17"/>
    <field x="16"/>
  </rowFields>
  <rowItems count="3">
    <i>
      <x v="1"/>
    </i>
    <i>
      <x v="2"/>
    </i>
    <i t="grand">
      <x/>
    </i>
  </rowItems>
  <colFields count="2">
    <field x="2"/>
    <field x="-2"/>
  </colFields>
  <colItems count="26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  <i>
      <x v="11"/>
      <x/>
    </i>
    <i r="1" i="1">
      <x v="1"/>
    </i>
    <i>
      <x v="12"/>
      <x/>
    </i>
    <i r="1" i="1">
      <x v="1"/>
    </i>
    <i t="grand">
      <x/>
    </i>
    <i t="grand" i="1">
      <x/>
    </i>
  </colItems>
  <pageFields count="1">
    <pageField fld="4" hier="-1"/>
  </pageFields>
  <dataFields count="2">
    <dataField name="Contagem de DATA DE EMISSÃO" fld="2" subtotal="count" baseField="0" baseItem="0"/>
    <dataField name="Soma de R$ TOTAL" fld="6" baseField="0" baseItem="0"/>
  </dataFields>
  <chartFormats count="96"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4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4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4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4" format="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14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4" format="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14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4" format="1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14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4" format="1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14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4" format="1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14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4" format="1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14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4" format="1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14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4" format="2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4" format="2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chartFormat>
    <chartFormat chart="15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2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2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5" format="2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5" format="3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1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5" format="3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1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5" format="3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1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5" format="3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1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5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1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5" format="4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15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5" format="4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15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5" format="4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chartFormat>
    <chartFormat chart="15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5" format="4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chartFormat>
    <chartFormat chart="16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6" format="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6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6" format="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6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6" format="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6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6" format="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16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6" format="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16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6" format="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16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6" format="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16" format="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6" format="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16" format="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6" format="6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16" format="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6" format="6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16" format="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6" format="6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chartFormat>
    <chartFormat chart="16" format="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6" format="7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chartFormat>
    <chartFormat chart="17" format="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7" format="7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7" format="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7" format="7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7" format="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7" format="7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7" format="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7" format="7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17" format="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7" format="8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17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7" format="8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17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7" format="8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17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7" format="8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17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7" format="8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17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7" format="9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17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7" format="9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chartFormat>
    <chartFormat chart="17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7" format="9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9DD5F2-7792-455B-A1FE-07C7C773E854}" name="Tabela dinâ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7" firstHeaderRow="1" firstDataRow="1" firstDataCol="1" rowPageCount="1" colPageCount="1"/>
  <pivotFields count="18">
    <pivotField showAll="0"/>
    <pivotField axis="axisRow" showAll="0">
      <items count="50">
        <item x="3"/>
        <item x="45"/>
        <item x="5"/>
        <item x="37"/>
        <item x="9"/>
        <item x="10"/>
        <item x="13"/>
        <item x="11"/>
        <item x="16"/>
        <item x="15"/>
        <item x="34"/>
        <item x="38"/>
        <item x="19"/>
        <item x="18"/>
        <item x="32"/>
        <item x="7"/>
        <item x="47"/>
        <item x="26"/>
        <item x="12"/>
        <item x="35"/>
        <item x="24"/>
        <item x="21"/>
        <item x="39"/>
        <item x="42"/>
        <item x="2"/>
        <item x="43"/>
        <item x="31"/>
        <item x="44"/>
        <item x="1"/>
        <item x="17"/>
        <item x="40"/>
        <item x="30"/>
        <item x="20"/>
        <item x="33"/>
        <item x="4"/>
        <item x="36"/>
        <item x="29"/>
        <item x="28"/>
        <item x="8"/>
        <item x="25"/>
        <item x="0"/>
        <item x="46"/>
        <item x="14"/>
        <item x="22"/>
        <item x="48"/>
        <item x="41"/>
        <item x="27"/>
        <item x="23"/>
        <item x="6"/>
        <item t="default"/>
      </items>
    </pivotField>
    <pivotField numFmtId="14" showAll="0"/>
    <pivotField showAll="0"/>
    <pivotField axis="axisPage" showAll="0">
      <items count="4">
        <item x="1"/>
        <item x="2"/>
        <item x="0"/>
        <item t="default"/>
      </items>
    </pivotField>
    <pivotField showAll="0"/>
    <pivotField dataField="1" numFmtId="165" showAll="0"/>
    <pivotField showAll="0"/>
    <pivotField numFmtId="14" showAll="0"/>
    <pivotField numFmtId="165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"/>
  </rowFields>
  <rowItems count="24">
    <i>
      <x/>
    </i>
    <i>
      <x v="3"/>
    </i>
    <i>
      <x v="4"/>
    </i>
    <i>
      <x v="6"/>
    </i>
    <i>
      <x v="7"/>
    </i>
    <i>
      <x v="15"/>
    </i>
    <i>
      <x v="16"/>
    </i>
    <i>
      <x v="17"/>
    </i>
    <i>
      <x v="18"/>
    </i>
    <i>
      <x v="19"/>
    </i>
    <i>
      <x v="20"/>
    </i>
    <i>
      <x v="23"/>
    </i>
    <i>
      <x v="24"/>
    </i>
    <i>
      <x v="26"/>
    </i>
    <i>
      <x v="27"/>
    </i>
    <i>
      <x v="28"/>
    </i>
    <i>
      <x v="29"/>
    </i>
    <i>
      <x v="32"/>
    </i>
    <i>
      <x v="34"/>
    </i>
    <i>
      <x v="39"/>
    </i>
    <i>
      <x v="41"/>
    </i>
    <i>
      <x v="42"/>
    </i>
    <i>
      <x v="45"/>
    </i>
    <i t="grand">
      <x/>
    </i>
  </rowItems>
  <colItems count="1">
    <i/>
  </colItems>
  <pageFields count="1">
    <pageField fld="4" item="0" hier="-1"/>
  </pageFields>
  <dataFields count="1">
    <dataField name="Soma de R$ TOTAL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D2F723-77D0-409F-B084-F58A1FDB7525}" name="Tabela dinâmica18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" firstHeaderRow="1" firstDataRow="1" firstDataCol="1" rowPageCount="1" colPageCount="1"/>
  <pivotFields count="18">
    <pivotField showAll="0"/>
    <pivotField axis="axisRow" showAll="0">
      <items count="50">
        <item x="3"/>
        <item x="45"/>
        <item x="5"/>
        <item x="37"/>
        <item x="9"/>
        <item x="10"/>
        <item x="13"/>
        <item x="11"/>
        <item x="16"/>
        <item x="15"/>
        <item x="34"/>
        <item x="38"/>
        <item x="19"/>
        <item x="18"/>
        <item x="32"/>
        <item x="7"/>
        <item x="47"/>
        <item x="26"/>
        <item x="12"/>
        <item x="35"/>
        <item x="24"/>
        <item x="21"/>
        <item x="39"/>
        <item x="42"/>
        <item x="2"/>
        <item x="43"/>
        <item x="31"/>
        <item x="44"/>
        <item x="1"/>
        <item x="17"/>
        <item x="40"/>
        <item x="30"/>
        <item x="20"/>
        <item x="33"/>
        <item x="4"/>
        <item x="36"/>
        <item x="29"/>
        <item x="28"/>
        <item x="8"/>
        <item x="25"/>
        <item x="0"/>
        <item x="46"/>
        <item x="14"/>
        <item x="22"/>
        <item x="48"/>
        <item x="41"/>
        <item x="27"/>
        <item x="23"/>
        <item x="6"/>
        <item t="default"/>
      </items>
    </pivotField>
    <pivotField numFmtId="14" showAll="0"/>
    <pivotField showAll="0"/>
    <pivotField axis="axisPage" showAll="0">
      <items count="4">
        <item x="1"/>
        <item x="2"/>
        <item x="0"/>
        <item t="default"/>
      </items>
    </pivotField>
    <pivotField showAll="0"/>
    <pivotField dataField="1" numFmtId="165" showAll="0"/>
    <pivotField showAll="0"/>
    <pivotField numFmtId="14" showAll="0"/>
    <pivotField numFmtId="165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"/>
  </rowFields>
  <rowItems count="18">
    <i>
      <x v="1"/>
    </i>
    <i>
      <x v="5"/>
    </i>
    <i>
      <x v="8"/>
    </i>
    <i>
      <x v="10"/>
    </i>
    <i>
      <x v="11"/>
    </i>
    <i>
      <x v="12"/>
    </i>
    <i>
      <x v="13"/>
    </i>
    <i>
      <x v="14"/>
    </i>
    <i>
      <x v="22"/>
    </i>
    <i>
      <x v="25"/>
    </i>
    <i>
      <x v="33"/>
    </i>
    <i>
      <x v="36"/>
    </i>
    <i>
      <x v="40"/>
    </i>
    <i>
      <x v="44"/>
    </i>
    <i>
      <x v="46"/>
    </i>
    <i>
      <x v="47"/>
    </i>
    <i>
      <x v="48"/>
    </i>
    <i t="grand">
      <x/>
    </i>
  </rowItems>
  <colItems count="1">
    <i/>
  </colItems>
  <pageFields count="1">
    <pageField fld="4" item="2" hier="-1"/>
  </pageFields>
  <dataFields count="1">
    <dataField name="Soma de R$ TOTAL" fld="6" baseField="0" baseItem="0"/>
  </dataField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E2B0FE-6915-45DC-B037-5F7601322DAA}" name="Table2" displayName="Table2" ref="A2:E6" totalsRowShown="0">
  <autoFilter ref="A2:E6" xr:uid="{2FE2B0FE-6915-45DC-B037-5F7601322DAA}"/>
  <tableColumns count="5">
    <tableColumn id="5" xr3:uid="{133E29C5-EACD-4EF4-85C7-EC4843AD2CDA}" name="TIPO DE PAGAMENTO"/>
    <tableColumn id="6" xr3:uid="{885A0BC3-B6FB-41B8-AC1B-822F2A122571}" name="PRIMEIRO PAG"/>
    <tableColumn id="7" xr3:uid="{2C4CDB48-FB6C-4F90-91E0-B7AFD2B0E453}" name="SEG PAG"/>
    <tableColumn id="8" xr3:uid="{B84DCEF5-DB1C-4839-9AD8-BBE7A9FF8901}" name="TER PAG"/>
    <tableColumn id="9" xr3:uid="{5709F419-0365-4FE0-B02D-A753CE66C261}" name="QUAR PA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C2657-31E3-4408-9538-231A13AAE452}">
  <sheetPr codeName="Planilha8"/>
  <dimension ref="A1:P501"/>
  <sheetViews>
    <sheetView tabSelected="1" topLeftCell="E1" workbookViewId="0">
      <selection activeCell="L7" sqref="L7"/>
    </sheetView>
  </sheetViews>
  <sheetFormatPr defaultRowHeight="14.25"/>
  <cols>
    <col min="1" max="1" width="14.625" bestFit="1" customWidth="1"/>
    <col min="2" max="2" width="25.125" bestFit="1" customWidth="1"/>
    <col min="3" max="3" width="15.125" bestFit="1" customWidth="1"/>
    <col min="4" max="4" width="17.875" bestFit="1" customWidth="1"/>
    <col min="5" max="5" width="21" bestFit="1" customWidth="1"/>
    <col min="6" max="6" width="17.75" bestFit="1" customWidth="1"/>
    <col min="7" max="7" width="13.875" bestFit="1" customWidth="1"/>
    <col min="8" max="8" width="18.625" bestFit="1" customWidth="1"/>
    <col min="9" max="9" width="17.625" bestFit="1" customWidth="1"/>
    <col min="10" max="10" width="12" bestFit="1" customWidth="1"/>
    <col min="11" max="11" width="14" customWidth="1"/>
    <col min="12" max="12" width="13.125" bestFit="1" customWidth="1"/>
    <col min="13" max="13" width="12.5" customWidth="1"/>
    <col min="14" max="14" width="13.125" bestFit="1" customWidth="1"/>
    <col min="15" max="15" width="10.125" bestFit="1" customWidth="1"/>
    <col min="16" max="16" width="13.125" bestFit="1" customWidth="1"/>
  </cols>
  <sheetData>
    <row r="1" spans="1:16">
      <c r="A1" s="21" t="s">
        <v>131</v>
      </c>
      <c r="B1" s="19" t="s">
        <v>0</v>
      </c>
      <c r="C1" s="20" t="s">
        <v>1</v>
      </c>
      <c r="D1" s="20" t="s">
        <v>139</v>
      </c>
      <c r="E1" s="19" t="s">
        <v>2</v>
      </c>
      <c r="F1" s="19" t="s">
        <v>116</v>
      </c>
      <c r="G1" s="21" t="s">
        <v>3</v>
      </c>
      <c r="H1" s="21" t="s">
        <v>115</v>
      </c>
      <c r="I1" s="20" t="s">
        <v>4</v>
      </c>
      <c r="J1" s="21" t="s">
        <v>5</v>
      </c>
      <c r="K1" s="20" t="s">
        <v>6</v>
      </c>
      <c r="L1" s="21" t="s">
        <v>7</v>
      </c>
      <c r="M1" s="20" t="s">
        <v>8</v>
      </c>
      <c r="N1" s="21" t="s">
        <v>9</v>
      </c>
      <c r="O1" s="20" t="s">
        <v>10</v>
      </c>
      <c r="P1" s="21" t="s">
        <v>11</v>
      </c>
    </row>
    <row r="2" spans="1:16">
      <c r="A2" s="26">
        <v>777</v>
      </c>
      <c r="B2" s="27" t="s">
        <v>15</v>
      </c>
      <c r="C2" s="28"/>
      <c r="D2" s="28"/>
      <c r="E2" s="29" t="s">
        <v>111</v>
      </c>
      <c r="F2" s="29"/>
      <c r="G2" s="21"/>
      <c r="H2" s="26" t="s">
        <v>137</v>
      </c>
      <c r="I2" s="28"/>
      <c r="J2" s="21"/>
      <c r="K2" s="28"/>
      <c r="L2" s="21"/>
      <c r="M2" s="28"/>
      <c r="N2" s="21"/>
      <c r="O2" s="28"/>
      <c r="P2" s="21"/>
    </row>
    <row r="3" spans="1:16">
      <c r="A3" s="2">
        <v>44101109</v>
      </c>
      <c r="B3" s="1" t="s">
        <v>16</v>
      </c>
      <c r="C3" s="3">
        <v>45540</v>
      </c>
      <c r="D3" s="3" t="s">
        <v>65</v>
      </c>
      <c r="E3" s="2" t="s">
        <v>110</v>
      </c>
      <c r="F3" s="2" t="s">
        <v>125</v>
      </c>
      <c r="G3" s="8">
        <v>2457</v>
      </c>
      <c r="H3" s="9" t="s">
        <v>126</v>
      </c>
      <c r="I3" s="3">
        <f>IF($H3="A VISTA", C3 + CADASTROS!$B$3, IF($H3="1+1", C3 + CADASTROS!$B$4, IF(H3="1+2", C3 + CADASTROS!$B$5, IF(H3="1+3", C3 + CADASTROS!$B$6, ""))))</f>
        <v>45541</v>
      </c>
      <c r="J3" s="8">
        <f t="shared" ref="J3:J66" si="0">IF($H3="A VISTA", $G3, IF($H3="1+1", $G3/2, IF($H3="1+2", $G3/3, IF($H3="1+3", $G3/4, ""))))</f>
        <v>2457</v>
      </c>
      <c r="K3" s="3" t="str">
        <f>IF($L3&lt;&gt;"", IF($H3="A VISTA", "", IF($H3="1+1", $C3 + CADASTROS!$C$4, IF($H3="1+2", $C3 + CADASTROS!$C$5, IF($H3="1+3", $C3 + CADASTROS!$E$4, "")))), "")</f>
        <v/>
      </c>
      <c r="L3" s="8" t="str">
        <f t="shared" ref="L3:L66" si="1">IF($H3="A VISTA", "", IF($H3="1+1", $G3-$J3, IF($H3="1+2", $G3/3, IF($H3="1+3", ($G3-$J3)/3, ""))))</f>
        <v/>
      </c>
      <c r="M3" s="3" t="str">
        <f>IF($N3&lt;&gt;"", IF($H3="A VISTA", "", IF($H3="1+1", $C3 + CADASTROS!$C$4, IF($H3="1+2", $C3 + CADASTROS!$D$5, IF($H3="1+3", $C3 + CADASTROS!$E$4, "")))), "")</f>
        <v/>
      </c>
      <c r="N3" s="8" t="str">
        <f t="shared" ref="N3:N66" si="2">IF($H3="A VISTA","",IF($H3="1+2",$G3-$J3-$L3,IF($H3="1+3",($G3-$J3-$L3)/2,"")))</f>
        <v/>
      </c>
      <c r="O3" s="3" t="str">
        <f>IF($P3&lt;&gt;"", IF($H3="A VISTA", "", IF($H3="1+1", $C3 + CADASTROS!$C$4, IF($H3="1+2", $C3 + CADASTROS!$C$5, IF($H3="1+3", $C3 + CADASTROS!$E$4, "")))), "")</f>
        <v/>
      </c>
      <c r="P3" s="8" t="str">
        <f t="shared" ref="P3:P66" si="3">IF($H3="A VISTA", "", IF($H3="1+3", $G3-$J3-$L3-$N3, ""))</f>
        <v/>
      </c>
    </row>
    <row r="4" spans="1:16">
      <c r="A4" s="2" t="s">
        <v>140</v>
      </c>
      <c r="B4" s="1" t="s">
        <v>33</v>
      </c>
      <c r="C4" s="3">
        <v>45465</v>
      </c>
      <c r="D4" s="3" t="s">
        <v>82</v>
      </c>
      <c r="E4" s="2" t="s">
        <v>111</v>
      </c>
      <c r="F4" s="2" t="s">
        <v>119</v>
      </c>
      <c r="G4" s="8">
        <v>9594</v>
      </c>
      <c r="H4" s="9" t="s">
        <v>138</v>
      </c>
      <c r="I4" s="3">
        <f>IF($H4="A VISTA", C4 + CADASTROS!$B$3, IF($H4="1+1", C4 + CADASTROS!$B$4, IF(H4="1+2", C4 + CADASTROS!$B$5, IF(H4="1+3", C4 + CADASTROS!$B$6, ""))))</f>
        <v>45466</v>
      </c>
      <c r="J4" s="8">
        <f t="shared" si="0"/>
        <v>4797</v>
      </c>
      <c r="K4" s="3">
        <f>IF($L4&lt;&gt;"", IF($H4="A VISTA", "", IF($H4="1+1", $C4 + CADASTROS!$C$4, IF($H4="1+2", $C4 + CADASTROS!$C$5, IF($H4="1+3", $C4 + CADASTROS!$E$4, "")))), "")</f>
        <v>45495</v>
      </c>
      <c r="L4" s="8">
        <f t="shared" si="1"/>
        <v>4797</v>
      </c>
      <c r="M4" s="3" t="str">
        <f>IF($N4&lt;&gt;"", IF($H4="A VISTA", "", IF($H4="1+1", $C4 + CADASTROS!$C$4, IF($H4="1+2", $C4 + CADASTROS!$D$5, IF($H4="1+3", $C4 + CADASTROS!$E$4, "")))), "")</f>
        <v/>
      </c>
      <c r="N4" s="8" t="str">
        <f t="shared" si="2"/>
        <v/>
      </c>
      <c r="O4" s="3" t="str">
        <f>IF($P4&lt;&gt;"", IF($H4="A VISTA", "", IF($H4="1+1", $C4 + CADASTROS!$C$4, IF($H4="1+2", $C4 + CADASTROS!$C$5, IF($H4="1+3", $C4 + CADASTROS!$E$4, "")))), "")</f>
        <v/>
      </c>
      <c r="P4" s="8" t="str">
        <f t="shared" si="3"/>
        <v/>
      </c>
    </row>
    <row r="5" spans="1:16">
      <c r="A5" s="2" t="s">
        <v>141</v>
      </c>
      <c r="B5" s="1" t="s">
        <v>30</v>
      </c>
      <c r="C5" s="3">
        <v>45218</v>
      </c>
      <c r="D5" s="7" t="s">
        <v>79</v>
      </c>
      <c r="E5" s="2" t="s">
        <v>111</v>
      </c>
      <c r="F5" s="2" t="s">
        <v>118</v>
      </c>
      <c r="G5" s="8">
        <v>9086</v>
      </c>
      <c r="H5" s="9" t="s">
        <v>137</v>
      </c>
      <c r="I5" s="3">
        <f>IF($H5="A VISTA", C5 + CADASTROS!$B$3, IF($H5="1+1", C5 + CADASTROS!$B$4, IF(H5="1+2", C5 + CADASTROS!$B$5, IF(H5="1+3", C5 + CADASTROS!$B$6, ""))))</f>
        <v>45219</v>
      </c>
      <c r="J5" s="8">
        <f t="shared" si="0"/>
        <v>3028.6666666666665</v>
      </c>
      <c r="K5" s="3">
        <f>IF($L5&lt;&gt;"", IF($H5="A VISTA", "", IF($H5="1+1", $C5 + CADASTROS!$C$4, IF($H5="1+2", $C5 + CADASTROS!$C$5, IF($H5="1+3", $C5 + CADASTROS!$E$4, "")))), "")</f>
        <v>45248</v>
      </c>
      <c r="L5" s="8">
        <f t="shared" si="1"/>
        <v>3028.6666666666665</v>
      </c>
      <c r="M5" s="3">
        <f>IF($N5&lt;&gt;"", IF($H5="A VISTA", "", IF($H5="1+1", $C5 + CADASTROS!$C$4, IF($H5="1+2", $C5 + CADASTROS!$D$5, IF($H5="1+3", $C5 + CADASTROS!$E$4, "")))), "")</f>
        <v>45263</v>
      </c>
      <c r="N5" s="8">
        <f t="shared" si="2"/>
        <v>3028.6666666666674</v>
      </c>
      <c r="O5" s="3" t="str">
        <f>IF($P5&lt;&gt;"", IF($H5="A VISTA", "", IF($H5="1+1", $C5 + CADASTROS!$C$4, IF($H5="1+2", $C5 + CADASTROS!$C$5, IF($H5="1+3", $C5 + CADASTROS!$E$4, "")))), "")</f>
        <v/>
      </c>
      <c r="P5" s="8" t="str">
        <f t="shared" si="3"/>
        <v/>
      </c>
    </row>
    <row r="6" spans="1:16">
      <c r="A6" s="2" t="s">
        <v>142</v>
      </c>
      <c r="B6" s="1" t="s">
        <v>29</v>
      </c>
      <c r="C6" s="3">
        <v>45068</v>
      </c>
      <c r="D6" s="7" t="s">
        <v>78</v>
      </c>
      <c r="E6" s="2" t="s">
        <v>111</v>
      </c>
      <c r="F6" s="2" t="s">
        <v>121</v>
      </c>
      <c r="G6" s="8">
        <v>9199</v>
      </c>
      <c r="H6" s="9" t="s">
        <v>137</v>
      </c>
      <c r="I6" s="3">
        <f>IF($H6="A VISTA", C6 + CADASTROS!$B$3, IF($H6="1+1", C6 + CADASTROS!$B$4, IF(H6="1+2", C6 + CADASTROS!$B$5, IF(H6="1+3", C6 + CADASTROS!$B$6, ""))))</f>
        <v>45069</v>
      </c>
      <c r="J6" s="8">
        <f t="shared" si="0"/>
        <v>3066.3333333333335</v>
      </c>
      <c r="K6" s="3">
        <f>IF($L6&lt;&gt;"", IF($H6="A VISTA", "", IF($H6="1+1", $C6 + CADASTROS!$C$4, IF($H6="1+2", $C6 + CADASTROS!$C$5, IF($H6="1+3", $C6 + CADASTROS!$E$4, "")))), "")</f>
        <v>45098</v>
      </c>
      <c r="L6" s="8">
        <f t="shared" si="1"/>
        <v>3066.3333333333335</v>
      </c>
      <c r="M6" s="3">
        <f>IF($N6&lt;&gt;"", IF($H6="A VISTA", "", IF($H6="1+1", $C6 + CADASTROS!$C$4, IF($H6="1+2", $C6 + CADASTROS!$D$5, IF($H6="1+3", $C6 + CADASTROS!$E$4, "")))), "")</f>
        <v>45113</v>
      </c>
      <c r="N6" s="8">
        <f t="shared" si="2"/>
        <v>3066.3333333333326</v>
      </c>
      <c r="O6" s="3" t="str">
        <f>IF($P6&lt;&gt;"", IF($H6="A VISTA", "", IF($H6="1+1", $C6 + CADASTROS!$C$4, IF($H6="1+2", $C6 + CADASTROS!$C$5, IF($H6="1+3", $C6 + CADASTROS!$E$4, "")))), "")</f>
        <v/>
      </c>
      <c r="P6" s="8" t="str">
        <f t="shared" si="3"/>
        <v/>
      </c>
    </row>
    <row r="7" spans="1:16">
      <c r="A7" s="2" t="s">
        <v>143</v>
      </c>
      <c r="B7" s="1" t="s">
        <v>20</v>
      </c>
      <c r="C7" s="3">
        <v>45346</v>
      </c>
      <c r="D7" s="7" t="s">
        <v>69</v>
      </c>
      <c r="E7" s="2" t="s">
        <v>111</v>
      </c>
      <c r="F7" s="2" t="s">
        <v>117</v>
      </c>
      <c r="G7" s="8">
        <v>8090</v>
      </c>
      <c r="H7" s="9" t="s">
        <v>136</v>
      </c>
      <c r="I7" s="3">
        <f>IF($H7="A VISTA", C7 + CADASTROS!$B$3, IF($H7="1+1", C7 + CADASTROS!$B$4, IF(H7="1+2", C7 + CADASTROS!$B$5, IF(H7="1+3", C7 + CADASTROS!$B$6, ""))))</f>
        <v>45347</v>
      </c>
      <c r="J7" s="8">
        <f t="shared" si="0"/>
        <v>2022.5</v>
      </c>
      <c r="K7" s="3">
        <f>IF($L7&lt;&gt;"", IF($H7="A VISTA", "", IF($H7="1+1", $C7 + CADASTROS!$C$4, IF($H7="1+2", $C7 + CADASTROS!$C$5, IF($H7="1+3", $C7 + CADASTROS!$E$4, "")))), "")</f>
        <v>45346</v>
      </c>
      <c r="L7" s="8">
        <f t="shared" si="1"/>
        <v>2022.5</v>
      </c>
      <c r="M7" s="3">
        <f>IF($N7&lt;&gt;"", IF($H7="A VISTA", "", IF($H7="1+1", $C7 + CADASTROS!$C$4, IF($H7="1+2", $C7 + CADASTROS!$D$5, IF($H7="1+3", $C7 + CADASTROS!$E$4, "")))), "")</f>
        <v>45346</v>
      </c>
      <c r="N7" s="8">
        <f t="shared" si="2"/>
        <v>2022.5</v>
      </c>
      <c r="O7" s="3">
        <f>IF($P7&lt;&gt;"", IF($H7="A VISTA", "", IF($H7="1+1", $C7 + CADASTROS!$C$4, IF($H7="1+2", $C7 + CADASTROS!$C$5, IF($H7="1+3", $C7 + CADASTROS!$E$4, "")))), "")</f>
        <v>45346</v>
      </c>
      <c r="P7" s="8">
        <f t="shared" si="3"/>
        <v>2022.5</v>
      </c>
    </row>
    <row r="8" spans="1:16">
      <c r="A8" s="2" t="s">
        <v>144</v>
      </c>
      <c r="B8" s="1" t="s">
        <v>15</v>
      </c>
      <c r="C8" s="3">
        <v>45170</v>
      </c>
      <c r="D8" s="7" t="s">
        <v>64</v>
      </c>
      <c r="E8" s="2" t="s">
        <v>112</v>
      </c>
      <c r="F8" s="2" t="s">
        <v>123</v>
      </c>
      <c r="G8" s="8">
        <v>1396</v>
      </c>
      <c r="H8" s="9" t="s">
        <v>126</v>
      </c>
      <c r="I8" s="3">
        <f>IF($H8="A VISTA", C8 + CADASTROS!$B$3, IF($H8="1+1", C8 + CADASTROS!$B$4, IF(H8="1+2", C8 + CADASTROS!$B$5, IF(H8="1+3", C8 + CADASTROS!$B$6, ""))))</f>
        <v>45171</v>
      </c>
      <c r="J8" s="8">
        <f t="shared" si="0"/>
        <v>1396</v>
      </c>
      <c r="K8" s="3" t="str">
        <f>IF($L8&lt;&gt;"", IF($H8="A VISTA", "", IF($H8="1+1", $C8 + CADASTROS!$C$4, IF($H8="1+2", $C8 + CADASTROS!$C$5, IF($H8="1+3", $C8 + CADASTROS!$E$4, "")))), "")</f>
        <v/>
      </c>
      <c r="L8" s="8" t="str">
        <f t="shared" si="1"/>
        <v/>
      </c>
      <c r="M8" s="3" t="str">
        <f>IF($N8&lt;&gt;"", IF($H8="A VISTA", "", IF($H8="1+1", $C8 + CADASTROS!$C$4, IF($H8="1+2", $C8 + CADASTROS!$D$5, IF($H8="1+3", $C8 + CADASTROS!$E$4, "")))), "")</f>
        <v/>
      </c>
      <c r="N8" s="8" t="str">
        <f t="shared" si="2"/>
        <v/>
      </c>
      <c r="O8" s="3" t="str">
        <f>IF($P8&lt;&gt;"", IF($H8="A VISTA", "", IF($H8="1+1", $C8 + CADASTROS!$C$4, IF($H8="1+2", $C8 + CADASTROS!$C$5, IF($H8="1+3", $C8 + CADASTROS!$E$4, "")))), "")</f>
        <v/>
      </c>
      <c r="P8" s="8" t="str">
        <f t="shared" si="3"/>
        <v/>
      </c>
    </row>
    <row r="9" spans="1:16">
      <c r="A9" s="2" t="s">
        <v>145</v>
      </c>
      <c r="B9" s="1" t="s">
        <v>16</v>
      </c>
      <c r="C9" s="3">
        <v>45444</v>
      </c>
      <c r="D9" s="7" t="s">
        <v>65</v>
      </c>
      <c r="E9" s="2" t="s">
        <v>110</v>
      </c>
      <c r="F9" s="2" t="s">
        <v>125</v>
      </c>
      <c r="G9" s="8">
        <v>6710</v>
      </c>
      <c r="H9" s="9" t="s">
        <v>136</v>
      </c>
      <c r="I9" s="3">
        <f>IF($H9="A VISTA", C9 + CADASTROS!$B$3, IF($H9="1+1", C9 + CADASTROS!$B$4, IF(H9="1+2", C9 + CADASTROS!$B$5, IF(H9="1+3", C9 + CADASTROS!$B$6, ""))))</f>
        <v>45445</v>
      </c>
      <c r="J9" s="8">
        <f t="shared" si="0"/>
        <v>1677.5</v>
      </c>
      <c r="K9" s="3">
        <f>IF($L9&lt;&gt;"", IF($H9="A VISTA", "", IF($H9="1+1", $C9 + CADASTROS!$C$4, IF($H9="1+2", $C9 + CADASTROS!$C$5, IF($H9="1+3", $C9 + CADASTROS!$C$6, "")))), "")</f>
        <v>45474</v>
      </c>
      <c r="L9" s="8">
        <f t="shared" si="1"/>
        <v>1677.5</v>
      </c>
      <c r="M9" s="3">
        <f>IF($N9&lt;&gt;"", IF($H9="A VISTA", "", IF($H9="1+1", $C9 + CADASTROS!$C$4, IF($H9="1+2", $C9 + CADASTROS!$D$5, IF($H9="1+3", $C9 + CADASTROS!$D$6, "")))), "")</f>
        <v>45489</v>
      </c>
      <c r="N9" s="8">
        <f t="shared" si="2"/>
        <v>1677.5</v>
      </c>
      <c r="O9" s="3">
        <f>IF($P9&lt;&gt;"", IF($H9="A VISTA", "", IF($H9="1+1", $C9 + CADASTROS!$C$4, IF($H9="1+2", $C9 + CADASTROS!$C$5, IF($H9="1+3", $C9 + CADASTROS!$E$6, "")))), "")</f>
        <v>45504</v>
      </c>
      <c r="P9" s="8">
        <f t="shared" si="3"/>
        <v>1677.5</v>
      </c>
    </row>
    <row r="10" spans="1:16">
      <c r="A10" s="2" t="s">
        <v>146</v>
      </c>
      <c r="B10" s="1" t="s">
        <v>49</v>
      </c>
      <c r="C10" s="3">
        <v>45215</v>
      </c>
      <c r="D10" s="7" t="s">
        <v>98</v>
      </c>
      <c r="E10" s="2" t="s">
        <v>110</v>
      </c>
      <c r="F10" s="2" t="s">
        <v>125</v>
      </c>
      <c r="G10" s="8">
        <v>2984</v>
      </c>
      <c r="H10" s="9" t="s">
        <v>136</v>
      </c>
      <c r="I10" s="3">
        <f>IF($H10="A VISTA", C10 + CADASTROS!$B$3, IF($H10="1+1", C10 + CADASTROS!$B$4, IF(H10="1+2", C10 + CADASTROS!$B$5, IF(H10="1+3", C10 + CADASTROS!$B$6, ""))))</f>
        <v>45216</v>
      </c>
      <c r="J10" s="8">
        <f t="shared" si="0"/>
        <v>746</v>
      </c>
      <c r="K10" s="3">
        <f>IF($L10&lt;&gt;"", IF($H10="A VISTA", "", IF($H10="1+1", $C10 + CADASTROS!$C$4, IF($H10="1+2", $C10 + CADASTROS!$C$5, IF($H10="1+3", $C10 + CADASTROS!$E$4, "")))), "")</f>
        <v>45215</v>
      </c>
      <c r="L10" s="8">
        <f t="shared" si="1"/>
        <v>746</v>
      </c>
      <c r="M10" s="3">
        <f>IF($N10&lt;&gt;"", IF($H10="A VISTA", "", IF($H10="1+1", $C10 + CADASTROS!$C$4, IF($H10="1+2", $C10 + CADASTROS!$D$5, IF($H10="1+3", $C10 + CADASTROS!$D$6, "")))), "")</f>
        <v>45260</v>
      </c>
      <c r="N10" s="8">
        <f t="shared" si="2"/>
        <v>746</v>
      </c>
      <c r="O10" s="3">
        <f>IF($P10&lt;&gt;"", IF($H10="A VISTA", "", IF($H10="1+1", $C10 + CADASTROS!$C$4, IF($H10="1+2", $C10 + CADASTROS!$C$5, IF($H10="1+3", $C10 + CADASTROS!$E$6, "")))), "")</f>
        <v>45275</v>
      </c>
      <c r="P10" s="8">
        <f t="shared" si="3"/>
        <v>746</v>
      </c>
    </row>
    <row r="11" spans="1:16">
      <c r="A11" s="2" t="s">
        <v>147</v>
      </c>
      <c r="B11" s="1" t="s">
        <v>18</v>
      </c>
      <c r="C11" s="3">
        <v>45180</v>
      </c>
      <c r="D11" s="7" t="s">
        <v>67</v>
      </c>
      <c r="E11" s="2" t="s">
        <v>111</v>
      </c>
      <c r="F11" s="2" t="s">
        <v>121</v>
      </c>
      <c r="G11" s="8">
        <v>5644</v>
      </c>
      <c r="H11" s="9" t="s">
        <v>138</v>
      </c>
      <c r="I11" s="3">
        <f>IF($H11="A VISTA", C11 + CADASTROS!$B$3, IF($H11="1+1", C11 + CADASTROS!$B$4, IF(H11="1+2", C11 + CADASTROS!$B$5, IF(H11="1+3", C11 + CADASTROS!$B$6, ""))))</f>
        <v>45181</v>
      </c>
      <c r="J11" s="8">
        <f t="shared" si="0"/>
        <v>2822</v>
      </c>
      <c r="K11" s="3">
        <f>IF($L11&lt;&gt;"", IF($H11="A VISTA", "", IF($H11="1+1", $C11 + CADASTROS!$C$4, IF($H11="1+2", $C11 + CADASTROS!$C$5, IF($H11="1+3", $C11 + CADASTROS!$E$4, "")))), "")</f>
        <v>45210</v>
      </c>
      <c r="L11" s="8">
        <f t="shared" si="1"/>
        <v>2822</v>
      </c>
      <c r="M11" s="3" t="str">
        <f>IF($N11&lt;&gt;"", IF($H11="A VISTA", "", IF($H11="1+1", $C11 + CADASTROS!$C$4, IF($H11="1+2", $C11 + CADASTROS!$D$5, IF($H11="1+3", $C11 + CADASTROS!$D$6, "")))), "")</f>
        <v/>
      </c>
      <c r="N11" s="8" t="str">
        <f t="shared" si="2"/>
        <v/>
      </c>
      <c r="O11" s="3" t="str">
        <f>IF($P11&lt;&gt;"", IF($H11="A VISTA", "", IF($H11="1+1", $C11 + CADASTROS!$C$4, IF($H11="1+2", $C11 + CADASTROS!$C$5, IF($H11="1+3", $C11 + CADASTROS!$E$6, "")))), "")</f>
        <v/>
      </c>
      <c r="P11" s="8" t="str">
        <f t="shared" si="3"/>
        <v/>
      </c>
    </row>
    <row r="12" spans="1:16">
      <c r="A12" s="2" t="s">
        <v>148</v>
      </c>
      <c r="B12" s="1" t="s">
        <v>18</v>
      </c>
      <c r="C12" s="3">
        <v>45128</v>
      </c>
      <c r="D12" s="7" t="s">
        <v>67</v>
      </c>
      <c r="E12" s="2" t="s">
        <v>111</v>
      </c>
      <c r="F12" s="2" t="s">
        <v>121</v>
      </c>
      <c r="G12" s="8">
        <v>5862</v>
      </c>
      <c r="H12" s="9" t="s">
        <v>136</v>
      </c>
      <c r="I12" s="3">
        <f>IF($H12="A VISTA", C12 + CADASTROS!$B$3, IF($H12="1+1", C12 + CADASTROS!$B$4, IF(H12="1+2", C12 + CADASTROS!$B$5, IF(H12="1+3", C12 + CADASTROS!$B$6, ""))))</f>
        <v>45129</v>
      </c>
      <c r="J12" s="8">
        <f t="shared" si="0"/>
        <v>1465.5</v>
      </c>
      <c r="K12" s="3">
        <f>IF($L12&lt;&gt;"", IF($H12="A VISTA", "", IF($H12="1+1", $C12 + CADASTROS!$C$4, IF($H12="1+2", $C12 + CADASTROS!$C$5, IF($H12="1+3", $C12 + CADASTROS!$E$4, "")))), "")</f>
        <v>45128</v>
      </c>
      <c r="L12" s="8">
        <f t="shared" si="1"/>
        <v>1465.5</v>
      </c>
      <c r="M12" s="3">
        <f>IF($N12&lt;&gt;"", IF($H12="A VISTA", "", IF($H12="1+1", $C12 + CADASTROS!$C$4, IF($H12="1+2", $C12 + CADASTROS!$D$5, IF($H12="1+3", $C12 + CADASTROS!$D$6, "")))), "")</f>
        <v>45173</v>
      </c>
      <c r="N12" s="8">
        <f t="shared" si="2"/>
        <v>1465.5</v>
      </c>
      <c r="O12" s="3">
        <f>IF($P12&lt;&gt;"", IF($H12="A VISTA", "", IF($H12="1+1", $C12 + CADASTROS!$C$4, IF($H12="1+2", $C12 + CADASTROS!$C$5, IF($H12="1+3", $C12 + CADASTROS!$E$6, "")))), "")</f>
        <v>45188</v>
      </c>
      <c r="P12" s="8">
        <f t="shared" si="3"/>
        <v>1465.5</v>
      </c>
    </row>
    <row r="13" spans="1:16">
      <c r="A13" s="2" t="s">
        <v>149</v>
      </c>
      <c r="B13" s="1" t="s">
        <v>18</v>
      </c>
      <c r="C13" s="3">
        <v>45343</v>
      </c>
      <c r="D13" s="7" t="s">
        <v>67</v>
      </c>
      <c r="E13" s="2" t="s">
        <v>111</v>
      </c>
      <c r="F13" s="2" t="s">
        <v>121</v>
      </c>
      <c r="G13" s="8">
        <v>762</v>
      </c>
      <c r="H13" s="9" t="s">
        <v>136</v>
      </c>
      <c r="I13" s="3">
        <f>IF($H13="A VISTA", C13 + CADASTROS!$B$3, IF($H13="1+1", C13 + CADASTROS!$B$4, IF(H13="1+2", C13 + CADASTROS!$B$5, IF(H13="1+3", C13 + CADASTROS!$B$6, ""))))</f>
        <v>45344</v>
      </c>
      <c r="J13" s="8">
        <f t="shared" si="0"/>
        <v>190.5</v>
      </c>
      <c r="K13" s="3">
        <f>IF($L13&lt;&gt;"", IF($H13="A VISTA", "", IF($H13="1+1", $C13 + CADASTROS!$C$4, IF($H13="1+2", $C13 + CADASTROS!$C$5, IF($H13="1+3", $C13 + CADASTROS!$E$4, "")))), "")</f>
        <v>45343</v>
      </c>
      <c r="L13" s="8">
        <f t="shared" si="1"/>
        <v>190.5</v>
      </c>
      <c r="M13" s="3">
        <f>IF($N13&lt;&gt;"", IF($H13="A VISTA", "", IF($H13="1+1", $C13 + CADASTROS!$C$4, IF($H13="1+2", $C13 + CADASTROS!$D$5, IF($H13="1+3", $C13 + CADASTROS!$D$6, "")))), "")</f>
        <v>45388</v>
      </c>
      <c r="N13" s="8">
        <f t="shared" si="2"/>
        <v>190.5</v>
      </c>
      <c r="O13" s="3">
        <f>IF($P13&lt;&gt;"", IF($H13="A VISTA", "", IF($H13="1+1", $C13 + CADASTROS!$C$4, IF($H13="1+2", $C13 + CADASTROS!$C$5, IF($H13="1+3", $C13 + CADASTROS!$E$6, "")))), "")</f>
        <v>45403</v>
      </c>
      <c r="P13" s="8">
        <f t="shared" si="3"/>
        <v>190.5</v>
      </c>
    </row>
    <row r="14" spans="1:16">
      <c r="A14" s="2" t="s">
        <v>150</v>
      </c>
      <c r="B14" s="1" t="s">
        <v>35</v>
      </c>
      <c r="C14" s="3">
        <v>45149</v>
      </c>
      <c r="D14" s="7" t="s">
        <v>84</v>
      </c>
      <c r="E14" s="2" t="s">
        <v>112</v>
      </c>
      <c r="F14" s="2" t="s">
        <v>122</v>
      </c>
      <c r="G14" s="8">
        <v>626</v>
      </c>
      <c r="H14" s="9" t="s">
        <v>126</v>
      </c>
      <c r="I14" s="3">
        <f>IF($H14="A VISTA", C14 + CADASTROS!$B$3, IF($H14="1+1", C14 + CADASTROS!$B$4, IF(H14="1+2", C14 + CADASTROS!$B$5, IF(H14="1+3", C14 + CADASTROS!$B$6, ""))))</f>
        <v>45150</v>
      </c>
      <c r="J14" s="8">
        <f t="shared" si="0"/>
        <v>626</v>
      </c>
      <c r="K14" s="3" t="str">
        <f>IF($L14&lt;&gt;"", IF($H14="A VISTA", "", IF($H14="1+1", $C14 + CADASTROS!$C$4, IF($H14="1+2", $C14 + CADASTROS!$C$5, IF($H14="1+3", $C14 + CADASTROS!$E$4, "")))), "")</f>
        <v/>
      </c>
      <c r="L14" s="8" t="str">
        <f t="shared" si="1"/>
        <v/>
      </c>
      <c r="M14" s="3" t="str">
        <f>IF($N14&lt;&gt;"", IF($H14="A VISTA", "", IF($H14="1+1", $C14 + CADASTROS!$C$4, IF($H14="1+2", $C14 + CADASTROS!$D$5, IF($H14="1+3", $C14 + CADASTROS!$D$6, "")))), "")</f>
        <v/>
      </c>
      <c r="N14" s="8" t="str">
        <f t="shared" si="2"/>
        <v/>
      </c>
      <c r="O14" s="3" t="str">
        <f>IF($P14&lt;&gt;"", IF($H14="A VISTA", "", IF($H14="1+1", $C14 + CADASTROS!$C$4, IF($H14="1+2", $C14 + CADASTROS!$C$5, IF($H14="1+3", $C14 + CADASTROS!$E$6, "")))), "")</f>
        <v/>
      </c>
      <c r="P14" s="8" t="str">
        <f t="shared" si="3"/>
        <v/>
      </c>
    </row>
    <row r="15" spans="1:16">
      <c r="A15" s="2" t="s">
        <v>151</v>
      </c>
      <c r="B15" s="1" t="s">
        <v>18</v>
      </c>
      <c r="C15" s="3">
        <v>45217</v>
      </c>
      <c r="D15" s="7" t="s">
        <v>67</v>
      </c>
      <c r="E15" s="2" t="s">
        <v>111</v>
      </c>
      <c r="F15" s="2" t="s">
        <v>121</v>
      </c>
      <c r="G15" s="8">
        <v>5530</v>
      </c>
      <c r="H15" s="9" t="s">
        <v>136</v>
      </c>
      <c r="I15" s="3">
        <f>IF($H15="A VISTA", C15 + CADASTROS!$B$3, IF($H15="1+1", C15 + CADASTROS!$B$4, IF(H15="1+2", C15 + CADASTROS!$B$5, IF(H15="1+3", C15 + CADASTROS!$B$6, ""))))</f>
        <v>45218</v>
      </c>
      <c r="J15" s="8">
        <f t="shared" si="0"/>
        <v>1382.5</v>
      </c>
      <c r="K15" s="3">
        <f>IF($L15&lt;&gt;"", IF($H15="A VISTA", "", IF($H15="1+1", $C15 + CADASTROS!$C$4, IF($H15="1+2", $C15 + CADASTROS!$C$5, IF($H15="1+3", $C15 + CADASTROS!$E$4, "")))), "")</f>
        <v>45217</v>
      </c>
      <c r="L15" s="8">
        <f t="shared" si="1"/>
        <v>1382.5</v>
      </c>
      <c r="M15" s="3">
        <f>IF($N15&lt;&gt;"", IF($H15="A VISTA", "", IF($H15="1+1", $C15 + CADASTROS!$C$4, IF($H15="1+2", $C15 + CADASTROS!$D$5, IF($H15="1+3", $C15 + CADASTROS!$D$6, "")))), "")</f>
        <v>45262</v>
      </c>
      <c r="N15" s="8">
        <f t="shared" si="2"/>
        <v>1382.5</v>
      </c>
      <c r="O15" s="3">
        <f>IF($P15&lt;&gt;"", IF($H15="A VISTA", "", IF($H15="1+1", $C15 + CADASTROS!$C$4, IF($H15="1+2", $C15 + CADASTROS!$C$5, IF($H15="1+3", $C15 + CADASTROS!$E$6, "")))), "")</f>
        <v>45277</v>
      </c>
      <c r="P15" s="8">
        <f t="shared" si="3"/>
        <v>1382.5</v>
      </c>
    </row>
    <row r="16" spans="1:16">
      <c r="A16" s="2" t="s">
        <v>152</v>
      </c>
      <c r="B16" s="1" t="s">
        <v>44</v>
      </c>
      <c r="C16" s="3">
        <v>45101</v>
      </c>
      <c r="D16" s="7" t="s">
        <v>93</v>
      </c>
      <c r="E16" s="2" t="s">
        <v>111</v>
      </c>
      <c r="F16" s="2" t="s">
        <v>119</v>
      </c>
      <c r="G16" s="8">
        <v>3652</v>
      </c>
      <c r="H16" s="9" t="s">
        <v>136</v>
      </c>
      <c r="I16" s="3">
        <f>IF($H16="A VISTA", C16 + CADASTROS!$B$3, IF($H16="1+1", C16 + CADASTROS!$B$4, IF(H16="1+2", C16 + CADASTROS!$B$5, IF(H16="1+3", C16 + CADASTROS!$B$6, ""))))</f>
        <v>45102</v>
      </c>
      <c r="J16" s="8">
        <f t="shared" si="0"/>
        <v>913</v>
      </c>
      <c r="K16" s="3">
        <f>IF($L16&lt;&gt;"", IF($H16="A VISTA", "", IF($H16="1+1", $C16 + CADASTROS!$C$4, IF($H16="1+2", $C16 + CADASTROS!$C$5, IF($H16="1+3", $C16 + CADASTROS!$E$4, "")))), "")</f>
        <v>45101</v>
      </c>
      <c r="L16" s="8">
        <f t="shared" si="1"/>
        <v>913</v>
      </c>
      <c r="M16" s="3">
        <f>IF($N16&lt;&gt;"", IF($H16="A VISTA", "", IF($H16="1+1", $C16 + CADASTROS!$C$4, IF($H16="1+2", $C16 + CADASTROS!$D$5, IF($H16="1+3", $C16 + CADASTROS!$D$6, "")))), "")</f>
        <v>45146</v>
      </c>
      <c r="N16" s="8">
        <f t="shared" si="2"/>
        <v>913</v>
      </c>
      <c r="O16" s="3">
        <f>IF($P16&lt;&gt;"", IF($H16="A VISTA", "", IF($H16="1+1", $C16 + CADASTROS!$C$4, IF($H16="1+2", $C16 + CADASTROS!$C$5, IF($H16="1+3", $C16 + CADASTROS!$E$6, "")))), "")</f>
        <v>45161</v>
      </c>
      <c r="P16" s="8">
        <f t="shared" si="3"/>
        <v>913</v>
      </c>
    </row>
    <row r="17" spans="1:16">
      <c r="A17" s="2" t="s">
        <v>153</v>
      </c>
      <c r="B17" s="1" t="s">
        <v>23</v>
      </c>
      <c r="C17" s="3">
        <v>45376</v>
      </c>
      <c r="D17" s="7" t="s">
        <v>72</v>
      </c>
      <c r="E17" s="2" t="s">
        <v>110</v>
      </c>
      <c r="F17" s="2" t="s">
        <v>113</v>
      </c>
      <c r="G17" s="8">
        <v>8685</v>
      </c>
      <c r="H17" s="9" t="s">
        <v>137</v>
      </c>
      <c r="I17" s="3">
        <f>IF($H17="A VISTA", C17 + CADASTROS!$B$3, IF($H17="1+1", C17 + CADASTROS!$B$4, IF(H17="1+2", C17 + CADASTROS!$B$5, IF(H17="1+3", C17 + CADASTROS!$B$6, ""))))</f>
        <v>45377</v>
      </c>
      <c r="J17" s="8">
        <f t="shared" si="0"/>
        <v>2895</v>
      </c>
      <c r="K17" s="3">
        <f>IF($L17&lt;&gt;"", IF($H17="A VISTA", "", IF($H17="1+1", $C17 + CADASTROS!$C$4, IF($H17="1+2", $C17 + CADASTROS!$C$5, IF($H17="1+3", $C17 + CADASTROS!$E$4, "")))), "")</f>
        <v>45406</v>
      </c>
      <c r="L17" s="8">
        <f t="shared" si="1"/>
        <v>2895</v>
      </c>
      <c r="M17" s="3">
        <f>IF($N17&lt;&gt;"", IF($H17="A VISTA", "", IF($H17="1+1", $C17 + CADASTROS!$C$4, IF($H17="1+2", $C17 + CADASTROS!$D$5, IF($H17="1+3", $C17 + CADASTROS!$D$6, "")))), "")</f>
        <v>45421</v>
      </c>
      <c r="N17" s="8">
        <f t="shared" si="2"/>
        <v>2895</v>
      </c>
      <c r="O17" s="3" t="str">
        <f>IF($P17&lt;&gt;"", IF($H17="A VISTA", "", IF($H17="1+1", $C17 + CADASTROS!$C$4, IF($H17="1+2", $C17 + CADASTROS!$C$5, IF($H17="1+3", $C17 + CADASTROS!$E$6, "")))), "")</f>
        <v/>
      </c>
      <c r="P17" s="8" t="str">
        <f t="shared" si="3"/>
        <v/>
      </c>
    </row>
    <row r="18" spans="1:16">
      <c r="A18" s="2" t="s">
        <v>154</v>
      </c>
      <c r="B18" s="1" t="s">
        <v>53</v>
      </c>
      <c r="C18" s="3">
        <v>45211</v>
      </c>
      <c r="D18" s="7" t="s">
        <v>102</v>
      </c>
      <c r="E18" s="2" t="s">
        <v>111</v>
      </c>
      <c r="F18" s="2" t="s">
        <v>117</v>
      </c>
      <c r="G18" s="8">
        <v>8792</v>
      </c>
      <c r="H18" s="9" t="s">
        <v>137</v>
      </c>
      <c r="I18" s="3">
        <f>IF($H18="A VISTA", C18 + CADASTROS!$B$3, IF($H18="1+1", C18 + CADASTROS!$B$4, IF(H18="1+2", C18 + CADASTROS!$B$5, IF(H18="1+3", C18 + CADASTROS!$B$6, ""))))</f>
        <v>45212</v>
      </c>
      <c r="J18" s="8">
        <f t="shared" si="0"/>
        <v>2930.6666666666665</v>
      </c>
      <c r="K18" s="3">
        <f>IF($L18&lt;&gt;"", IF($H18="A VISTA", "", IF($H18="1+1", $C18 + CADASTROS!$C$4, IF($H18="1+2", $C18 + CADASTROS!$C$5, IF($H18="1+3", $C18 + CADASTROS!$E$4, "")))), "")</f>
        <v>45241</v>
      </c>
      <c r="L18" s="8">
        <f t="shared" si="1"/>
        <v>2930.6666666666665</v>
      </c>
      <c r="M18" s="3">
        <f>IF($N18&lt;&gt;"", IF($H18="A VISTA", "", IF($H18="1+1", $C18 + CADASTROS!$C$4, IF($H18="1+2", $C18 + CADASTROS!$D$5, IF($H18="1+3", $C18 + CADASTROS!$D$6, "")))), "")</f>
        <v>45256</v>
      </c>
      <c r="N18" s="8">
        <f t="shared" si="2"/>
        <v>2930.6666666666674</v>
      </c>
      <c r="O18" s="3" t="str">
        <f>IF($P18&lt;&gt;"", IF($H18="A VISTA", "", IF($H18="1+1", $C18 + CADASTROS!$C$4, IF($H18="1+2", $C18 + CADASTROS!$C$5, IF($H18="1+3", $C18 + CADASTROS!$E$6, "")))), "")</f>
        <v/>
      </c>
      <c r="P18" s="8" t="str">
        <f t="shared" si="3"/>
        <v/>
      </c>
    </row>
    <row r="19" spans="1:16">
      <c r="A19" s="2" t="s">
        <v>155</v>
      </c>
      <c r="B19" s="1" t="s">
        <v>40</v>
      </c>
      <c r="C19" s="3">
        <v>45268</v>
      </c>
      <c r="D19" s="7" t="s">
        <v>89</v>
      </c>
      <c r="E19" s="2" t="s">
        <v>111</v>
      </c>
      <c r="F19" s="2" t="s">
        <v>121</v>
      </c>
      <c r="G19" s="8">
        <v>9489</v>
      </c>
      <c r="H19" s="9" t="s">
        <v>126</v>
      </c>
      <c r="I19" s="3">
        <f>IF($H19="A VISTA", C19 + CADASTROS!$B$3, IF($H19="1+1", C19 + CADASTROS!$B$4, IF(H19="1+2", C19 + CADASTROS!$B$5, IF(H19="1+3", C19 + CADASTROS!$B$6, ""))))</f>
        <v>45269</v>
      </c>
      <c r="J19" s="8">
        <f t="shared" si="0"/>
        <v>9489</v>
      </c>
      <c r="K19" s="3" t="str">
        <f>IF($L19&lt;&gt;"", IF($H19="A VISTA", "", IF($H19="1+1", $C19 + CADASTROS!$C$4, IF($H19="1+2", $C19 + CADASTROS!$C$5, IF($H19="1+3", $C19 + CADASTROS!$E$4, "")))), "")</f>
        <v/>
      </c>
      <c r="L19" s="8" t="str">
        <f t="shared" si="1"/>
        <v/>
      </c>
      <c r="M19" s="3" t="str">
        <f>IF($N19&lt;&gt;"", IF($H19="A VISTA", "", IF($H19="1+1", $C19 + CADASTROS!$C$4, IF($H19="1+2", $C19 + CADASTROS!$D$5, IF($H19="1+3", $C19 + CADASTROS!$D$6, "")))), "")</f>
        <v/>
      </c>
      <c r="N19" s="8" t="str">
        <f t="shared" si="2"/>
        <v/>
      </c>
      <c r="O19" s="22"/>
      <c r="P19" s="8" t="str">
        <f t="shared" si="3"/>
        <v/>
      </c>
    </row>
    <row r="20" spans="1:16">
      <c r="A20" s="2" t="s">
        <v>156</v>
      </c>
      <c r="B20" s="1" t="s">
        <v>31</v>
      </c>
      <c r="C20" s="3">
        <v>45488</v>
      </c>
      <c r="D20" s="7" t="s">
        <v>80</v>
      </c>
      <c r="E20" s="2" t="s">
        <v>111</v>
      </c>
      <c r="F20" s="2" t="s">
        <v>117</v>
      </c>
      <c r="G20" s="8">
        <v>4460</v>
      </c>
      <c r="H20" s="9" t="s">
        <v>126</v>
      </c>
      <c r="I20" s="3">
        <f>IF($H20="A VISTA", C20 + CADASTROS!$B$3, IF($H20="1+1", C20 + CADASTROS!$B$4, IF(H20="1+2", C20 + CADASTROS!$B$5, IF(H20="1+3", C20 + CADASTROS!$B$6, ""))))</f>
        <v>45489</v>
      </c>
      <c r="J20" s="8">
        <f t="shared" si="0"/>
        <v>4460</v>
      </c>
      <c r="K20" s="3" t="str">
        <f>IF($L20&lt;&gt;"", IF($H20="A VISTA", "", IF($H20="1+1", $C20 + CADASTROS!$C$4, IF($H20="1+2", $C20 + CADASTROS!$C$5, IF($H20="1+3", $C20 + CADASTROS!$E$4, "")))), "")</f>
        <v/>
      </c>
      <c r="L20" s="8" t="str">
        <f t="shared" si="1"/>
        <v/>
      </c>
      <c r="M20" s="3" t="str">
        <f>IF($N20&lt;&gt;"", IF($H20="A VISTA", "", IF($H20="1+1", $C20 + CADASTROS!$C$4, IF($H20="1+2", $C20 + CADASTROS!$D$5, IF($H20="1+3", $C20 + CADASTROS!$D$6, "")))), "")</f>
        <v/>
      </c>
      <c r="N20" s="8" t="str">
        <f t="shared" si="2"/>
        <v/>
      </c>
      <c r="O20" s="22"/>
      <c r="P20" s="8" t="str">
        <f t="shared" si="3"/>
        <v/>
      </c>
    </row>
    <row r="21" spans="1:16">
      <c r="A21" s="2" t="s">
        <v>157</v>
      </c>
      <c r="B21" s="1" t="s">
        <v>47</v>
      </c>
      <c r="C21" s="3">
        <v>45212</v>
      </c>
      <c r="D21" s="7" t="s">
        <v>96</v>
      </c>
      <c r="E21" s="2" t="s">
        <v>111</v>
      </c>
      <c r="F21" s="2" t="s">
        <v>120</v>
      </c>
      <c r="G21" s="8">
        <v>8583</v>
      </c>
      <c r="H21" s="9" t="s">
        <v>136</v>
      </c>
      <c r="I21" s="3">
        <f>IF($H21="A VISTA", C21 + CADASTROS!$B$3, IF($H21="1+1", C21 + CADASTROS!$B$4, IF(H21="1+2", C21 + CADASTROS!$B$5, IF(H21="1+3", C21 + CADASTROS!$B$6, ""))))</f>
        <v>45213</v>
      </c>
      <c r="J21" s="8">
        <f t="shared" si="0"/>
        <v>2145.75</v>
      </c>
      <c r="K21" s="3">
        <f>IF($L21&lt;&gt;"", IF($H21="A VISTA", "", IF($H21="1+1", $C21 + CADASTROS!$C$4, IF($H21="1+2", $C21 + CADASTROS!$C$5, IF($H21="1+3", $C21 + CADASTROS!$E$4, "")))), "")</f>
        <v>45212</v>
      </c>
      <c r="L21" s="8">
        <f t="shared" si="1"/>
        <v>2145.75</v>
      </c>
      <c r="M21" s="3">
        <f>IF($N21&lt;&gt;"", IF($H21="A VISTA", "", IF($H21="1+1", $C21 + CADASTROS!$C$4, IF($H21="1+2", $C21 + CADASTROS!$D$5, IF($H21="1+3", $C21 + CADASTROS!$D$6, "")))), "")</f>
        <v>45257</v>
      </c>
      <c r="N21" s="8">
        <f t="shared" si="2"/>
        <v>2145.75</v>
      </c>
      <c r="O21" s="3">
        <f>IF($P21&lt;&gt;"", IF($H21="A VISTA", "", IF($H21="1+1", $C21 + CADASTROS!$C$4, IF($H21="1+2", $C21 + CADASTROS!$C$5, IF($H21="1+3", $C21 + CADASTROS!$E$6, "")))), "")</f>
        <v>45272</v>
      </c>
      <c r="P21" s="8">
        <f t="shared" si="3"/>
        <v>2145.75</v>
      </c>
    </row>
    <row r="22" spans="1:16">
      <c r="A22" s="2" t="s">
        <v>158</v>
      </c>
      <c r="B22" s="1" t="s">
        <v>48</v>
      </c>
      <c r="C22" s="3">
        <v>45291</v>
      </c>
      <c r="D22" s="7" t="s">
        <v>97</v>
      </c>
      <c r="E22" s="2" t="s">
        <v>112</v>
      </c>
      <c r="F22" s="2" t="s">
        <v>123</v>
      </c>
      <c r="G22" s="8">
        <v>1637</v>
      </c>
      <c r="H22" s="9" t="s">
        <v>126</v>
      </c>
      <c r="I22" s="3">
        <f>IF($H22="A VISTA", C22 + CADASTROS!$B$3, IF($H22="1+1", C22 + CADASTROS!$B$4, IF(H22="1+2", C22 + CADASTROS!$B$5, IF(H22="1+3", C22 + CADASTROS!$B$6, ""))))</f>
        <v>45292</v>
      </c>
      <c r="J22" s="8">
        <f t="shared" si="0"/>
        <v>1637</v>
      </c>
      <c r="K22" s="3" t="str">
        <f>IF($L22&lt;&gt;"", IF($H22="A VISTA", "", IF($H22="1+1", $C22 + CADASTROS!$C$4, IF($H22="1+2", $C22 + CADASTROS!$C$5, IF($H22="1+3", $C22 + CADASTROS!$E$4, "")))), "")</f>
        <v/>
      </c>
      <c r="L22" s="8" t="str">
        <f t="shared" si="1"/>
        <v/>
      </c>
      <c r="M22" s="3" t="str">
        <f>IF($N22&lt;&gt;"", IF($H22="A VISTA", "", IF($H22="1+1", $C22 + CADASTROS!$C$4, IF($H22="1+2", $C22 + CADASTROS!$D$5, IF($H22="1+3", $C22 + CADASTROS!$D$6, "")))), "")</f>
        <v/>
      </c>
      <c r="N22" s="8" t="str">
        <f t="shared" si="2"/>
        <v/>
      </c>
      <c r="O22" s="22"/>
      <c r="P22" s="8" t="str">
        <f t="shared" si="3"/>
        <v/>
      </c>
    </row>
    <row r="23" spans="1:16">
      <c r="A23" s="2" t="s">
        <v>159</v>
      </c>
      <c r="B23" s="1" t="s">
        <v>27</v>
      </c>
      <c r="C23" s="3">
        <v>45169</v>
      </c>
      <c r="D23" s="7" t="s">
        <v>76</v>
      </c>
      <c r="E23" s="2" t="s">
        <v>110</v>
      </c>
      <c r="F23" s="2" t="s">
        <v>125</v>
      </c>
      <c r="G23" s="8">
        <v>9068</v>
      </c>
      <c r="H23" s="9" t="s">
        <v>137</v>
      </c>
      <c r="I23" s="3">
        <f>IF($H23="A VISTA", C23 + CADASTROS!$B$3, IF($H23="1+1", C23 + CADASTROS!$B$4, IF(H23="1+2", C23 + CADASTROS!$B$5, IF(H23="1+3", C23 + CADASTROS!$B$6, ""))))</f>
        <v>45170</v>
      </c>
      <c r="J23" s="8">
        <f t="shared" si="0"/>
        <v>3022.6666666666665</v>
      </c>
      <c r="K23" s="3">
        <f>IF($L23&lt;&gt;"", IF($H23="A VISTA", "", IF($H23="1+1", $C23 + CADASTROS!$C$4, IF($H23="1+2", $C23 + CADASTROS!$C$5, IF($H23="1+3", $C23 + CADASTROS!$E$4, "")))), "")</f>
        <v>45199</v>
      </c>
      <c r="L23" s="8">
        <f t="shared" si="1"/>
        <v>3022.6666666666665</v>
      </c>
      <c r="M23" s="3">
        <f>IF($N23&lt;&gt;"", IF($H23="A VISTA", "", IF($H23="1+1", $C23 + CADASTROS!$C$4, IF($H23="1+2", $C23 + CADASTROS!$D$5, IF($H23="1+3", $C23 + CADASTROS!$D$6, "")))), "")</f>
        <v>45214</v>
      </c>
      <c r="N23" s="8">
        <f t="shared" si="2"/>
        <v>3022.6666666666674</v>
      </c>
      <c r="O23" s="22"/>
      <c r="P23" s="8" t="str">
        <f t="shared" si="3"/>
        <v/>
      </c>
    </row>
    <row r="24" spans="1:16">
      <c r="A24" s="2" t="s">
        <v>160</v>
      </c>
      <c r="B24" s="1" t="s">
        <v>51</v>
      </c>
      <c r="C24" s="3">
        <v>45210</v>
      </c>
      <c r="D24" s="7" t="s">
        <v>100</v>
      </c>
      <c r="E24" s="2" t="s">
        <v>111</v>
      </c>
      <c r="F24" s="2" t="s">
        <v>121</v>
      </c>
      <c r="G24" s="8">
        <v>8111</v>
      </c>
      <c r="H24" s="9" t="s">
        <v>126</v>
      </c>
      <c r="I24" s="3">
        <f>IF($H24="A VISTA", C24 + CADASTROS!$B$3, IF($H24="1+1", C24 + CADASTROS!$B$4, IF(H24="1+2", C24 + CADASTROS!$B$5, IF(H24="1+3", C24 + CADASTROS!$B$6, ""))))</f>
        <v>45211</v>
      </c>
      <c r="J24" s="8">
        <f t="shared" si="0"/>
        <v>8111</v>
      </c>
      <c r="K24" s="3" t="str">
        <f>IF($L24&lt;&gt;"", IF($H24="A VISTA", "", IF($H24="1+1", $C24 + CADASTROS!$C$4, IF($H24="1+2", $C24 + CADASTROS!$C$5, IF($H24="1+3", $C24 + CADASTROS!$E$4, "")))), "")</f>
        <v/>
      </c>
      <c r="L24" s="8" t="str">
        <f t="shared" si="1"/>
        <v/>
      </c>
      <c r="M24" s="3" t="str">
        <f>IF($N24&lt;&gt;"", IF($H24="A VISTA", "", IF($H24="1+1", $C24 + CADASTROS!$C$4, IF($H24="1+2", $C24 + CADASTROS!$D$5, IF($H24="1+3", $C24 + CADASTROS!$D$6, "")))), "")</f>
        <v/>
      </c>
      <c r="N24" s="8" t="str">
        <f t="shared" si="2"/>
        <v/>
      </c>
      <c r="O24" s="22"/>
      <c r="P24" s="8" t="str">
        <f t="shared" si="3"/>
        <v/>
      </c>
    </row>
    <row r="25" spans="1:16">
      <c r="A25" s="2" t="s">
        <v>161</v>
      </c>
      <c r="B25" s="1" t="s">
        <v>34</v>
      </c>
      <c r="C25" s="3">
        <v>45192</v>
      </c>
      <c r="D25" s="7" t="s">
        <v>83</v>
      </c>
      <c r="E25" s="2" t="s">
        <v>110</v>
      </c>
      <c r="F25" s="2" t="s">
        <v>113</v>
      </c>
      <c r="G25" s="8">
        <v>3919</v>
      </c>
      <c r="H25" s="9" t="s">
        <v>137</v>
      </c>
      <c r="I25" s="3">
        <f>IF($H25="A VISTA", C25 + CADASTROS!$B$3, IF($H25="1+1", C25 + CADASTROS!$B$4, IF(H25="1+2", C25 + CADASTROS!$B$5, IF(H25="1+3", C25 + CADASTROS!$B$6, ""))))</f>
        <v>45193</v>
      </c>
      <c r="J25" s="8">
        <f t="shared" si="0"/>
        <v>1306.3333333333333</v>
      </c>
      <c r="K25" s="3">
        <f>IF($L25&lt;&gt;"", IF($H25="A VISTA", "", IF($H25="1+1", $C25 + CADASTROS!$C$4, IF($H25="1+2", $C25 + CADASTROS!$C$5, IF($H25="1+3", $C25 + CADASTROS!$E$4, "")))), "")</f>
        <v>45222</v>
      </c>
      <c r="L25" s="8">
        <f t="shared" si="1"/>
        <v>1306.3333333333333</v>
      </c>
      <c r="M25" s="3">
        <f>IF($N25&lt;&gt;"", IF($H25="A VISTA", "", IF($H25="1+1", $C25 + CADASTROS!$C$4, IF($H25="1+2", $C25 + CADASTROS!$D$5, IF($H25="1+3", $C25 + CADASTROS!$D$6, "")))), "")</f>
        <v>45237</v>
      </c>
      <c r="N25" s="8">
        <f t="shared" si="2"/>
        <v>1306.3333333333337</v>
      </c>
      <c r="O25" s="22"/>
      <c r="P25" s="8" t="str">
        <f t="shared" si="3"/>
        <v/>
      </c>
    </row>
    <row r="26" spans="1:16">
      <c r="A26" s="2" t="s">
        <v>162</v>
      </c>
      <c r="B26" s="1" t="s">
        <v>48</v>
      </c>
      <c r="C26" s="3">
        <v>45346</v>
      </c>
      <c r="D26" s="7" t="s">
        <v>97</v>
      </c>
      <c r="E26" s="2" t="s">
        <v>112</v>
      </c>
      <c r="F26" s="2" t="s">
        <v>123</v>
      </c>
      <c r="G26" s="8">
        <v>1358</v>
      </c>
      <c r="H26" s="9" t="s">
        <v>126</v>
      </c>
      <c r="I26" s="3">
        <f>IF($H26="A VISTA", C26 + CADASTROS!$B$3, IF($H26="1+1", C26 + CADASTROS!$B$4, IF(H26="1+2", C26 + CADASTROS!$B$5, IF(H26="1+3", C26 + CADASTROS!$B$6, ""))))</f>
        <v>45347</v>
      </c>
      <c r="J26" s="8">
        <f t="shared" si="0"/>
        <v>1358</v>
      </c>
      <c r="K26" s="3" t="str">
        <f>IF($L26&lt;&gt;"", IF($H26="A VISTA", "", IF($H26="1+1", $C26 + CADASTROS!$C$4, IF($H26="1+2", $C26 + CADASTROS!$C$5, IF($H26="1+3", $C26 + CADASTROS!$E$4, "")))), "")</f>
        <v/>
      </c>
      <c r="L26" s="8" t="str">
        <f t="shared" si="1"/>
        <v/>
      </c>
      <c r="M26" s="3" t="str">
        <f>IF($N26&lt;&gt;"", IF($H26="A VISTA", "", IF($H26="1+1", $C26 + CADASTROS!$C$4, IF($H26="1+2", $C26 + CADASTROS!$D$5, IF($H26="1+3", $C26 + CADASTROS!$D$6, "")))), "")</f>
        <v/>
      </c>
      <c r="N26" s="8" t="str">
        <f t="shared" si="2"/>
        <v/>
      </c>
      <c r="O26" s="22"/>
      <c r="P26" s="8" t="str">
        <f t="shared" si="3"/>
        <v/>
      </c>
    </row>
    <row r="27" spans="1:16">
      <c r="A27" s="2" t="s">
        <v>163</v>
      </c>
      <c r="B27" s="1" t="s">
        <v>16</v>
      </c>
      <c r="C27" s="3">
        <v>45234</v>
      </c>
      <c r="D27" s="7" t="s">
        <v>65</v>
      </c>
      <c r="E27" s="2" t="s">
        <v>110</v>
      </c>
      <c r="F27" s="2" t="s">
        <v>125</v>
      </c>
      <c r="G27" s="8">
        <v>2013</v>
      </c>
      <c r="H27" s="9" t="s">
        <v>126</v>
      </c>
      <c r="I27" s="3">
        <f>IF($H27="A VISTA", C27 + CADASTROS!$B$3, IF($H27="1+1", C27 + CADASTROS!$B$4, IF(H27="1+2", C27 + CADASTROS!$B$5, IF(H27="1+3", C27 + CADASTROS!$B$6, ""))))</f>
        <v>45235</v>
      </c>
      <c r="J27" s="8">
        <f t="shared" si="0"/>
        <v>2013</v>
      </c>
      <c r="K27" s="3" t="str">
        <f>IF($L27&lt;&gt;"", IF($H27="A VISTA", "", IF($H27="1+1", $C27 + CADASTROS!$C$4, IF($H27="1+2", $C27 + CADASTROS!$C$5, IF($H27="1+3", $C27 + CADASTROS!$E$4, "")))), "")</f>
        <v/>
      </c>
      <c r="L27" s="8" t="str">
        <f t="shared" si="1"/>
        <v/>
      </c>
      <c r="M27" s="3" t="str">
        <f>IF($N27&lt;&gt;"", IF($H27="A VISTA", "", IF($H27="1+1", $C27 + CADASTROS!$C$4, IF($H27="1+2", $C27 + CADASTROS!$D$5, IF($H27="1+3", $C27 + CADASTROS!$D$6, "")))), "")</f>
        <v/>
      </c>
      <c r="N27" s="8" t="str">
        <f t="shared" si="2"/>
        <v/>
      </c>
      <c r="O27" s="22"/>
      <c r="P27" s="8" t="str">
        <f t="shared" si="3"/>
        <v/>
      </c>
    </row>
    <row r="28" spans="1:16">
      <c r="A28" s="2" t="s">
        <v>164</v>
      </c>
      <c r="B28" s="1" t="s">
        <v>56</v>
      </c>
      <c r="C28" s="3">
        <v>45298</v>
      </c>
      <c r="D28" s="7" t="s">
        <v>105</v>
      </c>
      <c r="E28" s="2" t="s">
        <v>110</v>
      </c>
      <c r="F28" s="2" t="s">
        <v>113</v>
      </c>
      <c r="G28" s="8">
        <v>9208</v>
      </c>
      <c r="H28" s="9" t="s">
        <v>138</v>
      </c>
      <c r="I28" s="3">
        <f>IF($H28="A VISTA", C28 + CADASTROS!$B$3, IF($H28="1+1", C28 + CADASTROS!$B$4, IF(H28="1+2", C28 + CADASTROS!$B$5, IF(H28="1+3", C28 + CADASTROS!$B$6, ""))))</f>
        <v>45299</v>
      </c>
      <c r="J28" s="8">
        <f t="shared" si="0"/>
        <v>4604</v>
      </c>
      <c r="K28" s="3">
        <f>IF($L28&lt;&gt;"", IF($H28="A VISTA", "", IF($H28="1+1", $C28 + CADASTROS!$C$4, IF($H28="1+2", $C28 + CADASTROS!$C$5, IF($H28="1+3", $C28 + CADASTROS!$E$4, "")))), "")</f>
        <v>45328</v>
      </c>
      <c r="L28" s="8">
        <f t="shared" si="1"/>
        <v>4604</v>
      </c>
      <c r="M28" s="3" t="str">
        <f>IF($N28&lt;&gt;"", IF($H28="A VISTA", "", IF($H28="1+1", $C28 + CADASTROS!$C$4, IF($H28="1+2", $C28 + CADASTROS!$D$5, IF($H28="1+3", $C28 + CADASTROS!$D$6, "")))), "")</f>
        <v/>
      </c>
      <c r="N28" s="8" t="str">
        <f t="shared" si="2"/>
        <v/>
      </c>
      <c r="O28" s="22"/>
      <c r="P28" s="8" t="str">
        <f t="shared" si="3"/>
        <v/>
      </c>
    </row>
    <row r="29" spans="1:16">
      <c r="A29" s="2" t="s">
        <v>165</v>
      </c>
      <c r="B29" s="1" t="s">
        <v>41</v>
      </c>
      <c r="C29" s="3">
        <v>45161</v>
      </c>
      <c r="D29" s="7" t="s">
        <v>90</v>
      </c>
      <c r="E29" s="2" t="s">
        <v>111</v>
      </c>
      <c r="F29" s="2" t="s">
        <v>118</v>
      </c>
      <c r="G29" s="8">
        <v>674</v>
      </c>
      <c r="H29" s="9" t="s">
        <v>137</v>
      </c>
      <c r="I29" s="3">
        <f>IF($H29="A VISTA", C29 + CADASTROS!$B$3, IF($H29="1+1", C29 + CADASTROS!$B$4, IF(H29="1+2", C29 + CADASTROS!$B$5, IF(H29="1+3", C29 + CADASTROS!$B$6, ""))))</f>
        <v>45162</v>
      </c>
      <c r="J29" s="8">
        <f t="shared" si="0"/>
        <v>224.66666666666666</v>
      </c>
      <c r="K29" s="3">
        <f>IF($L29&lt;&gt;"", IF($H29="A VISTA", "", IF($H29="1+1", $C29 + CADASTROS!$C$4, IF($H29="1+2", $C29 + CADASTROS!$C$5, IF($H29="1+3", $C29 + CADASTROS!$E$4, "")))), "")</f>
        <v>45191</v>
      </c>
      <c r="L29" s="8">
        <f t="shared" si="1"/>
        <v>224.66666666666666</v>
      </c>
      <c r="M29" s="3">
        <f>IF($N29&lt;&gt;"", IF($H29="A VISTA", "", IF($H29="1+1", $C29 + CADASTROS!$C$4, IF($H29="1+2", $C29 + CADASTROS!$D$5, IF($H29="1+3", $C29 + CADASTROS!$D$6, "")))), "")</f>
        <v>45206</v>
      </c>
      <c r="N29" s="8">
        <f t="shared" si="2"/>
        <v>224.66666666666671</v>
      </c>
      <c r="O29" s="22"/>
      <c r="P29" s="8" t="str">
        <f t="shared" si="3"/>
        <v/>
      </c>
    </row>
    <row r="30" spans="1:16">
      <c r="A30" s="2" t="s">
        <v>166</v>
      </c>
      <c r="B30" s="1" t="s">
        <v>27</v>
      </c>
      <c r="C30" s="3">
        <v>45482</v>
      </c>
      <c r="D30" s="7" t="s">
        <v>76</v>
      </c>
      <c r="E30" s="2" t="s">
        <v>110</v>
      </c>
      <c r="F30" s="2" t="s">
        <v>125</v>
      </c>
      <c r="G30" s="8">
        <v>2715</v>
      </c>
      <c r="H30" s="9" t="s">
        <v>137</v>
      </c>
      <c r="I30" s="3">
        <f>IF($H30="A VISTA", C30 + CADASTROS!$B$3, IF($H30="1+1", C30 + CADASTROS!$B$4, IF(H30="1+2", C30 + CADASTROS!$B$5, IF(H30="1+3", C30 + CADASTROS!$B$6, ""))))</f>
        <v>45483</v>
      </c>
      <c r="J30" s="8">
        <f t="shared" si="0"/>
        <v>905</v>
      </c>
      <c r="K30" s="3">
        <f>IF($L30&lt;&gt;"", IF($H30="A VISTA", "", IF($H30="1+1", $C30 + CADASTROS!$C$4, IF($H30="1+2", $C30 + CADASTROS!$C$5, IF($H30="1+3", $C30 + CADASTROS!$E$4, "")))), "")</f>
        <v>45512</v>
      </c>
      <c r="L30" s="8">
        <f t="shared" si="1"/>
        <v>905</v>
      </c>
      <c r="M30" s="3">
        <f>IF($N30&lt;&gt;"", IF($H30="A VISTA", "", IF($H30="1+1", $C30 + CADASTROS!$C$4, IF($H30="1+2", $C30 + CADASTROS!$D$5, IF($H30="1+3", $C30 + CADASTROS!$D$6, "")))), "")</f>
        <v>45527</v>
      </c>
      <c r="N30" s="8">
        <f t="shared" si="2"/>
        <v>905</v>
      </c>
      <c r="O30" s="22"/>
      <c r="P30" s="8" t="str">
        <f t="shared" si="3"/>
        <v/>
      </c>
    </row>
    <row r="31" spans="1:16">
      <c r="A31" s="2" t="s">
        <v>167</v>
      </c>
      <c r="B31" s="1" t="s">
        <v>18</v>
      </c>
      <c r="C31" s="3">
        <v>45320</v>
      </c>
      <c r="D31" s="7" t="s">
        <v>67</v>
      </c>
      <c r="E31" s="2" t="s">
        <v>111</v>
      </c>
      <c r="F31" s="2" t="s">
        <v>121</v>
      </c>
      <c r="G31" s="8">
        <v>912</v>
      </c>
      <c r="H31" s="9" t="s">
        <v>136</v>
      </c>
      <c r="I31" s="3">
        <f>IF($H31="A VISTA", C31 + CADASTROS!$B$3, IF($H31="1+1", C31 + CADASTROS!$B$4, IF(H31="1+2", C31 + CADASTROS!$B$5, IF(H31="1+3", C31 + CADASTROS!$B$6, ""))))</f>
        <v>45321</v>
      </c>
      <c r="J31" s="8">
        <f t="shared" si="0"/>
        <v>228</v>
      </c>
      <c r="K31" s="3">
        <f>IF($L31&lt;&gt;"", IF($H31="A VISTA", "", IF($H31="1+1", $C31 + CADASTROS!$C$4, IF($H31="1+2", $C31 + CADASTROS!$C$5, IF($H31="1+3", $C31 + CADASTROS!$E$4, "")))), "")</f>
        <v>45320</v>
      </c>
      <c r="L31" s="8">
        <f t="shared" si="1"/>
        <v>228</v>
      </c>
      <c r="M31" s="3">
        <f>IF($N31&lt;&gt;"", IF($H31="A VISTA", "", IF($H31="1+1", $C31 + CADASTROS!$C$4, IF($H31="1+2", $C31 + CADASTROS!$D$5, IF($H31="1+3", $C31 + CADASTROS!$D$6, "")))), "")</f>
        <v>45365</v>
      </c>
      <c r="N31" s="8">
        <f t="shared" si="2"/>
        <v>228</v>
      </c>
      <c r="O31" s="3">
        <f>IF($P31&lt;&gt;"", IF($H31="A VISTA", "", IF($H31="1+1", $C31 + CADASTROS!$C$4, IF($H31="1+2", $C31 + CADASTROS!$C$5, IF($H31="1+3", $C31 + CADASTROS!$E$6, "")))), "")</f>
        <v>45380</v>
      </c>
      <c r="P31" s="8">
        <f t="shared" si="3"/>
        <v>228</v>
      </c>
    </row>
    <row r="32" spans="1:16">
      <c r="A32" s="2" t="s">
        <v>168</v>
      </c>
      <c r="B32" s="1" t="s">
        <v>20</v>
      </c>
      <c r="C32" s="3">
        <v>45245</v>
      </c>
      <c r="D32" s="7" t="s">
        <v>69</v>
      </c>
      <c r="E32" s="2" t="s">
        <v>111</v>
      </c>
      <c r="F32" s="2" t="s">
        <v>117</v>
      </c>
      <c r="G32" s="8">
        <v>1239</v>
      </c>
      <c r="H32" s="9" t="s">
        <v>136</v>
      </c>
      <c r="I32" s="3">
        <f>IF($H32="A VISTA", C32 + CADASTROS!$B$3, IF($H32="1+1", C32 + CADASTROS!$B$4, IF(H32="1+2", C32 + CADASTROS!$B$5, IF(H32="1+3", C32 + CADASTROS!$B$6, ""))))</f>
        <v>45246</v>
      </c>
      <c r="J32" s="8">
        <f t="shared" si="0"/>
        <v>309.75</v>
      </c>
      <c r="K32" s="3">
        <f>IF($L32&lt;&gt;"", IF($H32="A VISTA", "", IF($H32="1+1", $C32 + CADASTROS!$C$4, IF($H32="1+2", $C32 + CADASTROS!$C$5, IF($H32="1+3", $C32 + CADASTROS!$E$4, "")))), "")</f>
        <v>45245</v>
      </c>
      <c r="L32" s="8">
        <f t="shared" si="1"/>
        <v>309.75</v>
      </c>
      <c r="M32" s="3">
        <f>IF($N32&lt;&gt;"", IF($H32="A VISTA", "", IF($H32="1+1", $C32 + CADASTROS!$C$4, IF($H32="1+2", $C32 + CADASTROS!$D$5, IF($H32="1+3", $C32 + CADASTROS!$D$6, "")))), "")</f>
        <v>45290</v>
      </c>
      <c r="N32" s="8">
        <f t="shared" si="2"/>
        <v>309.75</v>
      </c>
      <c r="O32" s="3">
        <f>IF($P32&lt;&gt;"", IF($H32="A VISTA", "", IF($H32="1+1", $C32 + CADASTROS!$C$4, IF($H32="1+2", $C32 + CADASTROS!$C$5, IF($H32="1+3", $C32 + CADASTROS!$E$6, "")))), "")</f>
        <v>45305</v>
      </c>
      <c r="P32" s="8">
        <f t="shared" si="3"/>
        <v>309.75</v>
      </c>
    </row>
    <row r="33" spans="1:16">
      <c r="A33" s="2" t="s">
        <v>169</v>
      </c>
      <c r="B33" s="1" t="s">
        <v>23</v>
      </c>
      <c r="C33" s="3">
        <v>45318</v>
      </c>
      <c r="D33" s="7" t="s">
        <v>72</v>
      </c>
      <c r="E33" s="2" t="s">
        <v>110</v>
      </c>
      <c r="F33" s="2" t="s">
        <v>113</v>
      </c>
      <c r="G33" s="8">
        <v>9295</v>
      </c>
      <c r="H33" s="9" t="s">
        <v>126</v>
      </c>
      <c r="I33" s="3">
        <f>IF($H33="A VISTA", C33 + CADASTROS!$B$3, IF($H33="1+1", C33 + CADASTROS!$B$4, IF(H33="1+2", C33 + CADASTROS!$B$5, IF(H33="1+3", C33 + CADASTROS!$B$6, ""))))</f>
        <v>45319</v>
      </c>
      <c r="J33" s="8">
        <f t="shared" si="0"/>
        <v>9295</v>
      </c>
      <c r="K33" s="3" t="str">
        <f>IF($L33&lt;&gt;"", IF($H33="A VISTA", "", IF($H33="1+1", $C33 + CADASTROS!$C$4, IF($H33="1+2", $C33 + CADASTROS!$C$5, IF($H33="1+3", $C33 + CADASTROS!$E$4, "")))), "")</f>
        <v/>
      </c>
      <c r="L33" s="8" t="str">
        <f t="shared" si="1"/>
        <v/>
      </c>
      <c r="M33" s="3" t="str">
        <f>IF($N33&lt;&gt;"", IF($H33="A VISTA", "", IF($H33="1+1", $C33 + CADASTROS!$C$4, IF($H33="1+2", $C33 + CADASTROS!$D$5, IF($H33="1+3", $C33 + CADASTROS!$D$6, "")))), "")</f>
        <v/>
      </c>
      <c r="N33" s="8" t="str">
        <f t="shared" si="2"/>
        <v/>
      </c>
      <c r="O33" s="22"/>
      <c r="P33" s="8" t="str">
        <f t="shared" si="3"/>
        <v/>
      </c>
    </row>
    <row r="34" spans="1:16">
      <c r="A34" s="2" t="s">
        <v>170</v>
      </c>
      <c r="B34" s="1" t="s">
        <v>53</v>
      </c>
      <c r="C34" s="3">
        <v>45209</v>
      </c>
      <c r="D34" s="7" t="s">
        <v>102</v>
      </c>
      <c r="E34" s="2" t="s">
        <v>111</v>
      </c>
      <c r="F34" s="2" t="s">
        <v>117</v>
      </c>
      <c r="G34" s="8">
        <v>3922</v>
      </c>
      <c r="H34" s="9" t="s">
        <v>137</v>
      </c>
      <c r="I34" s="3">
        <f>IF($H34="A VISTA", C34 + CADASTROS!$B$3, IF($H34="1+1", C34 + CADASTROS!$B$4, IF(H34="1+2", C34 + CADASTROS!$B$5, IF(H34="1+3", C34 + CADASTROS!$B$6, ""))))</f>
        <v>45210</v>
      </c>
      <c r="J34" s="8">
        <f t="shared" si="0"/>
        <v>1307.3333333333333</v>
      </c>
      <c r="K34" s="3">
        <f>IF($L34&lt;&gt;"", IF($H34="A VISTA", "", IF($H34="1+1", $C34 + CADASTROS!$C$4, IF($H34="1+2", $C34 + CADASTROS!$C$5, IF($H34="1+3", $C34 + CADASTROS!$E$4, "")))), "")</f>
        <v>45239</v>
      </c>
      <c r="L34" s="8">
        <f t="shared" si="1"/>
        <v>1307.3333333333333</v>
      </c>
      <c r="M34" s="3">
        <f>IF($N34&lt;&gt;"", IF($H34="A VISTA", "", IF($H34="1+1", $C34 + CADASTROS!$C$4, IF($H34="1+2", $C34 + CADASTROS!$D$5, IF($H34="1+3", $C34 + CADASTROS!$D$6, "")))), "")</f>
        <v>45254</v>
      </c>
      <c r="N34" s="8">
        <f t="shared" si="2"/>
        <v>1307.3333333333337</v>
      </c>
      <c r="O34" s="22"/>
      <c r="P34" s="8" t="str">
        <f t="shared" si="3"/>
        <v/>
      </c>
    </row>
    <row r="35" spans="1:16">
      <c r="A35" s="2" t="s">
        <v>171</v>
      </c>
      <c r="B35" s="1" t="s">
        <v>46</v>
      </c>
      <c r="C35" s="3">
        <v>45129</v>
      </c>
      <c r="D35" s="7" t="s">
        <v>95</v>
      </c>
      <c r="E35" s="2" t="s">
        <v>112</v>
      </c>
      <c r="F35" s="2" t="s">
        <v>122</v>
      </c>
      <c r="G35" s="8">
        <v>6216</v>
      </c>
      <c r="H35" s="9" t="s">
        <v>126</v>
      </c>
      <c r="I35" s="3">
        <f>IF($H35="A VISTA", C35 + CADASTROS!$B$3, IF($H35="1+1", C35 + CADASTROS!$B$4, IF(H35="1+2", C35 + CADASTROS!$B$5, IF(H35="1+3", C35 + CADASTROS!$B$6, ""))))</f>
        <v>45130</v>
      </c>
      <c r="J35" s="8">
        <f t="shared" si="0"/>
        <v>6216</v>
      </c>
      <c r="K35" s="3" t="str">
        <f>IF($L35&lt;&gt;"", IF($H35="A VISTA", "", IF($H35="1+1", $C35 + CADASTROS!$C$4, IF($H35="1+2", $C35 + CADASTROS!$C$5, IF($H35="1+3", $C35 + CADASTROS!$E$4, "")))), "")</f>
        <v/>
      </c>
      <c r="L35" s="8" t="str">
        <f t="shared" si="1"/>
        <v/>
      </c>
      <c r="M35" s="3" t="str">
        <f>IF($N35&lt;&gt;"", IF($H35="A VISTA", "", IF($H35="1+1", $C35 + CADASTROS!$C$4, IF($H35="1+2", $C35 + CADASTROS!$D$5, IF($H35="1+3", $C35 + CADASTROS!$D$6, "")))), "")</f>
        <v/>
      </c>
      <c r="N35" s="8" t="str">
        <f t="shared" si="2"/>
        <v/>
      </c>
      <c r="O35" s="22"/>
      <c r="P35" s="8" t="str">
        <f t="shared" si="3"/>
        <v/>
      </c>
    </row>
    <row r="36" spans="1:16">
      <c r="A36" s="2" t="s">
        <v>172</v>
      </c>
      <c r="B36" s="1" t="s">
        <v>31</v>
      </c>
      <c r="C36" s="3">
        <v>45131</v>
      </c>
      <c r="D36" s="7" t="s">
        <v>80</v>
      </c>
      <c r="E36" s="2" t="s">
        <v>111</v>
      </c>
      <c r="F36" s="2" t="s">
        <v>117</v>
      </c>
      <c r="G36" s="8">
        <v>2210</v>
      </c>
      <c r="H36" s="9" t="s">
        <v>138</v>
      </c>
      <c r="I36" s="3">
        <f>IF($H36="A VISTA", C36 + CADASTROS!$B$3, IF($H36="1+1", C36 + CADASTROS!$B$4, IF(H36="1+2", C36 + CADASTROS!$B$5, IF(H36="1+3", C36 + CADASTROS!$B$6, ""))))</f>
        <v>45132</v>
      </c>
      <c r="J36" s="8">
        <f t="shared" si="0"/>
        <v>1105</v>
      </c>
      <c r="K36" s="3">
        <f>IF($L36&lt;&gt;"", IF($H36="A VISTA", "", IF($H36="1+1", $C36 + CADASTROS!$C$4, IF($H36="1+2", $C36 + CADASTROS!$C$5, IF($H36="1+3", $C36 + CADASTROS!$E$4, "")))), "")</f>
        <v>45161</v>
      </c>
      <c r="L36" s="8">
        <f t="shared" si="1"/>
        <v>1105</v>
      </c>
      <c r="M36" s="3" t="str">
        <f>IF($N36&lt;&gt;"", IF($H36="A VISTA", "", IF($H36="1+1", $C36 + CADASTROS!$C$4, IF($H36="1+2", $C36 + CADASTROS!$D$5, IF($H36="1+3", $C36 + CADASTROS!$D$6, "")))), "")</f>
        <v/>
      </c>
      <c r="N36" s="8" t="str">
        <f t="shared" si="2"/>
        <v/>
      </c>
      <c r="O36" s="22"/>
      <c r="P36" s="8" t="str">
        <f t="shared" si="3"/>
        <v/>
      </c>
    </row>
    <row r="37" spans="1:16">
      <c r="A37" s="2" t="s">
        <v>173</v>
      </c>
      <c r="B37" s="1" t="s">
        <v>48</v>
      </c>
      <c r="C37" s="3">
        <v>45357</v>
      </c>
      <c r="D37" s="7" t="s">
        <v>97</v>
      </c>
      <c r="E37" s="2" t="s">
        <v>112</v>
      </c>
      <c r="F37" s="2" t="s">
        <v>123</v>
      </c>
      <c r="G37" s="8">
        <v>9667</v>
      </c>
      <c r="H37" s="9" t="s">
        <v>126</v>
      </c>
      <c r="I37" s="3">
        <f>IF($H37="A VISTA", C37 + CADASTROS!$B$3, IF($H37="1+1", C37 + CADASTROS!$B$4, IF(H37="1+2", C37 + CADASTROS!$B$5, IF(H37="1+3", C37 + CADASTROS!$B$6, ""))))</f>
        <v>45358</v>
      </c>
      <c r="J37" s="8">
        <f t="shared" si="0"/>
        <v>9667</v>
      </c>
      <c r="K37" s="3" t="str">
        <f>IF($L37&lt;&gt;"", IF($H37="A VISTA", "", IF($H37="1+1", $C37 + CADASTROS!$C$4, IF($H37="1+2", $C37 + CADASTROS!$C$5, IF($H37="1+3", $C37 + CADASTROS!$E$4, "")))), "")</f>
        <v/>
      </c>
      <c r="L37" s="8" t="str">
        <f t="shared" si="1"/>
        <v/>
      </c>
      <c r="M37" s="3" t="str">
        <f>IF($N37&lt;&gt;"", IF($H37="A VISTA", "", IF($H37="1+1", $C37 + CADASTROS!$C$4, IF($H37="1+2", $C37 + CADASTROS!$D$5, IF($H37="1+3", $C37 + CADASTROS!$D$6, "")))), "")</f>
        <v/>
      </c>
      <c r="N37" s="8" t="str">
        <f t="shared" si="2"/>
        <v/>
      </c>
      <c r="O37" s="22"/>
      <c r="P37" s="8" t="str">
        <f t="shared" si="3"/>
        <v/>
      </c>
    </row>
    <row r="38" spans="1:16">
      <c r="A38" s="2" t="s">
        <v>174</v>
      </c>
      <c r="B38" s="1" t="s">
        <v>15</v>
      </c>
      <c r="C38" s="3">
        <v>45391</v>
      </c>
      <c r="D38" s="7" t="s">
        <v>64</v>
      </c>
      <c r="E38" s="2" t="s">
        <v>112</v>
      </c>
      <c r="F38" s="2" t="s">
        <v>123</v>
      </c>
      <c r="G38" s="8">
        <v>8317</v>
      </c>
      <c r="H38" s="9" t="s">
        <v>126</v>
      </c>
      <c r="I38" s="3">
        <f>IF($H38="A VISTA", C38 + CADASTROS!$B$3, IF($H38="1+1", C38 + CADASTROS!$B$4, IF(H38="1+2", C38 + CADASTROS!$B$5, IF(H38="1+3", C38 + CADASTROS!$B$6, ""))))</f>
        <v>45392</v>
      </c>
      <c r="J38" s="8">
        <f t="shared" si="0"/>
        <v>8317</v>
      </c>
      <c r="K38" s="3" t="str">
        <f>IF($L38&lt;&gt;"", IF($H38="A VISTA", "", IF($H38="1+1", $C38 + CADASTROS!$C$4, IF($H38="1+2", $C38 + CADASTROS!$C$5, IF($H38="1+3", $C38 + CADASTROS!$E$4, "")))), "")</f>
        <v/>
      </c>
      <c r="L38" s="8" t="str">
        <f t="shared" si="1"/>
        <v/>
      </c>
      <c r="M38" s="3" t="str">
        <f>IF($N38&lt;&gt;"", IF($H38="A VISTA", "", IF($H38="1+1", $C38 + CADASTROS!$C$4, IF($H38="1+2", $C38 + CADASTROS!$D$5, IF($H38="1+3", $C38 + CADASTROS!$D$6, "")))), "")</f>
        <v/>
      </c>
      <c r="N38" s="8" t="str">
        <f t="shared" si="2"/>
        <v/>
      </c>
      <c r="O38" s="22"/>
      <c r="P38" s="8" t="str">
        <f t="shared" si="3"/>
        <v/>
      </c>
    </row>
    <row r="39" spans="1:16">
      <c r="A39" s="2" t="s">
        <v>175</v>
      </c>
      <c r="B39" s="1" t="s">
        <v>26</v>
      </c>
      <c r="C39" s="3">
        <v>45201</v>
      </c>
      <c r="D39" s="7" t="s">
        <v>75</v>
      </c>
      <c r="E39" s="2" t="s">
        <v>112</v>
      </c>
      <c r="F39" s="2" t="s">
        <v>123</v>
      </c>
      <c r="G39" s="8">
        <v>2499</v>
      </c>
      <c r="H39" s="9" t="s">
        <v>126</v>
      </c>
      <c r="I39" s="3">
        <f>IF($H39="A VISTA", C39 + CADASTROS!$B$3, IF($H39="1+1", C39 + CADASTROS!$B$4, IF(H39="1+2", C39 + CADASTROS!$B$5, IF(H39="1+3", C39 + CADASTROS!$B$6, ""))))</f>
        <v>45202</v>
      </c>
      <c r="J39" s="8">
        <f t="shared" si="0"/>
        <v>2499</v>
      </c>
      <c r="K39" s="3" t="str">
        <f>IF($L39&lt;&gt;"", IF($H39="A VISTA", "", IF($H39="1+1", $C39 + CADASTROS!$C$4, IF($H39="1+2", $C39 + CADASTROS!$C$5, IF($H39="1+3", $C39 + CADASTROS!$E$4, "")))), "")</f>
        <v/>
      </c>
      <c r="L39" s="8" t="str">
        <f t="shared" si="1"/>
        <v/>
      </c>
      <c r="M39" s="3" t="str">
        <f>IF($N39&lt;&gt;"", IF($H39="A VISTA", "", IF($H39="1+1", $C39 + CADASTROS!$C$4, IF($H39="1+2", $C39 + CADASTROS!$D$5, IF($H39="1+3", $C39 + CADASTROS!$D$6, "")))), "")</f>
        <v/>
      </c>
      <c r="N39" s="8" t="str">
        <f t="shared" si="2"/>
        <v/>
      </c>
      <c r="O39" s="22"/>
      <c r="P39" s="8" t="str">
        <f t="shared" si="3"/>
        <v/>
      </c>
    </row>
    <row r="40" spans="1:16">
      <c r="A40" s="2" t="s">
        <v>176</v>
      </c>
      <c r="B40" s="1" t="s">
        <v>18</v>
      </c>
      <c r="C40" s="3">
        <v>45255</v>
      </c>
      <c r="D40" s="7" t="s">
        <v>67</v>
      </c>
      <c r="E40" s="2" t="s">
        <v>111</v>
      </c>
      <c r="F40" s="2" t="s">
        <v>121</v>
      </c>
      <c r="G40" s="8">
        <v>2271</v>
      </c>
      <c r="H40" s="9" t="s">
        <v>137</v>
      </c>
      <c r="I40" s="3">
        <f>IF($H40="A VISTA", C40 + CADASTROS!$B$3, IF($H40="1+1", C40 + CADASTROS!$B$4, IF(H40="1+2", C40 + CADASTROS!$B$5, IF(H40="1+3", C40 + CADASTROS!$B$6, ""))))</f>
        <v>45256</v>
      </c>
      <c r="J40" s="8">
        <f t="shared" si="0"/>
        <v>757</v>
      </c>
      <c r="K40" s="3">
        <f>IF($L40&lt;&gt;"", IF($H40="A VISTA", "", IF($H40="1+1", $C40 + CADASTROS!$C$4, IF($H40="1+2", $C40 + CADASTROS!$C$5, IF($H40="1+3", $C40 + CADASTROS!$E$4, "")))), "")</f>
        <v>45285</v>
      </c>
      <c r="L40" s="8">
        <f t="shared" si="1"/>
        <v>757</v>
      </c>
      <c r="M40" s="3">
        <f>IF($N40&lt;&gt;"", IF($H40="A VISTA", "", IF($H40="1+1", $C40 + CADASTROS!$C$4, IF($H40="1+2", $C40 + CADASTROS!$D$5, IF($H40="1+3", $C40 + CADASTROS!$D$6, "")))), "")</f>
        <v>45300</v>
      </c>
      <c r="N40" s="8">
        <f t="shared" si="2"/>
        <v>757</v>
      </c>
      <c r="O40" s="22"/>
      <c r="P40" s="8" t="str">
        <f t="shared" si="3"/>
        <v/>
      </c>
    </row>
    <row r="41" spans="1:16">
      <c r="A41" s="2" t="s">
        <v>177</v>
      </c>
      <c r="B41" s="1" t="s">
        <v>15</v>
      </c>
      <c r="C41" s="3">
        <v>45509</v>
      </c>
      <c r="D41" s="7" t="s">
        <v>64</v>
      </c>
      <c r="E41" s="2" t="s">
        <v>112</v>
      </c>
      <c r="F41" s="2" t="s">
        <v>123</v>
      </c>
      <c r="G41" s="8">
        <v>3684</v>
      </c>
      <c r="H41" s="9" t="s">
        <v>126</v>
      </c>
      <c r="I41" s="3">
        <f>IF($H41="A VISTA", C41 + CADASTROS!$B$3, IF($H41="1+1", C41 + CADASTROS!$B$4, IF(H41="1+2", C41 + CADASTROS!$B$5, IF(H41="1+3", C41 + CADASTROS!$B$6, ""))))</f>
        <v>45510</v>
      </c>
      <c r="J41" s="8">
        <f t="shared" si="0"/>
        <v>3684</v>
      </c>
      <c r="K41" s="3" t="str">
        <f>IF($L41&lt;&gt;"", IF($H41="A VISTA", "", IF($H41="1+1", $C41 + CADASTROS!$C$4, IF($H41="1+2", $C41 + CADASTROS!$C$5, IF($H41="1+3", $C41 + CADASTROS!$E$4, "")))), "")</f>
        <v/>
      </c>
      <c r="L41" s="8" t="str">
        <f t="shared" si="1"/>
        <v/>
      </c>
      <c r="M41" s="3" t="str">
        <f>IF($N41&lt;&gt;"", IF($H41="A VISTA", "", IF($H41="1+1", $C41 + CADASTROS!$C$4, IF($H41="1+2", $C41 + CADASTROS!$D$5, IF($H41="1+3", $C41 + CADASTROS!$D$6, "")))), "")</f>
        <v/>
      </c>
      <c r="N41" s="8" t="str">
        <f t="shared" si="2"/>
        <v/>
      </c>
      <c r="O41" s="22"/>
      <c r="P41" s="8" t="str">
        <f t="shared" si="3"/>
        <v/>
      </c>
    </row>
    <row r="42" spans="1:16">
      <c r="A42" s="2" t="s">
        <v>178</v>
      </c>
      <c r="B42" s="1" t="s">
        <v>28</v>
      </c>
      <c r="C42" s="3">
        <v>45216</v>
      </c>
      <c r="D42" s="7" t="s">
        <v>77</v>
      </c>
      <c r="E42" s="2" t="s">
        <v>110</v>
      </c>
      <c r="F42" s="2" t="s">
        <v>114</v>
      </c>
      <c r="G42" s="8">
        <v>5533</v>
      </c>
      <c r="H42" s="9" t="s">
        <v>138</v>
      </c>
      <c r="I42" s="3">
        <f>IF($H42="A VISTA", C42 + CADASTROS!$B$3, IF($H42="1+1", C42 + CADASTROS!$B$4, IF(H42="1+2", C42 + CADASTROS!$B$5, IF(H42="1+3", C42 + CADASTROS!$B$6, ""))))</f>
        <v>45217</v>
      </c>
      <c r="J42" s="8">
        <f t="shared" si="0"/>
        <v>2766.5</v>
      </c>
      <c r="K42" s="3">
        <f>IF($L42&lt;&gt;"", IF($H42="A VISTA", "", IF($H42="1+1", $C42 + CADASTROS!$C$4, IF($H42="1+2", $C42 + CADASTROS!$C$5, IF($H42="1+3", $C42 + CADASTROS!$E$4, "")))), "")</f>
        <v>45246</v>
      </c>
      <c r="L42" s="8">
        <f t="shared" si="1"/>
        <v>2766.5</v>
      </c>
      <c r="M42" s="3" t="str">
        <f>IF($N42&lt;&gt;"", IF($H42="A VISTA", "", IF($H42="1+1", $C42 + CADASTROS!$C$4, IF($H42="1+2", $C42 + CADASTROS!$D$5, IF($H42="1+3", $C42 + CADASTROS!$D$6, "")))), "")</f>
        <v/>
      </c>
      <c r="N42" s="8" t="str">
        <f t="shared" si="2"/>
        <v/>
      </c>
      <c r="O42" s="22"/>
      <c r="P42" s="8" t="str">
        <f t="shared" si="3"/>
        <v/>
      </c>
    </row>
    <row r="43" spans="1:16">
      <c r="A43" s="2" t="s">
        <v>179</v>
      </c>
      <c r="B43" s="1" t="s">
        <v>22</v>
      </c>
      <c r="C43" s="3">
        <v>45292</v>
      </c>
      <c r="D43" s="7" t="s">
        <v>71</v>
      </c>
      <c r="E43" s="2" t="s">
        <v>111</v>
      </c>
      <c r="F43" s="2" t="s">
        <v>119</v>
      </c>
      <c r="G43" s="8">
        <v>9498</v>
      </c>
      <c r="H43" s="9" t="s">
        <v>137</v>
      </c>
      <c r="I43" s="3">
        <f>IF($H43="A VISTA", C43 + CADASTROS!$B$3, IF($H43="1+1", C43 + CADASTROS!$B$4, IF(H43="1+2", C43 + CADASTROS!$B$5, IF(H43="1+3", C43 + CADASTROS!$B$6, ""))))</f>
        <v>45293</v>
      </c>
      <c r="J43" s="8">
        <f t="shared" si="0"/>
        <v>3166</v>
      </c>
      <c r="K43" s="3">
        <f>IF($L43&lt;&gt;"", IF($H43="A VISTA", "", IF($H43="1+1", $C43 + CADASTROS!$C$4, IF($H43="1+2", $C43 + CADASTROS!$C$5, IF($H43="1+3", $C43 + CADASTROS!$E$4, "")))), "")</f>
        <v>45322</v>
      </c>
      <c r="L43" s="8">
        <f t="shared" si="1"/>
        <v>3166</v>
      </c>
      <c r="M43" s="3">
        <f>IF($N43&lt;&gt;"", IF($H43="A VISTA", "", IF($H43="1+1", $C43 + CADASTROS!$C$4, IF($H43="1+2", $C43 + CADASTROS!$D$5, IF($H43="1+3", $C43 + CADASTROS!$D$6, "")))), "")</f>
        <v>45337</v>
      </c>
      <c r="N43" s="8">
        <f t="shared" si="2"/>
        <v>3166</v>
      </c>
      <c r="O43" s="22"/>
      <c r="P43" s="8" t="str">
        <f t="shared" si="3"/>
        <v/>
      </c>
    </row>
    <row r="44" spans="1:16">
      <c r="A44" s="2" t="s">
        <v>180</v>
      </c>
      <c r="B44" s="1" t="s">
        <v>15</v>
      </c>
      <c r="C44" s="3">
        <v>45150</v>
      </c>
      <c r="D44" s="7" t="s">
        <v>64</v>
      </c>
      <c r="E44" s="2" t="s">
        <v>112</v>
      </c>
      <c r="F44" s="2" t="s">
        <v>123</v>
      </c>
      <c r="G44" s="8">
        <v>4564</v>
      </c>
      <c r="H44" s="9" t="s">
        <v>126</v>
      </c>
      <c r="I44" s="3">
        <f>IF($H44="A VISTA", C44 + CADASTROS!$B$3, IF($H44="1+1", C44 + CADASTROS!$B$4, IF(H44="1+2", C44 + CADASTROS!$B$5, IF(H44="1+3", C44 + CADASTROS!$B$6, ""))))</f>
        <v>45151</v>
      </c>
      <c r="J44" s="8">
        <f t="shared" si="0"/>
        <v>4564</v>
      </c>
      <c r="K44" s="3" t="str">
        <f>IF($L44&lt;&gt;"", IF($H44="A VISTA", "", IF($H44="1+1", $C44 + CADASTROS!$C$4, IF($H44="1+2", $C44 + CADASTROS!$C$5, IF($H44="1+3", $C44 + CADASTROS!$E$4, "")))), "")</f>
        <v/>
      </c>
      <c r="L44" s="8" t="str">
        <f t="shared" si="1"/>
        <v/>
      </c>
      <c r="M44" s="3" t="str">
        <f>IF($N44&lt;&gt;"", IF($H44="A VISTA", "", IF($H44="1+1", $C44 + CADASTROS!$C$4, IF($H44="1+2", $C44 + CADASTROS!$D$5, IF($H44="1+3", $C44 + CADASTROS!$D$6, "")))), "")</f>
        <v/>
      </c>
      <c r="N44" s="8" t="str">
        <f t="shared" si="2"/>
        <v/>
      </c>
      <c r="O44" s="22"/>
      <c r="P44" s="8" t="str">
        <f t="shared" si="3"/>
        <v/>
      </c>
    </row>
    <row r="45" spans="1:16">
      <c r="A45" s="2" t="s">
        <v>181</v>
      </c>
      <c r="B45" s="1" t="s">
        <v>52</v>
      </c>
      <c r="C45" s="3">
        <v>45493</v>
      </c>
      <c r="D45" s="7" t="s">
        <v>101</v>
      </c>
      <c r="E45" s="2" t="s">
        <v>111</v>
      </c>
      <c r="F45" s="2" t="s">
        <v>118</v>
      </c>
      <c r="G45" s="8">
        <v>5538</v>
      </c>
      <c r="H45" s="9" t="s">
        <v>136</v>
      </c>
      <c r="I45" s="3">
        <f>IF($H45="A VISTA", C45 + CADASTROS!$B$3, IF($H45="1+1", C45 + CADASTROS!$B$4, IF(H45="1+2", C45 + CADASTROS!$B$5, IF(H45="1+3", C45 + CADASTROS!$B$6, ""))))</f>
        <v>45494</v>
      </c>
      <c r="J45" s="8">
        <f t="shared" si="0"/>
        <v>1384.5</v>
      </c>
      <c r="K45" s="3">
        <f>IF($L45&lt;&gt;"", IF($H45="A VISTA", "", IF($H45="1+1", $C45 + CADASTROS!$C$4, IF($H45="1+2", $C45 + CADASTROS!$C$5, IF($H45="1+3", $C45 + CADASTROS!$E$4, "")))), "")</f>
        <v>45493</v>
      </c>
      <c r="L45" s="8">
        <f t="shared" si="1"/>
        <v>1384.5</v>
      </c>
      <c r="M45" s="3">
        <f>IF($N45&lt;&gt;"", IF($H45="A VISTA", "", IF($H45="1+1", $C45 + CADASTROS!$C$4, IF($H45="1+2", $C45 + CADASTROS!$D$5, IF($H45="1+3", $C45 + CADASTROS!$D$6, "")))), "")</f>
        <v>45538</v>
      </c>
      <c r="N45" s="8">
        <f t="shared" si="2"/>
        <v>1384.5</v>
      </c>
      <c r="O45" s="3">
        <f>IF($P45&lt;&gt;"", IF($H45="A VISTA", "", IF($H45="1+1", $C45 + CADASTROS!$C$4, IF($H45="1+2", $C45 + CADASTROS!$C$5, IF($H45="1+3", $C45 + CADASTROS!$E$6, "")))), "")</f>
        <v>45553</v>
      </c>
      <c r="P45" s="8">
        <f t="shared" si="3"/>
        <v>1384.5</v>
      </c>
    </row>
    <row r="46" spans="1:16">
      <c r="A46" s="2" t="s">
        <v>182</v>
      </c>
      <c r="B46" s="1" t="s">
        <v>56</v>
      </c>
      <c r="C46" s="3">
        <v>45320</v>
      </c>
      <c r="D46" s="7" t="s">
        <v>105</v>
      </c>
      <c r="E46" s="2" t="s">
        <v>110</v>
      </c>
      <c r="F46" s="2" t="s">
        <v>113</v>
      </c>
      <c r="G46" s="8">
        <v>3074</v>
      </c>
      <c r="H46" s="9" t="s">
        <v>126</v>
      </c>
      <c r="I46" s="3">
        <f>IF($H46="A VISTA", C46 + CADASTROS!$B$3, IF($H46="1+1", C46 + CADASTROS!$B$4, IF(H46="1+2", C46 + CADASTROS!$B$5, IF(H46="1+3", C46 + CADASTROS!$B$6, ""))))</f>
        <v>45321</v>
      </c>
      <c r="J46" s="8">
        <f t="shared" si="0"/>
        <v>3074</v>
      </c>
      <c r="K46" s="3" t="str">
        <f>IF($L46&lt;&gt;"", IF($H46="A VISTA", "", IF($H46="1+1", $C46 + CADASTROS!$C$4, IF($H46="1+2", $C46 + CADASTROS!$C$5, IF($H46="1+3", $C46 + CADASTROS!$E$4, "")))), "")</f>
        <v/>
      </c>
      <c r="L46" s="8" t="str">
        <f t="shared" si="1"/>
        <v/>
      </c>
      <c r="M46" s="3" t="str">
        <f>IF($N46&lt;&gt;"", IF($H46="A VISTA", "", IF($H46="1+1", $C46 + CADASTROS!$C$4, IF($H46="1+2", $C46 + CADASTROS!$D$5, IF($H46="1+3", $C46 + CADASTROS!$D$6, "")))), "")</f>
        <v/>
      </c>
      <c r="N46" s="8" t="str">
        <f t="shared" si="2"/>
        <v/>
      </c>
      <c r="O46" s="22"/>
      <c r="P46" s="8" t="str">
        <f t="shared" si="3"/>
        <v/>
      </c>
    </row>
    <row r="47" spans="1:16">
      <c r="A47" s="2" t="s">
        <v>183</v>
      </c>
      <c r="B47" s="1" t="s">
        <v>22</v>
      </c>
      <c r="C47" s="3">
        <v>45527</v>
      </c>
      <c r="D47" s="7" t="s">
        <v>71</v>
      </c>
      <c r="E47" s="2" t="s">
        <v>111</v>
      </c>
      <c r="F47" s="2" t="s">
        <v>119</v>
      </c>
      <c r="G47" s="8">
        <v>1534</v>
      </c>
      <c r="H47" s="9" t="s">
        <v>136</v>
      </c>
      <c r="I47" s="3">
        <f>IF($H47="A VISTA", C47 + CADASTROS!$B$3, IF($H47="1+1", C47 + CADASTROS!$B$4, IF(H47="1+2", C47 + CADASTROS!$B$5, IF(H47="1+3", C47 + CADASTROS!$B$6, ""))))</f>
        <v>45528</v>
      </c>
      <c r="J47" s="8">
        <f t="shared" si="0"/>
        <v>383.5</v>
      </c>
      <c r="K47" s="3">
        <f>IF($L47&lt;&gt;"", IF($H47="A VISTA", "", IF($H47="1+1", $C47 + CADASTROS!$C$4, IF($H47="1+2", $C47 + CADASTROS!$C$5, IF($H47="1+3", $C47 + CADASTROS!$E$4, "")))), "")</f>
        <v>45527</v>
      </c>
      <c r="L47" s="8">
        <f t="shared" si="1"/>
        <v>383.5</v>
      </c>
      <c r="M47" s="3">
        <f>IF($N47&lt;&gt;"", IF($H47="A VISTA", "", IF($H47="1+1", $C47 + CADASTROS!$C$4, IF($H47="1+2", $C47 + CADASTROS!$D$5, IF($H47="1+3", $C47 + CADASTROS!$D$6, "")))), "")</f>
        <v>45572</v>
      </c>
      <c r="N47" s="8">
        <f t="shared" si="2"/>
        <v>383.5</v>
      </c>
      <c r="O47" s="3">
        <f>IF($P47&lt;&gt;"", IF($H47="A VISTA", "", IF($H47="1+1", $C47 + CADASTROS!$C$4, IF($H47="1+2", $C47 + CADASTROS!$C$5, IF($H47="1+3", $C47 + CADASTROS!$E$6, "")))), "")</f>
        <v>45587</v>
      </c>
      <c r="P47" s="8">
        <f t="shared" si="3"/>
        <v>383.5</v>
      </c>
    </row>
    <row r="48" spans="1:16">
      <c r="A48" s="2" t="s">
        <v>184</v>
      </c>
      <c r="B48" s="1" t="s">
        <v>16</v>
      </c>
      <c r="C48" s="3">
        <v>45178</v>
      </c>
      <c r="D48" s="7" t="s">
        <v>65</v>
      </c>
      <c r="E48" s="2" t="s">
        <v>110</v>
      </c>
      <c r="F48" s="2" t="s">
        <v>125</v>
      </c>
      <c r="G48" s="8">
        <v>7469</v>
      </c>
      <c r="H48" s="9" t="s">
        <v>126</v>
      </c>
      <c r="I48" s="3">
        <f>IF($H48="A VISTA", C48 + CADASTROS!$B$3, IF($H48="1+1", C48 + CADASTROS!$B$4, IF(H48="1+2", C48 + CADASTROS!$B$5, IF(H48="1+3", C48 + CADASTROS!$B$6, ""))))</f>
        <v>45179</v>
      </c>
      <c r="J48" s="8">
        <f t="shared" si="0"/>
        <v>7469</v>
      </c>
      <c r="K48" s="3" t="str">
        <f>IF($L48&lt;&gt;"", IF($H48="A VISTA", "", IF($H48="1+1", $C48 + CADASTROS!$C$4, IF($H48="1+2", $C48 + CADASTROS!$C$5, IF($H48="1+3", $C48 + CADASTROS!$E$4, "")))), "")</f>
        <v/>
      </c>
      <c r="L48" s="8" t="str">
        <f t="shared" si="1"/>
        <v/>
      </c>
      <c r="M48" s="3" t="str">
        <f>IF($N48&lt;&gt;"", IF($H48="A VISTA", "", IF($H48="1+1", $C48 + CADASTROS!$C$4, IF($H48="1+2", $C48 + CADASTROS!$D$5, IF($H48="1+3", $C48 + CADASTROS!$D$6, "")))), "")</f>
        <v/>
      </c>
      <c r="N48" s="8" t="str">
        <f t="shared" si="2"/>
        <v/>
      </c>
      <c r="O48" s="22"/>
      <c r="P48" s="8" t="str">
        <f t="shared" si="3"/>
        <v/>
      </c>
    </row>
    <row r="49" spans="1:16">
      <c r="A49" s="2" t="s">
        <v>185</v>
      </c>
      <c r="B49" s="1" t="s">
        <v>19</v>
      </c>
      <c r="C49" s="3">
        <v>45363</v>
      </c>
      <c r="D49" s="7" t="s">
        <v>68</v>
      </c>
      <c r="E49" s="2" t="s">
        <v>111</v>
      </c>
      <c r="F49" s="2" t="s">
        <v>118</v>
      </c>
      <c r="G49" s="8">
        <v>9947</v>
      </c>
      <c r="H49" s="9" t="s">
        <v>137</v>
      </c>
      <c r="I49" s="3">
        <f>IF($H49="A VISTA", C49 + CADASTROS!$B$3, IF($H49="1+1", C49 + CADASTROS!$B$4, IF(H49="1+2", C49 + CADASTROS!$B$5, IF(H49="1+3", C49 + CADASTROS!$B$6, ""))))</f>
        <v>45364</v>
      </c>
      <c r="J49" s="8">
        <f t="shared" si="0"/>
        <v>3315.6666666666665</v>
      </c>
      <c r="K49" s="3">
        <f>IF($L49&lt;&gt;"", IF($H49="A VISTA", "", IF($H49="1+1", $C49 + CADASTROS!$C$4, IF($H49="1+2", $C49 + CADASTROS!$C$5, IF($H49="1+3", $C49 + CADASTROS!$E$4, "")))), "")</f>
        <v>45393</v>
      </c>
      <c r="L49" s="8">
        <f t="shared" si="1"/>
        <v>3315.6666666666665</v>
      </c>
      <c r="M49" s="3">
        <f>IF($N49&lt;&gt;"", IF($H49="A VISTA", "", IF($H49="1+1", $C49 + CADASTROS!$C$4, IF($H49="1+2", $C49 + CADASTROS!$D$5, IF($H49="1+3", $C49 + CADASTROS!$D$6, "")))), "")</f>
        <v>45408</v>
      </c>
      <c r="N49" s="8">
        <f t="shared" si="2"/>
        <v>3315.6666666666674</v>
      </c>
      <c r="O49" s="22"/>
      <c r="P49" s="8" t="str">
        <f t="shared" si="3"/>
        <v/>
      </c>
    </row>
    <row r="50" spans="1:16">
      <c r="A50" s="2" t="s">
        <v>186</v>
      </c>
      <c r="B50" s="1" t="s">
        <v>39</v>
      </c>
      <c r="C50" s="3">
        <v>45472</v>
      </c>
      <c r="D50" s="7" t="s">
        <v>88</v>
      </c>
      <c r="E50" s="2" t="s">
        <v>110</v>
      </c>
      <c r="F50" s="2" t="s">
        <v>114</v>
      </c>
      <c r="G50" s="8">
        <v>2814</v>
      </c>
      <c r="H50" s="9" t="s">
        <v>126</v>
      </c>
      <c r="I50" s="3">
        <f>IF($H50="A VISTA", C50 + CADASTROS!$B$3, IF($H50="1+1", C50 + CADASTROS!$B$4, IF(H50="1+2", C50 + CADASTROS!$B$5, IF(H50="1+3", C50 + CADASTROS!$B$6, ""))))</f>
        <v>45473</v>
      </c>
      <c r="J50" s="8">
        <f t="shared" si="0"/>
        <v>2814</v>
      </c>
      <c r="K50" s="3" t="str">
        <f>IF($L50&lt;&gt;"", IF($H50="A VISTA", "", IF($H50="1+1", $C50 + CADASTROS!$C$4, IF($H50="1+2", $C50 + CADASTROS!$C$5, IF($H50="1+3", $C50 + CADASTROS!$E$4, "")))), "")</f>
        <v/>
      </c>
      <c r="L50" s="8" t="str">
        <f t="shared" si="1"/>
        <v/>
      </c>
      <c r="M50" s="3" t="str">
        <f>IF($N50&lt;&gt;"", IF($H50="A VISTA", "", IF($H50="1+1", $C50 + CADASTROS!$C$4, IF($H50="1+2", $C50 + CADASTROS!$D$5, IF($H50="1+3", $C50 + CADASTROS!$D$6, "")))), "")</f>
        <v/>
      </c>
      <c r="N50" s="8" t="str">
        <f t="shared" si="2"/>
        <v/>
      </c>
      <c r="O50" s="22"/>
      <c r="P50" s="8" t="str">
        <f t="shared" si="3"/>
        <v/>
      </c>
    </row>
    <row r="51" spans="1:16">
      <c r="A51" s="2" t="s">
        <v>187</v>
      </c>
      <c r="B51" s="1" t="s">
        <v>26</v>
      </c>
      <c r="C51" s="3">
        <v>45285</v>
      </c>
      <c r="D51" s="7" t="s">
        <v>75</v>
      </c>
      <c r="E51" s="2" t="s">
        <v>112</v>
      </c>
      <c r="F51" s="2" t="s">
        <v>123</v>
      </c>
      <c r="G51" s="8">
        <v>2049</v>
      </c>
      <c r="H51" s="9" t="s">
        <v>126</v>
      </c>
      <c r="I51" s="3">
        <f>IF($H51="A VISTA", C51 + CADASTROS!$B$3, IF($H51="1+1", C51 + CADASTROS!$B$4, IF(H51="1+2", C51 + CADASTROS!$B$5, IF(H51="1+3", C51 + CADASTROS!$B$6, ""))))</f>
        <v>45286</v>
      </c>
      <c r="J51" s="8">
        <f t="shared" si="0"/>
        <v>2049</v>
      </c>
      <c r="K51" s="3" t="str">
        <f>IF($L51&lt;&gt;"", IF($H51="A VISTA", "", IF($H51="1+1", $C51 + CADASTROS!$C$4, IF($H51="1+2", $C51 + CADASTROS!$C$5, IF($H51="1+3", $C51 + CADASTROS!$E$4, "")))), "")</f>
        <v/>
      </c>
      <c r="L51" s="8" t="str">
        <f t="shared" si="1"/>
        <v/>
      </c>
      <c r="M51" s="3" t="str">
        <f>IF($N51&lt;&gt;"", IF($H51="A VISTA", "", IF($H51="1+1", $C51 + CADASTROS!$C$4, IF($H51="1+2", $C51 + CADASTROS!$D$5, IF($H51="1+3", $C51 + CADASTROS!$D$6, "")))), "")</f>
        <v/>
      </c>
      <c r="N51" s="8" t="str">
        <f t="shared" si="2"/>
        <v/>
      </c>
      <c r="O51" s="22"/>
      <c r="P51" s="8" t="str">
        <f t="shared" si="3"/>
        <v/>
      </c>
    </row>
    <row r="52" spans="1:16">
      <c r="A52" s="2" t="s">
        <v>188</v>
      </c>
      <c r="B52" s="1" t="s">
        <v>31</v>
      </c>
      <c r="C52" s="3">
        <v>45293</v>
      </c>
      <c r="D52" s="7" t="s">
        <v>80</v>
      </c>
      <c r="E52" s="2" t="s">
        <v>111</v>
      </c>
      <c r="F52" s="2" t="s">
        <v>117</v>
      </c>
      <c r="G52" s="8">
        <v>4784</v>
      </c>
      <c r="H52" s="9" t="s">
        <v>138</v>
      </c>
      <c r="I52" s="3">
        <f>IF($H52="A VISTA", C52 + CADASTROS!$B$3, IF($H52="1+1", C52 + CADASTROS!$B$4, IF(H52="1+2", C52 + CADASTROS!$B$5, IF(H52="1+3", C52 + CADASTROS!$B$6, ""))))</f>
        <v>45294</v>
      </c>
      <c r="J52" s="8">
        <f t="shared" si="0"/>
        <v>2392</v>
      </c>
      <c r="K52" s="3">
        <f>IF($L52&lt;&gt;"", IF($H52="A VISTA", "", IF($H52="1+1", $C52 + CADASTROS!$C$4, IF($H52="1+2", $C52 + CADASTROS!$C$5, IF($H52="1+3", $C52 + CADASTROS!$E$4, "")))), "")</f>
        <v>45323</v>
      </c>
      <c r="L52" s="8">
        <f t="shared" si="1"/>
        <v>2392</v>
      </c>
      <c r="M52" s="3" t="str">
        <f>IF($N52&lt;&gt;"", IF($H52="A VISTA", "", IF($H52="1+1", $C52 + CADASTROS!$C$4, IF($H52="1+2", $C52 + CADASTROS!$D$5, IF($H52="1+3", $C52 + CADASTROS!$D$6, "")))), "")</f>
        <v/>
      </c>
      <c r="N52" s="8" t="str">
        <f t="shared" si="2"/>
        <v/>
      </c>
      <c r="O52" s="22"/>
      <c r="P52" s="8" t="str">
        <f t="shared" si="3"/>
        <v/>
      </c>
    </row>
    <row r="53" spans="1:16">
      <c r="A53" s="2" t="s">
        <v>189</v>
      </c>
      <c r="B53" s="1" t="s">
        <v>19</v>
      </c>
      <c r="C53" s="3">
        <v>45089</v>
      </c>
      <c r="D53" s="7" t="s">
        <v>68</v>
      </c>
      <c r="E53" s="4" t="s">
        <v>111</v>
      </c>
      <c r="F53" s="4" t="s">
        <v>118</v>
      </c>
      <c r="G53" s="8">
        <v>3758</v>
      </c>
      <c r="H53" s="8" t="s">
        <v>137</v>
      </c>
      <c r="I53" s="3">
        <f>IF($H53="A VISTA", C53 + CADASTROS!$B$3, IF($H53="1+1", C53 + CADASTROS!$B$4, IF(H53="1+2", C53 + CADASTROS!$B$5, IF(H53="1+3", C53 + CADASTROS!$B$6, ""))))</f>
        <v>45090</v>
      </c>
      <c r="J53" s="8">
        <f t="shared" si="0"/>
        <v>1252.6666666666667</v>
      </c>
      <c r="K53" s="3">
        <f>IF($L53&lt;&gt;"", IF($H53="A VISTA", "", IF($H53="1+1", $C53 + CADASTROS!$C$4, IF($H53="1+2", $C53 + CADASTROS!$C$5, IF($H53="1+3", $C53 + CADASTROS!$E$4, "")))), "")</f>
        <v>45119</v>
      </c>
      <c r="L53" s="8">
        <f t="shared" si="1"/>
        <v>1252.6666666666667</v>
      </c>
      <c r="M53" s="3">
        <f>IF($N53&lt;&gt;"", IF($H53="A VISTA", "", IF($H53="1+1", $C53 + CADASTROS!$C$4, IF($H53="1+2", $C53 + CADASTROS!$D$5, IF($H53="1+3", $C53 + CADASTROS!$D$6, "")))), "")</f>
        <v>45134</v>
      </c>
      <c r="N53" s="8">
        <f t="shared" si="2"/>
        <v>1252.6666666666663</v>
      </c>
      <c r="O53" s="22"/>
      <c r="P53" s="8" t="str">
        <f t="shared" si="3"/>
        <v/>
      </c>
    </row>
    <row r="54" spans="1:16">
      <c r="A54" s="2" t="s">
        <v>190</v>
      </c>
      <c r="B54" s="6" t="s">
        <v>37</v>
      </c>
      <c r="C54" s="7">
        <v>45240</v>
      </c>
      <c r="D54" s="7" t="s">
        <v>86</v>
      </c>
      <c r="E54" s="4" t="s">
        <v>112</v>
      </c>
      <c r="F54" s="4" t="s">
        <v>123</v>
      </c>
      <c r="G54" s="8">
        <v>3093</v>
      </c>
      <c r="H54" s="8" t="s">
        <v>126</v>
      </c>
      <c r="I54" s="3">
        <f>IF($H54="A VISTA", C54 + CADASTROS!$B$3, IF($H54="1+1", C54 + CADASTROS!$B$4, IF(H54="1+2", C54 + CADASTROS!$B$5, IF(H54="1+3", C54 + CADASTROS!$B$6, ""))))</f>
        <v>45241</v>
      </c>
      <c r="J54" s="8">
        <f t="shared" si="0"/>
        <v>3093</v>
      </c>
      <c r="K54" s="3" t="str">
        <f>IF($L54&lt;&gt;"", IF($H54="A VISTA", "", IF($H54="1+1", $C54 + CADASTROS!$C$4, IF($H54="1+2", $C54 + CADASTROS!$C$5, IF($H54="1+3", $C54 + CADASTROS!$E$4, "")))), "")</f>
        <v/>
      </c>
      <c r="L54" s="8" t="str">
        <f t="shared" si="1"/>
        <v/>
      </c>
      <c r="M54" s="3" t="str">
        <f>IF($N54&lt;&gt;"", IF($H54="A VISTA", "", IF($H54="1+1", $C54 + CADASTROS!$C$4, IF($H54="1+2", $C54 + CADASTROS!$D$5, IF($H54="1+3", $C54 + CADASTROS!$D$6, "")))), "")</f>
        <v/>
      </c>
      <c r="N54" s="8" t="str">
        <f t="shared" si="2"/>
        <v/>
      </c>
      <c r="O54" s="22"/>
      <c r="P54" s="8" t="str">
        <f t="shared" si="3"/>
        <v/>
      </c>
    </row>
    <row r="55" spans="1:16">
      <c r="A55" s="2" t="s">
        <v>191</v>
      </c>
      <c r="B55" s="6" t="s">
        <v>14</v>
      </c>
      <c r="C55" s="7">
        <v>45158</v>
      </c>
      <c r="D55" s="7" t="s">
        <v>61</v>
      </c>
      <c r="E55" s="4" t="s">
        <v>110</v>
      </c>
      <c r="F55" s="4" t="s">
        <v>113</v>
      </c>
      <c r="G55" s="8">
        <v>6874</v>
      </c>
      <c r="H55" s="8" t="s">
        <v>137</v>
      </c>
      <c r="I55" s="3">
        <f>IF($H55="A VISTA", C55 + CADASTROS!$B$3, IF($H55="1+1", C55 + CADASTROS!$B$4, IF(H55="1+2", C55 + CADASTROS!$B$5, IF(H55="1+3", C55 + CADASTROS!$B$6, ""))))</f>
        <v>45159</v>
      </c>
      <c r="J55" s="8">
        <f t="shared" si="0"/>
        <v>2291.3333333333335</v>
      </c>
      <c r="K55" s="3">
        <f>IF($L55&lt;&gt;"", IF($H55="A VISTA", "", IF($H55="1+1", $C55 + CADASTROS!$C$4, IF($H55="1+2", $C55 + CADASTROS!$C$5, IF($H55="1+3", $C55 + CADASTROS!$E$4, "")))), "")</f>
        <v>45188</v>
      </c>
      <c r="L55" s="8">
        <f t="shared" si="1"/>
        <v>2291.3333333333335</v>
      </c>
      <c r="M55" s="3">
        <f>IF($N55&lt;&gt;"", IF($H55="A VISTA", "", IF($H55="1+1", $C55 + CADASTROS!$C$4, IF($H55="1+2", $C55 + CADASTROS!$D$5, IF($H55="1+3", $C55 + CADASTROS!$D$6, "")))), "")</f>
        <v>45203</v>
      </c>
      <c r="N55" s="8">
        <f t="shared" si="2"/>
        <v>2291.3333333333326</v>
      </c>
      <c r="O55" s="22"/>
      <c r="P55" s="8" t="str">
        <f t="shared" si="3"/>
        <v/>
      </c>
    </row>
    <row r="56" spans="1:16">
      <c r="A56" s="2" t="s">
        <v>192</v>
      </c>
      <c r="B56" s="6" t="s">
        <v>51</v>
      </c>
      <c r="C56" s="7">
        <v>45315</v>
      </c>
      <c r="D56" s="7" t="s">
        <v>100</v>
      </c>
      <c r="E56" s="4" t="s">
        <v>111</v>
      </c>
      <c r="F56" s="4" t="s">
        <v>121</v>
      </c>
      <c r="G56" s="8">
        <v>9167</v>
      </c>
      <c r="H56" s="8" t="s">
        <v>138</v>
      </c>
      <c r="I56" s="3">
        <f>IF($H56="A VISTA", C56 + CADASTROS!$B$3, IF($H56="1+1", C56 + CADASTROS!$B$4, IF(H56="1+2", C56 + CADASTROS!$B$5, IF(H56="1+3", C56 + CADASTROS!$B$6, ""))))</f>
        <v>45316</v>
      </c>
      <c r="J56" s="8">
        <f t="shared" si="0"/>
        <v>4583.5</v>
      </c>
      <c r="K56" s="3">
        <f>IF($L56&lt;&gt;"", IF($H56="A VISTA", "", IF($H56="1+1", $C56 + CADASTROS!$C$4, IF($H56="1+2", $C56 + CADASTROS!$C$5, IF($H56="1+3", $C56 + CADASTROS!$E$4, "")))), "")</f>
        <v>45345</v>
      </c>
      <c r="L56" s="8">
        <f t="shared" si="1"/>
        <v>4583.5</v>
      </c>
      <c r="M56" s="3" t="str">
        <f>IF($N56&lt;&gt;"", IF($H56="A VISTA", "", IF($H56="1+1", $C56 + CADASTROS!$C$4, IF($H56="1+2", $C56 + CADASTROS!$D$5, IF($H56="1+3", $C56 + CADASTROS!$D$6, "")))), "")</f>
        <v/>
      </c>
      <c r="N56" s="8" t="str">
        <f t="shared" si="2"/>
        <v/>
      </c>
      <c r="O56" s="22"/>
      <c r="P56" s="8" t="str">
        <f t="shared" si="3"/>
        <v/>
      </c>
    </row>
    <row r="57" spans="1:16">
      <c r="A57" s="2" t="s">
        <v>193</v>
      </c>
      <c r="B57" s="6" t="s">
        <v>18</v>
      </c>
      <c r="C57" s="7">
        <v>45284</v>
      </c>
      <c r="D57" s="7" t="s">
        <v>67</v>
      </c>
      <c r="E57" s="4" t="s">
        <v>111</v>
      </c>
      <c r="F57" s="4" t="s">
        <v>121</v>
      </c>
      <c r="G57" s="8">
        <v>9532</v>
      </c>
      <c r="H57" s="8" t="s">
        <v>137</v>
      </c>
      <c r="I57" s="3">
        <f>IF($H57="A VISTA", C57 + CADASTROS!$B$3, IF($H57="1+1", C57 + CADASTROS!$B$4, IF(H57="1+2", C57 + CADASTROS!$B$5, IF(H57="1+3", C57 + CADASTROS!$B$6, ""))))</f>
        <v>45285</v>
      </c>
      <c r="J57" s="8">
        <f t="shared" si="0"/>
        <v>3177.3333333333335</v>
      </c>
      <c r="K57" s="3">
        <f>IF($L57&lt;&gt;"", IF($H57="A VISTA", "", IF($H57="1+1", $C57 + CADASTROS!$C$4, IF($H57="1+2", $C57 + CADASTROS!$C$5, IF($H57="1+3", $C57 + CADASTROS!$E$4, "")))), "")</f>
        <v>45314</v>
      </c>
      <c r="L57" s="8">
        <f t="shared" si="1"/>
        <v>3177.3333333333335</v>
      </c>
      <c r="M57" s="3">
        <f>IF($N57&lt;&gt;"", IF($H57="A VISTA", "", IF($H57="1+1", $C57 + CADASTROS!$C$4, IF($H57="1+2", $C57 + CADASTROS!$D$5, IF($H57="1+3", $C57 + CADASTROS!$D$6, "")))), "")</f>
        <v>45329</v>
      </c>
      <c r="N57" s="8">
        <f t="shared" si="2"/>
        <v>3177.3333333333326</v>
      </c>
      <c r="O57" s="22"/>
      <c r="P57" s="8" t="str">
        <f t="shared" si="3"/>
        <v/>
      </c>
    </row>
    <row r="58" spans="1:16">
      <c r="A58" s="2" t="s">
        <v>194</v>
      </c>
      <c r="B58" s="6" t="s">
        <v>49</v>
      </c>
      <c r="C58" s="7">
        <v>45441</v>
      </c>
      <c r="D58" s="7" t="s">
        <v>98</v>
      </c>
      <c r="E58" s="4" t="s">
        <v>110</v>
      </c>
      <c r="F58" s="4" t="s">
        <v>125</v>
      </c>
      <c r="G58" s="8">
        <v>4103</v>
      </c>
      <c r="H58" s="8" t="s">
        <v>126</v>
      </c>
      <c r="I58" s="3">
        <f>IF($H58="A VISTA", C58 + CADASTROS!$B$3, IF($H58="1+1", C58 + CADASTROS!$B$4, IF(H58="1+2", C58 + CADASTROS!$B$5, IF(H58="1+3", C58 + CADASTROS!$B$6, ""))))</f>
        <v>45442</v>
      </c>
      <c r="J58" s="8">
        <f t="shared" si="0"/>
        <v>4103</v>
      </c>
      <c r="K58" s="3" t="str">
        <f>IF($L58&lt;&gt;"", IF($H58="A VISTA", "", IF($H58="1+1", $C58 + CADASTROS!$C$4, IF($H58="1+2", $C58 + CADASTROS!$C$5, IF($H58="1+3", $C58 + CADASTROS!$E$4, "")))), "")</f>
        <v/>
      </c>
      <c r="L58" s="8" t="str">
        <f t="shared" si="1"/>
        <v/>
      </c>
      <c r="M58" s="3" t="str">
        <f>IF($N58&lt;&gt;"", IF($H58="A VISTA", "", IF($H58="1+1", $C58 + CADASTROS!$C$4, IF($H58="1+2", $C58 + CADASTROS!$D$5, IF($H58="1+3", $C58 + CADASTROS!$D$6, "")))), "")</f>
        <v/>
      </c>
      <c r="N58" s="8" t="str">
        <f t="shared" si="2"/>
        <v/>
      </c>
      <c r="O58" s="22"/>
      <c r="P58" s="8" t="str">
        <f t="shared" si="3"/>
        <v/>
      </c>
    </row>
    <row r="59" spans="1:16">
      <c r="A59" s="2" t="s">
        <v>195</v>
      </c>
      <c r="B59" s="6" t="s">
        <v>24</v>
      </c>
      <c r="C59" s="7">
        <v>45354</v>
      </c>
      <c r="D59" s="7" t="s">
        <v>73</v>
      </c>
      <c r="E59" s="4" t="s">
        <v>112</v>
      </c>
      <c r="F59" s="4" t="s">
        <v>122</v>
      </c>
      <c r="G59" s="8">
        <v>3979</v>
      </c>
      <c r="H59" s="8" t="s">
        <v>126</v>
      </c>
      <c r="I59" s="3">
        <f>IF($H59="A VISTA", C59 + CADASTROS!$B$3, IF($H59="1+1", C59 + CADASTROS!$B$4, IF(H59="1+2", C59 + CADASTROS!$B$5, IF(H59="1+3", C59 + CADASTROS!$B$6, ""))))</f>
        <v>45355</v>
      </c>
      <c r="J59" s="8">
        <f t="shared" si="0"/>
        <v>3979</v>
      </c>
      <c r="K59" s="3" t="str">
        <f>IF($L59&lt;&gt;"", IF($H59="A VISTA", "", IF($H59="1+1", $C59 + CADASTROS!$C$4, IF($H59="1+2", $C59 + CADASTROS!$C$5, IF($H59="1+3", $C59 + CADASTROS!$E$4, "")))), "")</f>
        <v/>
      </c>
      <c r="L59" s="8" t="str">
        <f t="shared" si="1"/>
        <v/>
      </c>
      <c r="M59" s="3" t="str">
        <f>IF($N59&lt;&gt;"", IF($H59="A VISTA", "", IF($H59="1+1", $C59 + CADASTROS!$C$4, IF($H59="1+2", $C59 + CADASTROS!$D$5, IF($H59="1+3", $C59 + CADASTROS!$D$6, "")))), "")</f>
        <v/>
      </c>
      <c r="N59" s="8" t="str">
        <f t="shared" si="2"/>
        <v/>
      </c>
      <c r="O59" s="22"/>
      <c r="P59" s="8" t="str">
        <f t="shared" si="3"/>
        <v/>
      </c>
    </row>
    <row r="60" spans="1:16">
      <c r="A60" s="2" t="s">
        <v>196</v>
      </c>
      <c r="B60" s="6" t="s">
        <v>13</v>
      </c>
      <c r="C60" s="7">
        <v>45306</v>
      </c>
      <c r="D60" s="7" t="s">
        <v>63</v>
      </c>
      <c r="E60" s="4" t="s">
        <v>111</v>
      </c>
      <c r="F60" s="4" t="s">
        <v>120</v>
      </c>
      <c r="G60" s="8">
        <v>3454</v>
      </c>
      <c r="H60" s="8" t="s">
        <v>136</v>
      </c>
      <c r="I60" s="3">
        <f>IF($H60="A VISTA", C60 + CADASTROS!$B$3, IF($H60="1+1", C60 + CADASTROS!$B$4, IF(H60="1+2", C60 + CADASTROS!$B$5, IF(H60="1+3", C60 + CADASTROS!$B$6, ""))))</f>
        <v>45307</v>
      </c>
      <c r="J60" s="8">
        <f t="shared" si="0"/>
        <v>863.5</v>
      </c>
      <c r="K60" s="3">
        <f>IF($L60&lt;&gt;"", IF($H60="A VISTA", "", IF($H60="1+1", $C60 + CADASTROS!$C$4, IF($H60="1+2", $C60 + CADASTROS!$C$5, IF($H60="1+3", $C60 + CADASTROS!$E$4, "")))), "")</f>
        <v>45306</v>
      </c>
      <c r="L60" s="8">
        <f t="shared" si="1"/>
        <v>863.5</v>
      </c>
      <c r="M60" s="3">
        <f>IF($N60&lt;&gt;"", IF($H60="A VISTA", "", IF($H60="1+1", $C60 + CADASTROS!$C$4, IF($H60="1+2", $C60 + CADASTROS!$D$5, IF($H60="1+3", $C60 + CADASTROS!$D$6, "")))), "")</f>
        <v>45351</v>
      </c>
      <c r="N60" s="8">
        <f t="shared" si="2"/>
        <v>863.5</v>
      </c>
      <c r="O60" s="3">
        <f>IF($P60&lt;&gt;"", IF($H60="A VISTA", "", IF($H60="1+1", $C60 + CADASTROS!$C$4, IF($H60="1+2", $C60 + CADASTROS!$C$5, IF($H60="1+3", $C60 + CADASTROS!$E$6, "")))), "")</f>
        <v>45366</v>
      </c>
      <c r="P60" s="8">
        <f t="shared" si="3"/>
        <v>863.5</v>
      </c>
    </row>
    <row r="61" spans="1:16">
      <c r="A61" s="2" t="s">
        <v>197</v>
      </c>
      <c r="B61" s="6" t="s">
        <v>46</v>
      </c>
      <c r="C61" s="7">
        <v>45277</v>
      </c>
      <c r="D61" s="7" t="s">
        <v>95</v>
      </c>
      <c r="E61" s="4" t="s">
        <v>112</v>
      </c>
      <c r="F61" s="4" t="s">
        <v>122</v>
      </c>
      <c r="G61" s="8">
        <v>1846</v>
      </c>
      <c r="H61" s="8" t="s">
        <v>126</v>
      </c>
      <c r="I61" s="3">
        <f>IF($H61="A VISTA", C61 + CADASTROS!$B$3, IF($H61="1+1", C61 + CADASTROS!$B$4, IF(H61="1+2", C61 + CADASTROS!$B$5, IF(H61="1+3", C61 + CADASTROS!$B$6, ""))))</f>
        <v>45278</v>
      </c>
      <c r="J61" s="8">
        <f t="shared" si="0"/>
        <v>1846</v>
      </c>
      <c r="K61" s="3" t="str">
        <f>IF($L61&lt;&gt;"", IF($H61="A VISTA", "", IF($H61="1+1", $C61 + CADASTROS!$C$4, IF($H61="1+2", $C61 + CADASTROS!$C$5, IF($H61="1+3", $C61 + CADASTROS!$E$4, "")))), "")</f>
        <v/>
      </c>
      <c r="L61" s="8" t="str">
        <f t="shared" si="1"/>
        <v/>
      </c>
      <c r="M61" s="3" t="str">
        <f>IF($N61&lt;&gt;"", IF($H61="A VISTA", "", IF($H61="1+1", $C61 + CADASTROS!$C$4, IF($H61="1+2", $C61 + CADASTROS!$D$5, IF($H61="1+3", $C61 + CADASTROS!$D$6, "")))), "")</f>
        <v/>
      </c>
      <c r="N61" s="8" t="str">
        <f t="shared" si="2"/>
        <v/>
      </c>
      <c r="O61" s="22"/>
      <c r="P61" s="8" t="str">
        <f t="shared" si="3"/>
        <v/>
      </c>
    </row>
    <row r="62" spans="1:16">
      <c r="A62" s="2" t="s">
        <v>198</v>
      </c>
      <c r="B62" s="6" t="s">
        <v>30</v>
      </c>
      <c r="C62" s="7">
        <v>45203</v>
      </c>
      <c r="D62" s="7" t="s">
        <v>79</v>
      </c>
      <c r="E62" s="4" t="s">
        <v>111</v>
      </c>
      <c r="F62" s="4" t="s">
        <v>118</v>
      </c>
      <c r="G62" s="8">
        <v>4464</v>
      </c>
      <c r="H62" s="8" t="s">
        <v>126</v>
      </c>
      <c r="I62" s="3">
        <f>IF($H62="A VISTA", C62 + CADASTROS!$B$3, IF($H62="1+1", C62 + CADASTROS!$B$4, IF(H62="1+2", C62 + CADASTROS!$B$5, IF(H62="1+3", C62 + CADASTROS!$B$6, ""))))</f>
        <v>45204</v>
      </c>
      <c r="J62" s="8">
        <f t="shared" si="0"/>
        <v>4464</v>
      </c>
      <c r="K62" s="3" t="str">
        <f>IF($L62&lt;&gt;"", IF($H62="A VISTA", "", IF($H62="1+1", $C62 + CADASTROS!$C$4, IF($H62="1+2", $C62 + CADASTROS!$C$5, IF($H62="1+3", $C62 + CADASTROS!$E$4, "")))), "")</f>
        <v/>
      </c>
      <c r="L62" s="8" t="str">
        <f t="shared" si="1"/>
        <v/>
      </c>
      <c r="M62" s="3" t="str">
        <f>IF($N62&lt;&gt;"", IF($H62="A VISTA", "", IF($H62="1+1", $C62 + CADASTROS!$C$4, IF($H62="1+2", $C62 + CADASTROS!$D$5, IF($H62="1+3", $C62 + CADASTROS!$D$6, "")))), "")</f>
        <v/>
      </c>
      <c r="N62" s="8" t="str">
        <f t="shared" si="2"/>
        <v/>
      </c>
      <c r="O62" s="22"/>
      <c r="P62" s="8" t="str">
        <f t="shared" si="3"/>
        <v/>
      </c>
    </row>
    <row r="63" spans="1:16">
      <c r="A63" s="2" t="s">
        <v>199</v>
      </c>
      <c r="B63" s="6" t="s">
        <v>38</v>
      </c>
      <c r="C63" s="7">
        <v>45238</v>
      </c>
      <c r="D63" s="7" t="s">
        <v>87</v>
      </c>
      <c r="E63" s="4" t="s">
        <v>110</v>
      </c>
      <c r="F63" s="4" t="s">
        <v>125</v>
      </c>
      <c r="G63" s="8">
        <v>4026</v>
      </c>
      <c r="H63" s="8" t="s">
        <v>137</v>
      </c>
      <c r="I63" s="3">
        <f>IF($H63="A VISTA", C63 + CADASTROS!$B$3, IF($H63="1+1", C63 + CADASTROS!$B$4, IF(H63="1+2", C63 + CADASTROS!$B$5, IF(H63="1+3", C63 + CADASTROS!$B$6, ""))))</f>
        <v>45239</v>
      </c>
      <c r="J63" s="8">
        <f t="shared" si="0"/>
        <v>1342</v>
      </c>
      <c r="K63" s="3">
        <f>IF($L63&lt;&gt;"", IF($H63="A VISTA", "", IF($H63="1+1", $C63 + CADASTROS!$C$4, IF($H63="1+2", $C63 + CADASTROS!$C$5, IF($H63="1+3", $C63 + CADASTROS!$E$4, "")))), "")</f>
        <v>45268</v>
      </c>
      <c r="L63" s="8">
        <f t="shared" si="1"/>
        <v>1342</v>
      </c>
      <c r="M63" s="3">
        <f>IF($N63&lt;&gt;"", IF($H63="A VISTA", "", IF($H63="1+1", $C63 + CADASTROS!$C$4, IF($H63="1+2", $C63 + CADASTROS!$D$5, IF($H63="1+3", $C63 + CADASTROS!$D$6, "")))), "")</f>
        <v>45283</v>
      </c>
      <c r="N63" s="8">
        <f t="shared" si="2"/>
        <v>1342</v>
      </c>
      <c r="O63" s="3" t="str">
        <f>IF($P63&lt;&gt;"", IF($H63="A VISTA", "", IF($H63="1+1", $C63 + CADASTROS!$C$4, IF($H63="1+2", $C63 + CADASTROS!$C$5, IF($H63="1+3", $C63 + CADASTROS!$E$6, "")))), "")</f>
        <v/>
      </c>
      <c r="P63" s="8" t="str">
        <f t="shared" si="3"/>
        <v/>
      </c>
    </row>
    <row r="64" spans="1:16">
      <c r="A64" s="2" t="s">
        <v>200</v>
      </c>
      <c r="B64" s="6" t="s">
        <v>52</v>
      </c>
      <c r="C64" s="7">
        <v>45143</v>
      </c>
      <c r="D64" s="7" t="s">
        <v>101</v>
      </c>
      <c r="E64" s="4" t="s">
        <v>111</v>
      </c>
      <c r="F64" s="4" t="s">
        <v>118</v>
      </c>
      <c r="G64" s="8">
        <v>7675</v>
      </c>
      <c r="H64" s="8" t="s">
        <v>137</v>
      </c>
      <c r="I64" s="3">
        <f>IF($H64="A VISTA", C64 + CADASTROS!$B$3, IF($H64="1+1", C64 + CADASTROS!$B$4, IF(H64="1+2", C64 + CADASTROS!$B$5, IF(H64="1+3", C64 + CADASTROS!$B$6, ""))))</f>
        <v>45144</v>
      </c>
      <c r="J64" s="8">
        <f t="shared" si="0"/>
        <v>2558.3333333333335</v>
      </c>
      <c r="K64" s="3">
        <f>IF($L64&lt;&gt;"", IF($H64="A VISTA", "", IF($H64="1+1", $C64 + CADASTROS!$C$4, IF($H64="1+2", $C64 + CADASTROS!$C$5, IF($H64="1+3", $C64 + CADASTROS!$E$4, "")))), "")</f>
        <v>45173</v>
      </c>
      <c r="L64" s="8">
        <f t="shared" si="1"/>
        <v>2558.3333333333335</v>
      </c>
      <c r="M64" s="3">
        <f>IF($N64&lt;&gt;"", IF($H64="A VISTA", "", IF($H64="1+1", $C64 + CADASTROS!$C$4, IF($H64="1+2", $C64 + CADASTROS!$D$5, IF($H64="1+3", $C64 + CADASTROS!$D$6, "")))), "")</f>
        <v>45188</v>
      </c>
      <c r="N64" s="8">
        <f t="shared" si="2"/>
        <v>2558.3333333333326</v>
      </c>
      <c r="O64" s="3" t="str">
        <f>IF($P64&lt;&gt;"", IF($H64="A VISTA", "", IF($H64="1+1", $C64 + CADASTROS!$C$4, IF($H64="1+2", $C64 + CADASTROS!$C$5, IF($H64="1+3", $C64 + CADASTROS!$E$6, "")))), "")</f>
        <v/>
      </c>
      <c r="P64" s="8" t="str">
        <f t="shared" si="3"/>
        <v/>
      </c>
    </row>
    <row r="65" spans="1:16">
      <c r="A65" s="2" t="s">
        <v>201</v>
      </c>
      <c r="B65" s="6" t="s">
        <v>41</v>
      </c>
      <c r="C65" s="7">
        <v>45123</v>
      </c>
      <c r="D65" s="7" t="s">
        <v>90</v>
      </c>
      <c r="E65" s="4" t="s">
        <v>111</v>
      </c>
      <c r="F65" s="4" t="s">
        <v>118</v>
      </c>
      <c r="G65" s="8">
        <v>1083</v>
      </c>
      <c r="H65" s="8" t="s">
        <v>138</v>
      </c>
      <c r="I65" s="3">
        <f>IF($H65="A VISTA", C65 + CADASTROS!$B$3, IF($H65="1+1", C65 + CADASTROS!$B$4, IF(H65="1+2", C65 + CADASTROS!$B$5, IF(H65="1+3", C65 + CADASTROS!$B$6, ""))))</f>
        <v>45124</v>
      </c>
      <c r="J65" s="8">
        <f t="shared" si="0"/>
        <v>541.5</v>
      </c>
      <c r="K65" s="3">
        <f>IF($L65&lt;&gt;"", IF($H65="A VISTA", "", IF($H65="1+1", $C65 + CADASTROS!$C$4, IF($H65="1+2", $C65 + CADASTROS!$C$5, IF($H65="1+3", $C65 + CADASTROS!$E$4, "")))), "")</f>
        <v>45153</v>
      </c>
      <c r="L65" s="8">
        <f t="shared" si="1"/>
        <v>541.5</v>
      </c>
      <c r="M65" s="3" t="str">
        <f>IF($N65&lt;&gt;"", IF($H65="A VISTA", "", IF($H65="1+1", $C65 + CADASTROS!$C$4, IF($H65="1+2", $C65 + CADASTROS!$D$5, IF($H65="1+3", $C65 + CADASTROS!$D$6, "")))), "")</f>
        <v/>
      </c>
      <c r="N65" s="8" t="str">
        <f t="shared" si="2"/>
        <v/>
      </c>
      <c r="O65" s="22"/>
      <c r="P65" s="8" t="str">
        <f t="shared" si="3"/>
        <v/>
      </c>
    </row>
    <row r="66" spans="1:16">
      <c r="A66" s="2" t="s">
        <v>202</v>
      </c>
      <c r="B66" s="6" t="s">
        <v>43</v>
      </c>
      <c r="C66" s="7">
        <v>45208</v>
      </c>
      <c r="D66" s="7" t="s">
        <v>92</v>
      </c>
      <c r="E66" s="4" t="s">
        <v>110</v>
      </c>
      <c r="F66" s="4" t="s">
        <v>124</v>
      </c>
      <c r="G66" s="8">
        <v>937</v>
      </c>
      <c r="H66" s="8" t="s">
        <v>138</v>
      </c>
      <c r="I66" s="3">
        <f>IF($H66="A VISTA", C66 + CADASTROS!$B$3, IF($H66="1+1", C66 + CADASTROS!$B$4, IF(H66="1+2", C66 + CADASTROS!$B$5, IF(H66="1+3", C66 + CADASTROS!$B$6, ""))))</f>
        <v>45209</v>
      </c>
      <c r="J66" s="8">
        <f t="shared" si="0"/>
        <v>468.5</v>
      </c>
      <c r="K66" s="3">
        <f>IF($L66&lt;&gt;"", IF($H66="A VISTA", "", IF($H66="1+1", $C66 + CADASTROS!$C$4, IF($H66="1+2", $C66 + CADASTROS!$C$5, IF($H66="1+3", $C66 + CADASTROS!$E$4, "")))), "")</f>
        <v>45238</v>
      </c>
      <c r="L66" s="8">
        <f t="shared" si="1"/>
        <v>468.5</v>
      </c>
      <c r="M66" s="3" t="str">
        <f>IF($N66&lt;&gt;"", IF($H66="A VISTA", "", IF($H66="1+1", $C66 + CADASTROS!$C$4, IF($H66="1+2", $C66 + CADASTROS!$D$5, IF($H66="1+3", $C66 + CADASTROS!$D$6, "")))), "")</f>
        <v/>
      </c>
      <c r="N66" s="8" t="str">
        <f t="shared" si="2"/>
        <v/>
      </c>
      <c r="O66" s="22"/>
      <c r="P66" s="8" t="str">
        <f t="shared" si="3"/>
        <v/>
      </c>
    </row>
    <row r="67" spans="1:16">
      <c r="A67" s="2" t="s">
        <v>203</v>
      </c>
      <c r="B67" s="6" t="s">
        <v>53</v>
      </c>
      <c r="C67" s="7">
        <v>45385</v>
      </c>
      <c r="D67" s="7" t="s">
        <v>102</v>
      </c>
      <c r="E67" s="4" t="s">
        <v>111</v>
      </c>
      <c r="F67" s="4" t="s">
        <v>117</v>
      </c>
      <c r="G67" s="8">
        <v>5152</v>
      </c>
      <c r="H67" s="8" t="s">
        <v>138</v>
      </c>
      <c r="I67" s="3">
        <f>IF($H67="A VISTA", C67 + CADASTROS!$B$3, IF($H67="1+1", C67 + CADASTROS!$B$4, IF(H67="1+2", C67 + CADASTROS!$B$5, IF(H67="1+3", C67 + CADASTROS!$B$6, ""))))</f>
        <v>45386</v>
      </c>
      <c r="J67" s="8">
        <f t="shared" ref="J67:J130" si="4">IF($H67="A VISTA", $G67, IF($H67="1+1", $G67/2, IF($H67="1+2", $G67/3, IF($H67="1+3", $G67/4, ""))))</f>
        <v>2576</v>
      </c>
      <c r="K67" s="3">
        <f>IF($L67&lt;&gt;"", IF($H67="A VISTA", "", IF($H67="1+1", $C67 + CADASTROS!$C$4, IF($H67="1+2", $C67 + CADASTROS!$C$5, IF($H67="1+3", $C67 + CADASTROS!$E$4, "")))), "")</f>
        <v>45415</v>
      </c>
      <c r="L67" s="8">
        <f t="shared" ref="L67:L130" si="5">IF($H67="A VISTA", "", IF($H67="1+1", $G67-$J67, IF($H67="1+2", $G67/3, IF($H67="1+3", ($G67-$J67)/3, ""))))</f>
        <v>2576</v>
      </c>
      <c r="M67" s="3" t="str">
        <f>IF($N67&lt;&gt;"", IF($H67="A VISTA", "", IF($H67="1+1", $C67 + CADASTROS!$C$4, IF($H67="1+2", $C67 + CADASTROS!$D$5, IF($H67="1+3", $C67 + CADASTROS!$D$6, "")))), "")</f>
        <v/>
      </c>
      <c r="N67" s="8" t="str">
        <f t="shared" ref="N67:N130" si="6">IF($H67="A VISTA","",IF($H67="1+2",$G67-$J67-$L67,IF($H67="1+3",($G67-$J67-$L67)/2,"")))</f>
        <v/>
      </c>
      <c r="O67" s="22"/>
      <c r="P67" s="8" t="str">
        <f t="shared" ref="P67:P130" si="7">IF($H67="A VISTA", "", IF($H67="1+3", $G67-$J67-$L67-$N67, ""))</f>
        <v/>
      </c>
    </row>
    <row r="68" spans="1:16">
      <c r="A68" s="2" t="s">
        <v>204</v>
      </c>
      <c r="B68" s="6" t="s">
        <v>51</v>
      </c>
      <c r="C68" s="7">
        <v>45194</v>
      </c>
      <c r="D68" s="7" t="s">
        <v>100</v>
      </c>
      <c r="E68" s="4" t="s">
        <v>111</v>
      </c>
      <c r="F68" s="4" t="s">
        <v>121</v>
      </c>
      <c r="G68" s="8">
        <v>1653</v>
      </c>
      <c r="H68" s="8" t="s">
        <v>136</v>
      </c>
      <c r="I68" s="3">
        <f>IF($H68="A VISTA", C68 + CADASTROS!$B$3, IF($H68="1+1", C68 + CADASTROS!$B$4, IF(H68="1+2", C68 + CADASTROS!$B$5, IF(H68="1+3", C68 + CADASTROS!$B$6, ""))))</f>
        <v>45195</v>
      </c>
      <c r="J68" s="8">
        <f t="shared" si="4"/>
        <v>413.25</v>
      </c>
      <c r="K68" s="3">
        <f>IF($L68&lt;&gt;"", IF($H68="A VISTA", "", IF($H68="1+1", $C68 + CADASTROS!$C$4, IF($H68="1+2", $C68 + CADASTROS!$C$5, IF($H68="1+3", $C68 + CADASTROS!$E$4, "")))), "")</f>
        <v>45194</v>
      </c>
      <c r="L68" s="8">
        <f t="shared" si="5"/>
        <v>413.25</v>
      </c>
      <c r="M68" s="3">
        <f>IF($N68&lt;&gt;"", IF($H68="A VISTA", "", IF($H68="1+1", $C68 + CADASTROS!$C$4, IF($H68="1+2", $C68 + CADASTROS!$D$5, IF($H68="1+3", $C68 + CADASTROS!$D$6, "")))), "")</f>
        <v>45239</v>
      </c>
      <c r="N68" s="8">
        <f t="shared" si="6"/>
        <v>413.25</v>
      </c>
      <c r="O68" s="3">
        <f>IF($P68&lt;&gt;"", IF($H68="A VISTA", "", IF($H68="1+1", $C68 + CADASTROS!$C$4, IF($H68="1+2", $C68 + CADASTROS!$C$5, IF($H68="1+3", $C68 + CADASTROS!$E$6, "")))), "")</f>
        <v>45254</v>
      </c>
      <c r="P68" s="8">
        <f t="shared" si="7"/>
        <v>413.25</v>
      </c>
    </row>
    <row r="69" spans="1:16">
      <c r="A69" s="2" t="s">
        <v>205</v>
      </c>
      <c r="B69" s="6" t="s">
        <v>44</v>
      </c>
      <c r="C69" s="7">
        <v>45501</v>
      </c>
      <c r="D69" s="7" t="s">
        <v>93</v>
      </c>
      <c r="E69" s="4" t="s">
        <v>111</v>
      </c>
      <c r="F69" s="4" t="s">
        <v>119</v>
      </c>
      <c r="G69" s="8">
        <v>1492</v>
      </c>
      <c r="H69" s="8" t="s">
        <v>136</v>
      </c>
      <c r="I69" s="3">
        <f>IF($H69="A VISTA", C69 + CADASTROS!$B$3, IF($H69="1+1", C69 + CADASTROS!$B$4, IF(H69="1+2", C69 + CADASTROS!$B$5, IF(H69="1+3", C69 + CADASTROS!$B$6, ""))))</f>
        <v>45502</v>
      </c>
      <c r="J69" s="8">
        <f t="shared" si="4"/>
        <v>373</v>
      </c>
      <c r="K69" s="3">
        <f>IF($L69&lt;&gt;"", IF($H69="A VISTA", "", IF($H69="1+1", $C69 + CADASTROS!$C$4, IF($H69="1+2", $C69 + CADASTROS!$C$5, IF($H69="1+3", $C69 + CADASTROS!$E$4, "")))), "")</f>
        <v>45501</v>
      </c>
      <c r="L69" s="8">
        <f t="shared" si="5"/>
        <v>373</v>
      </c>
      <c r="M69" s="3">
        <f>IF($N69&lt;&gt;"", IF($H69="A VISTA", "", IF($H69="1+1", $C69 + CADASTROS!$C$4, IF($H69="1+2", $C69 + CADASTROS!$D$5, IF($H69="1+3", $C69 + CADASTROS!$D$6, "")))), "")</f>
        <v>45546</v>
      </c>
      <c r="N69" s="8">
        <f t="shared" si="6"/>
        <v>373</v>
      </c>
      <c r="O69" s="3">
        <f>IF($P69&lt;&gt;"", IF($H69="A VISTA", "", IF($H69="1+1", $C69 + CADASTROS!$C$4, IF($H69="1+2", $C69 + CADASTROS!$C$5, IF($H69="1+3", $C69 + CADASTROS!$E$6, "")))), "")</f>
        <v>45561</v>
      </c>
      <c r="P69" s="8">
        <f t="shared" si="7"/>
        <v>373</v>
      </c>
    </row>
    <row r="70" spans="1:16">
      <c r="A70" s="2" t="s">
        <v>206</v>
      </c>
      <c r="B70" s="6" t="s">
        <v>32</v>
      </c>
      <c r="C70" s="7">
        <v>45053</v>
      </c>
      <c r="D70" s="7" t="s">
        <v>81</v>
      </c>
      <c r="E70" s="4" t="s">
        <v>110</v>
      </c>
      <c r="F70" s="4" t="s">
        <v>124</v>
      </c>
      <c r="G70" s="8">
        <v>1271</v>
      </c>
      <c r="H70" s="8" t="s">
        <v>136</v>
      </c>
      <c r="I70" s="3">
        <f>IF($H70="A VISTA", C70 + CADASTROS!$B$3, IF($H70="1+1", C70 + CADASTROS!$B$4, IF(H70="1+2", C70 + CADASTROS!$B$5, IF(H70="1+3", C70 + CADASTROS!$B$6, ""))))</f>
        <v>45054</v>
      </c>
      <c r="J70" s="8">
        <f t="shared" si="4"/>
        <v>317.75</v>
      </c>
      <c r="K70" s="3">
        <f>IF($L70&lt;&gt;"", IF($H70="A VISTA", "", IF($H70="1+1", $C70 + CADASTROS!$C$4, IF($H70="1+2", $C70 + CADASTROS!$C$5, IF($H70="1+3", $C70 + CADASTROS!$E$4, "")))), "")</f>
        <v>45053</v>
      </c>
      <c r="L70" s="8">
        <f t="shared" si="5"/>
        <v>317.75</v>
      </c>
      <c r="M70" s="3">
        <f>IF($N70&lt;&gt;"", IF($H70="A VISTA", "", IF($H70="1+1", $C70 + CADASTROS!$C$4, IF($H70="1+2", $C70 + CADASTROS!$D$5, IF($H70="1+3", $C70 + CADASTROS!$D$6, "")))), "")</f>
        <v>45098</v>
      </c>
      <c r="N70" s="8">
        <f t="shared" si="6"/>
        <v>317.75</v>
      </c>
      <c r="O70" s="3">
        <f>IF($P70&lt;&gt;"", IF($H70="A VISTA", "", IF($H70="1+1", $C70 + CADASTROS!$C$4, IF($H70="1+2", $C70 + CADASTROS!$C$5, IF($H70="1+3", $C70 + CADASTROS!$E$6, "")))), "")</f>
        <v>45113</v>
      </c>
      <c r="P70" s="8">
        <f t="shared" si="7"/>
        <v>317.75</v>
      </c>
    </row>
    <row r="71" spans="1:16">
      <c r="A71" s="2" t="s">
        <v>207</v>
      </c>
      <c r="B71" s="6" t="s">
        <v>60</v>
      </c>
      <c r="C71" s="7">
        <v>45547</v>
      </c>
      <c r="D71" s="7" t="s">
        <v>109</v>
      </c>
      <c r="E71" s="4" t="s">
        <v>111</v>
      </c>
      <c r="F71" s="4" t="s">
        <v>118</v>
      </c>
      <c r="G71" s="8">
        <v>4805</v>
      </c>
      <c r="H71" s="8" t="s">
        <v>137</v>
      </c>
      <c r="I71" s="3">
        <f>IF($H71="A VISTA", C71 + CADASTROS!$B$3, IF($H71="1+1", C71 + CADASTROS!$B$4, IF(H71="1+2", C71 + CADASTROS!$B$5, IF(H71="1+3", C71 + CADASTROS!$B$6, ""))))</f>
        <v>45548</v>
      </c>
      <c r="J71" s="8">
        <f t="shared" si="4"/>
        <v>1601.6666666666667</v>
      </c>
      <c r="K71" s="3">
        <f>IF($L71&lt;&gt;"", IF($H71="A VISTA", "", IF($H71="1+1", $C71 + CADASTROS!$C$4, IF($H71="1+2", $C71 + CADASTROS!$C$5, IF($H71="1+3", $C71 + CADASTROS!$E$4, "")))), "")</f>
        <v>45577</v>
      </c>
      <c r="L71" s="8">
        <f t="shared" si="5"/>
        <v>1601.6666666666667</v>
      </c>
      <c r="M71" s="3">
        <f>IF($N71&lt;&gt;"", IF($H71="A VISTA", "", IF($H71="1+1", $C71 + CADASTROS!$C$4, IF($H71="1+2", $C71 + CADASTROS!$D$5, IF($H71="1+3", $C71 + CADASTROS!$D$6, "")))), "")</f>
        <v>45592</v>
      </c>
      <c r="N71" s="8">
        <f t="shared" si="6"/>
        <v>1601.6666666666663</v>
      </c>
      <c r="O71" s="3" t="str">
        <f>IF($P71&lt;&gt;"", IF($H71="A VISTA", "", IF($H71="1+1", $C71 + CADASTROS!$C$4, IF($H71="1+2", $C71 + CADASTROS!$C$5, IF($H71="1+3", $C71 + CADASTROS!$E$6, "")))), "")</f>
        <v/>
      </c>
      <c r="P71" s="8" t="str">
        <f t="shared" si="7"/>
        <v/>
      </c>
    </row>
    <row r="72" spans="1:16">
      <c r="A72" s="2" t="s">
        <v>208</v>
      </c>
      <c r="B72" s="6" t="s">
        <v>57</v>
      </c>
      <c r="C72" s="7">
        <v>45224</v>
      </c>
      <c r="D72" s="7" t="s">
        <v>106</v>
      </c>
      <c r="E72" s="4" t="s">
        <v>112</v>
      </c>
      <c r="F72" s="4" t="s">
        <v>122</v>
      </c>
      <c r="G72" s="8">
        <v>7493</v>
      </c>
      <c r="H72" s="8" t="s">
        <v>126</v>
      </c>
      <c r="I72" s="3">
        <f>IF($H72="A VISTA", C72 + CADASTROS!$B$3, IF($H72="1+1", C72 + CADASTROS!$B$4, IF(H72="1+2", C72 + CADASTROS!$B$5, IF(H72="1+3", C72 + CADASTROS!$B$6, ""))))</f>
        <v>45225</v>
      </c>
      <c r="J72" s="8">
        <f t="shared" si="4"/>
        <v>7493</v>
      </c>
      <c r="K72" s="3" t="str">
        <f>IF($L72&lt;&gt;"", IF($H72="A VISTA", "", IF($H72="1+1", $C72 + CADASTROS!$C$4, IF($H72="1+2", $C72 + CADASTROS!$C$5, IF($H72="1+3", $C72 + CADASTROS!$E$4, "")))), "")</f>
        <v/>
      </c>
      <c r="L72" s="8" t="str">
        <f t="shared" si="5"/>
        <v/>
      </c>
      <c r="M72" s="3" t="str">
        <f>IF($N72&lt;&gt;"", IF($H72="A VISTA", "", IF($H72="1+1", $C72 + CADASTROS!$C$4, IF($H72="1+2", $C72 + CADASTROS!$D$5, IF($H72="1+3", $C72 + CADASTROS!$D$6, "")))), "")</f>
        <v/>
      </c>
      <c r="N72" s="8" t="str">
        <f t="shared" si="6"/>
        <v/>
      </c>
      <c r="O72" s="22"/>
      <c r="P72" s="8" t="str">
        <f t="shared" si="7"/>
        <v/>
      </c>
    </row>
    <row r="73" spans="1:16">
      <c r="A73" s="2" t="s">
        <v>209</v>
      </c>
      <c r="B73" s="6" t="s">
        <v>22</v>
      </c>
      <c r="C73" s="7">
        <v>45325</v>
      </c>
      <c r="D73" s="7" t="s">
        <v>71</v>
      </c>
      <c r="E73" s="4" t="s">
        <v>111</v>
      </c>
      <c r="F73" s="4" t="s">
        <v>119</v>
      </c>
      <c r="G73" s="8">
        <v>7961</v>
      </c>
      <c r="H73" s="8" t="s">
        <v>136</v>
      </c>
      <c r="I73" s="3">
        <f>IF($H73="A VISTA", C73 + CADASTROS!$B$3, IF($H73="1+1", C73 + CADASTROS!$B$4, IF(H73="1+2", C73 + CADASTROS!$B$5, IF(H73="1+3", C73 + CADASTROS!$B$6, ""))))</f>
        <v>45326</v>
      </c>
      <c r="J73" s="8">
        <f t="shared" si="4"/>
        <v>1990.25</v>
      </c>
      <c r="K73" s="3">
        <f>IF($L73&lt;&gt;"", IF($H73="A VISTA", "", IF($H73="1+1", $C73 + CADASTROS!$C$4, IF($H73="1+2", $C73 + CADASTROS!$C$5, IF($H73="1+3", $C73 + CADASTROS!$E$4, "")))), "")</f>
        <v>45325</v>
      </c>
      <c r="L73" s="8">
        <f t="shared" si="5"/>
        <v>1990.25</v>
      </c>
      <c r="M73" s="3">
        <f>IF($N73&lt;&gt;"", IF($H73="A VISTA", "", IF($H73="1+1", $C73 + CADASTROS!$C$4, IF($H73="1+2", $C73 + CADASTROS!$D$5, IF($H73="1+3", $C73 + CADASTROS!$D$6, "")))), "")</f>
        <v>45370</v>
      </c>
      <c r="N73" s="8">
        <f t="shared" si="6"/>
        <v>1990.25</v>
      </c>
      <c r="O73" s="3">
        <f>IF($P73&lt;&gt;"", IF($H73="A VISTA", "", IF($H73="1+1", $C73 + CADASTROS!$C$4, IF($H73="1+2", $C73 + CADASTROS!$C$5, IF($H73="1+3", $C73 + CADASTROS!$E$6, "")))), "")</f>
        <v>45385</v>
      </c>
      <c r="P73" s="8">
        <f t="shared" si="7"/>
        <v>1990.25</v>
      </c>
    </row>
    <row r="74" spans="1:16">
      <c r="A74" s="2" t="s">
        <v>210</v>
      </c>
      <c r="B74" s="6" t="s">
        <v>28</v>
      </c>
      <c r="C74" s="7">
        <v>45202</v>
      </c>
      <c r="D74" s="7" t="s">
        <v>77</v>
      </c>
      <c r="E74" s="4" t="s">
        <v>110</v>
      </c>
      <c r="F74" s="4" t="s">
        <v>114</v>
      </c>
      <c r="G74" s="8">
        <v>7983</v>
      </c>
      <c r="H74" s="8" t="s">
        <v>136</v>
      </c>
      <c r="I74" s="3">
        <f>IF($H74="A VISTA", C74 + CADASTROS!$B$3, IF($H74="1+1", C74 + CADASTROS!$B$4, IF(H74="1+2", C74 + CADASTROS!$B$5, IF(H74="1+3", C74 + CADASTROS!$B$6, ""))))</f>
        <v>45203</v>
      </c>
      <c r="J74" s="8">
        <f t="shared" si="4"/>
        <v>1995.75</v>
      </c>
      <c r="K74" s="3">
        <f>IF($L74&lt;&gt;"", IF($H74="A VISTA", "", IF($H74="1+1", $C74 + CADASTROS!$C$4, IF($H74="1+2", $C74 + CADASTROS!$C$5, IF($H74="1+3", $C74 + CADASTROS!$E$4, "")))), "")</f>
        <v>45202</v>
      </c>
      <c r="L74" s="8">
        <f t="shared" si="5"/>
        <v>1995.75</v>
      </c>
      <c r="M74" s="3">
        <f>IF($N74&lt;&gt;"", IF($H74="A VISTA", "", IF($H74="1+1", $C74 + CADASTROS!$C$4, IF($H74="1+2", $C74 + CADASTROS!$D$5, IF($H74="1+3", $C74 + CADASTROS!$D$6, "")))), "")</f>
        <v>45247</v>
      </c>
      <c r="N74" s="8">
        <f t="shared" si="6"/>
        <v>1995.75</v>
      </c>
      <c r="O74" s="3">
        <f>IF($P74&lt;&gt;"", IF($H74="A VISTA", "", IF($H74="1+1", $C74 + CADASTROS!$C$4, IF($H74="1+2", $C74 + CADASTROS!$C$5, IF($H74="1+3", $C74 + CADASTROS!$E$6, "")))), "")</f>
        <v>45262</v>
      </c>
      <c r="P74" s="8">
        <f t="shared" si="7"/>
        <v>1995.75</v>
      </c>
    </row>
    <row r="75" spans="1:16">
      <c r="A75" s="2" t="s">
        <v>211</v>
      </c>
      <c r="B75" s="6" t="s">
        <v>36</v>
      </c>
      <c r="C75" s="7">
        <v>45294</v>
      </c>
      <c r="D75" s="7" t="s">
        <v>85</v>
      </c>
      <c r="E75" s="4" t="s">
        <v>111</v>
      </c>
      <c r="F75" s="4" t="s">
        <v>120</v>
      </c>
      <c r="G75" s="8">
        <v>1465</v>
      </c>
      <c r="H75" s="8" t="s">
        <v>126</v>
      </c>
      <c r="I75" s="3">
        <f>IF($H75="A VISTA", C75 + CADASTROS!$B$3, IF($H75="1+1", C75 + CADASTROS!$B$4, IF(H75="1+2", C75 + CADASTROS!$B$5, IF(H75="1+3", C75 + CADASTROS!$B$6, ""))))</f>
        <v>45295</v>
      </c>
      <c r="J75" s="8">
        <f t="shared" si="4"/>
        <v>1465</v>
      </c>
      <c r="K75" s="3" t="str">
        <f>IF($L75&lt;&gt;"", IF($H75="A VISTA", "", IF($H75="1+1", $C75 + CADASTROS!$C$4, IF($H75="1+2", $C75 + CADASTROS!$C$5, IF($H75="1+3", $C75 + CADASTROS!$E$4, "")))), "")</f>
        <v/>
      </c>
      <c r="L75" s="8" t="str">
        <f t="shared" si="5"/>
        <v/>
      </c>
      <c r="M75" s="3" t="str">
        <f>IF($N75&lt;&gt;"", IF($H75="A VISTA", "", IF($H75="1+1", $C75 + CADASTROS!$C$4, IF($H75="1+2", $C75 + CADASTROS!$D$5, IF($H75="1+3", $C75 + CADASTROS!$D$6, "")))), "")</f>
        <v/>
      </c>
      <c r="N75" s="8" t="str">
        <f t="shared" si="6"/>
        <v/>
      </c>
      <c r="O75" s="22"/>
      <c r="P75" s="8" t="str">
        <f t="shared" si="7"/>
        <v/>
      </c>
    </row>
    <row r="76" spans="1:16">
      <c r="A76" s="2" t="s">
        <v>212</v>
      </c>
      <c r="B76" s="6" t="s">
        <v>54</v>
      </c>
      <c r="C76" s="7">
        <v>45415</v>
      </c>
      <c r="D76" s="7" t="s">
        <v>103</v>
      </c>
      <c r="E76" s="4" t="s">
        <v>110</v>
      </c>
      <c r="F76" s="4" t="s">
        <v>124</v>
      </c>
      <c r="G76" s="8">
        <v>8254</v>
      </c>
      <c r="H76" s="8" t="s">
        <v>136</v>
      </c>
      <c r="I76" s="3">
        <f>IF($H76="A VISTA", C76 + CADASTROS!$B$3, IF($H76="1+1", C76 + CADASTROS!$B$4, IF(H76="1+2", C76 + CADASTROS!$B$5, IF(H76="1+3", C76 + CADASTROS!$B$6, ""))))</f>
        <v>45416</v>
      </c>
      <c r="J76" s="8">
        <f t="shared" si="4"/>
        <v>2063.5</v>
      </c>
      <c r="K76" s="3">
        <f>IF($L76&lt;&gt;"", IF($H76="A VISTA", "", IF($H76="1+1", $C76 + CADASTROS!$C$4, IF($H76="1+2", $C76 + CADASTROS!$C$5, IF($H76="1+3", $C76 + CADASTROS!$E$4, "")))), "")</f>
        <v>45415</v>
      </c>
      <c r="L76" s="8">
        <f t="shared" si="5"/>
        <v>2063.5</v>
      </c>
      <c r="M76" s="3">
        <f>IF($N76&lt;&gt;"", IF($H76="A VISTA", "", IF($H76="1+1", $C76 + CADASTROS!$C$4, IF($H76="1+2", $C76 + CADASTROS!$D$5, IF($H76="1+3", $C76 + CADASTROS!$D$6, "")))), "")</f>
        <v>45460</v>
      </c>
      <c r="N76" s="8">
        <f t="shared" si="6"/>
        <v>2063.5</v>
      </c>
      <c r="O76" s="3">
        <f>IF($P76&lt;&gt;"", IF($H76="A VISTA", "", IF($H76="1+1", $C76 + CADASTROS!$C$4, IF($H76="1+2", $C76 + CADASTROS!$C$5, IF($H76="1+3", $C76 + CADASTROS!$E$6, "")))), "")</f>
        <v>45475</v>
      </c>
      <c r="P76" s="8">
        <f t="shared" si="7"/>
        <v>2063.5</v>
      </c>
    </row>
    <row r="77" spans="1:16">
      <c r="A77" s="2" t="s">
        <v>213</v>
      </c>
      <c r="B77" s="6" t="s">
        <v>53</v>
      </c>
      <c r="C77" s="7">
        <v>45272</v>
      </c>
      <c r="D77" s="7" t="s">
        <v>102</v>
      </c>
      <c r="E77" s="4" t="s">
        <v>111</v>
      </c>
      <c r="F77" s="4" t="s">
        <v>117</v>
      </c>
      <c r="G77" s="8">
        <v>1081</v>
      </c>
      <c r="H77" s="8" t="s">
        <v>137</v>
      </c>
      <c r="I77" s="3">
        <f>IF($H77="A VISTA", C77 + CADASTROS!$B$3, IF($H77="1+1", C77 + CADASTROS!$B$4, IF(H77="1+2", C77 + CADASTROS!$B$5, IF(H77="1+3", C77 + CADASTROS!$B$6, ""))))</f>
        <v>45273</v>
      </c>
      <c r="J77" s="8">
        <f t="shared" si="4"/>
        <v>360.33333333333331</v>
      </c>
      <c r="K77" s="3">
        <f>IF($L77&lt;&gt;"", IF($H77="A VISTA", "", IF($H77="1+1", $C77 + CADASTROS!$C$4, IF($H77="1+2", $C77 + CADASTROS!$C$5, IF($H77="1+3", $C77 + CADASTROS!$E$4, "")))), "")</f>
        <v>45302</v>
      </c>
      <c r="L77" s="8">
        <f t="shared" si="5"/>
        <v>360.33333333333331</v>
      </c>
      <c r="M77" s="3">
        <f>IF($N77&lt;&gt;"", IF($H77="A VISTA", "", IF($H77="1+1", $C77 + CADASTROS!$C$4, IF($H77="1+2", $C77 + CADASTROS!$D$5, IF($H77="1+3", $C77 + CADASTROS!$D$6, "")))), "")</f>
        <v>45317</v>
      </c>
      <c r="N77" s="8">
        <f t="shared" si="6"/>
        <v>360.33333333333343</v>
      </c>
      <c r="O77" s="3" t="str">
        <f>IF($P77&lt;&gt;"", IF($H77="A VISTA", "", IF($H77="1+1", $C77 + CADASTROS!$C$4, IF($H77="1+2", $C77 + CADASTROS!$C$5, IF($H77="1+3", $C77 + CADASTROS!$E$6, "")))), "")</f>
        <v/>
      </c>
      <c r="P77" s="8" t="str">
        <f t="shared" si="7"/>
        <v/>
      </c>
    </row>
    <row r="78" spans="1:16">
      <c r="A78" s="2" t="s">
        <v>214</v>
      </c>
      <c r="B78" s="6" t="s">
        <v>38</v>
      </c>
      <c r="C78" s="7">
        <v>45199</v>
      </c>
      <c r="D78" s="7" t="s">
        <v>87</v>
      </c>
      <c r="E78" s="4" t="s">
        <v>110</v>
      </c>
      <c r="F78" s="4" t="s">
        <v>125</v>
      </c>
      <c r="G78" s="8">
        <v>458</v>
      </c>
      <c r="H78" s="8" t="s">
        <v>138</v>
      </c>
      <c r="I78" s="3">
        <f>IF($H78="A VISTA", C78 + CADASTROS!$B$3, IF($H78="1+1", C78 + CADASTROS!$B$4, IF(H78="1+2", C78 + CADASTROS!$B$5, IF(H78="1+3", C78 + CADASTROS!$B$6, ""))))</f>
        <v>45200</v>
      </c>
      <c r="J78" s="8">
        <f t="shared" si="4"/>
        <v>229</v>
      </c>
      <c r="K78" s="3">
        <f>IF($L78&lt;&gt;"", IF($H78="A VISTA", "", IF($H78="1+1", $C78 + CADASTROS!$C$4, IF($H78="1+2", $C78 + CADASTROS!$C$5, IF($H78="1+3", $C78 + CADASTROS!$E$4, "")))), "")</f>
        <v>45229</v>
      </c>
      <c r="L78" s="8">
        <f t="shared" si="5"/>
        <v>229</v>
      </c>
      <c r="M78" s="3" t="str">
        <f>IF($N78&lt;&gt;"", IF($H78="A VISTA", "", IF($H78="1+1", $C78 + CADASTROS!$C$4, IF($H78="1+2", $C78 + CADASTROS!$D$5, IF($H78="1+3", $C78 + CADASTROS!$D$6, "")))), "")</f>
        <v/>
      </c>
      <c r="N78" s="8" t="str">
        <f t="shared" si="6"/>
        <v/>
      </c>
      <c r="O78" s="22"/>
      <c r="P78" s="8" t="str">
        <f t="shared" si="7"/>
        <v/>
      </c>
    </row>
    <row r="79" spans="1:16">
      <c r="A79" s="2" t="s">
        <v>215</v>
      </c>
      <c r="B79" s="6" t="s">
        <v>26</v>
      </c>
      <c r="C79" s="7">
        <v>45167</v>
      </c>
      <c r="D79" s="7" t="s">
        <v>75</v>
      </c>
      <c r="E79" s="4" t="s">
        <v>112</v>
      </c>
      <c r="F79" s="4" t="s">
        <v>123</v>
      </c>
      <c r="G79" s="8">
        <v>1482</v>
      </c>
      <c r="H79" s="8" t="s">
        <v>126</v>
      </c>
      <c r="I79" s="3">
        <f>IF($H79="A VISTA", C79 + CADASTROS!$B$3, IF($H79="1+1", C79 + CADASTROS!$B$4, IF(H79="1+2", C79 + CADASTROS!$B$5, IF(H79="1+3", C79 + CADASTROS!$B$6, ""))))</f>
        <v>45168</v>
      </c>
      <c r="J79" s="8">
        <f t="shared" si="4"/>
        <v>1482</v>
      </c>
      <c r="K79" s="3" t="str">
        <f>IF($L79&lt;&gt;"", IF($H79="A VISTA", "", IF($H79="1+1", $C79 + CADASTROS!$C$4, IF($H79="1+2", $C79 + CADASTROS!$C$5, IF($H79="1+3", $C79 + CADASTROS!$E$4, "")))), "")</f>
        <v/>
      </c>
      <c r="L79" s="8" t="str">
        <f t="shared" si="5"/>
        <v/>
      </c>
      <c r="M79" s="3" t="str">
        <f>IF($N79&lt;&gt;"", IF($H79="A VISTA", "", IF($H79="1+1", $C79 + CADASTROS!$C$4, IF($H79="1+2", $C79 + CADASTROS!$D$5, IF($H79="1+3", $C79 + CADASTROS!$D$6, "")))), "")</f>
        <v/>
      </c>
      <c r="N79" s="8" t="str">
        <f t="shared" si="6"/>
        <v/>
      </c>
      <c r="O79" s="22"/>
      <c r="P79" s="8" t="str">
        <f t="shared" si="7"/>
        <v/>
      </c>
    </row>
    <row r="80" spans="1:16">
      <c r="A80" s="2" t="s">
        <v>216</v>
      </c>
      <c r="B80" s="6" t="s">
        <v>57</v>
      </c>
      <c r="C80" s="7">
        <v>45498</v>
      </c>
      <c r="D80" s="7" t="s">
        <v>106</v>
      </c>
      <c r="E80" s="4" t="s">
        <v>112</v>
      </c>
      <c r="F80" s="4" t="s">
        <v>122</v>
      </c>
      <c r="G80" s="8">
        <v>2313</v>
      </c>
      <c r="H80" s="8" t="s">
        <v>126</v>
      </c>
      <c r="I80" s="3">
        <f>IF($H80="A VISTA", C80 + CADASTROS!$B$3, IF($H80="1+1", C80 + CADASTROS!$B$4, IF(H80="1+2", C80 + CADASTROS!$B$5, IF(H80="1+3", C80 + CADASTROS!$B$6, ""))))</f>
        <v>45499</v>
      </c>
      <c r="J80" s="8">
        <f t="shared" si="4"/>
        <v>2313</v>
      </c>
      <c r="K80" s="3" t="str">
        <f>IF($L80&lt;&gt;"", IF($H80="A VISTA", "", IF($H80="1+1", $C80 + CADASTROS!$C$4, IF($H80="1+2", $C80 + CADASTROS!$C$5, IF($H80="1+3", $C80 + CADASTROS!$E$4, "")))), "")</f>
        <v/>
      </c>
      <c r="L80" s="8" t="str">
        <f t="shared" si="5"/>
        <v/>
      </c>
      <c r="M80" s="3" t="str">
        <f>IF($N80&lt;&gt;"", IF($H80="A VISTA", "", IF($H80="1+1", $C80 + CADASTROS!$C$4, IF($H80="1+2", $C80 + CADASTROS!$D$5, IF($H80="1+3", $C80 + CADASTROS!$D$6, "")))), "")</f>
        <v/>
      </c>
      <c r="N80" s="8" t="str">
        <f t="shared" si="6"/>
        <v/>
      </c>
      <c r="O80" s="22"/>
      <c r="P80" s="8" t="str">
        <f t="shared" si="7"/>
        <v/>
      </c>
    </row>
    <row r="81" spans="1:16">
      <c r="A81" s="2" t="s">
        <v>217</v>
      </c>
      <c r="B81" s="6" t="s">
        <v>48</v>
      </c>
      <c r="C81" s="7">
        <v>45262</v>
      </c>
      <c r="D81" s="7" t="s">
        <v>97</v>
      </c>
      <c r="E81" s="4" t="s">
        <v>112</v>
      </c>
      <c r="F81" s="4" t="s">
        <v>123</v>
      </c>
      <c r="G81" s="8">
        <v>997</v>
      </c>
      <c r="H81" s="8" t="s">
        <v>126</v>
      </c>
      <c r="I81" s="3">
        <f>IF($H81="A VISTA", C81 + CADASTROS!$B$3, IF($H81="1+1", C81 + CADASTROS!$B$4, IF(H81="1+2", C81 + CADASTROS!$B$5, IF(H81="1+3", C81 + CADASTROS!$B$6, ""))))</f>
        <v>45263</v>
      </c>
      <c r="J81" s="8">
        <f t="shared" si="4"/>
        <v>997</v>
      </c>
      <c r="K81" s="3" t="str">
        <f>IF($L81&lt;&gt;"", IF($H81="A VISTA", "", IF($H81="1+1", $C81 + CADASTROS!$C$4, IF($H81="1+2", $C81 + CADASTROS!$C$5, IF($H81="1+3", $C81 + CADASTROS!$E$4, "")))), "")</f>
        <v/>
      </c>
      <c r="L81" s="8" t="str">
        <f t="shared" si="5"/>
        <v/>
      </c>
      <c r="M81" s="3" t="str">
        <f>IF($N81&lt;&gt;"", IF($H81="A VISTA", "", IF($H81="1+1", $C81 + CADASTROS!$C$4, IF($H81="1+2", $C81 + CADASTROS!$D$5, IF($H81="1+3", $C81 + CADASTROS!$D$6, "")))), "")</f>
        <v/>
      </c>
      <c r="N81" s="8" t="str">
        <f t="shared" si="6"/>
        <v/>
      </c>
      <c r="O81" s="22"/>
      <c r="P81" s="8" t="str">
        <f t="shared" si="7"/>
        <v/>
      </c>
    </row>
    <row r="82" spans="1:16">
      <c r="A82" s="2" t="s">
        <v>218</v>
      </c>
      <c r="B82" s="6" t="s">
        <v>37</v>
      </c>
      <c r="C82" s="7">
        <v>45461</v>
      </c>
      <c r="D82" s="7" t="s">
        <v>86</v>
      </c>
      <c r="E82" s="4" t="s">
        <v>112</v>
      </c>
      <c r="F82" s="4" t="s">
        <v>123</v>
      </c>
      <c r="G82" s="8">
        <v>6409</v>
      </c>
      <c r="H82" s="8" t="s">
        <v>126</v>
      </c>
      <c r="I82" s="3">
        <f>IF($H82="A VISTA", C82 + CADASTROS!$B$3, IF($H82="1+1", C82 + CADASTROS!$B$4, IF(H82="1+2", C82 + CADASTROS!$B$5, IF(H82="1+3", C82 + CADASTROS!$B$6, ""))))</f>
        <v>45462</v>
      </c>
      <c r="J82" s="8">
        <f t="shared" si="4"/>
        <v>6409</v>
      </c>
      <c r="K82" s="3" t="str">
        <f>IF($L82&lt;&gt;"", IF($H82="A VISTA", "", IF($H82="1+1", $C82 + CADASTROS!$C$4, IF($H82="1+2", $C82 + CADASTROS!$C$5, IF($H82="1+3", $C82 + CADASTROS!$E$4, "")))), "")</f>
        <v/>
      </c>
      <c r="L82" s="8" t="str">
        <f t="shared" si="5"/>
        <v/>
      </c>
      <c r="M82" s="3" t="str">
        <f>IF($N82&lt;&gt;"", IF($H82="A VISTA", "", IF($H82="1+1", $C82 + CADASTROS!$C$4, IF($H82="1+2", $C82 + CADASTROS!$D$5, IF($H82="1+3", $C82 + CADASTROS!$D$6, "")))), "")</f>
        <v/>
      </c>
      <c r="N82" s="8" t="str">
        <f t="shared" si="6"/>
        <v/>
      </c>
      <c r="O82" s="22"/>
      <c r="P82" s="8" t="str">
        <f t="shared" si="7"/>
        <v/>
      </c>
    </row>
    <row r="83" spans="1:16">
      <c r="A83" s="2" t="s">
        <v>219</v>
      </c>
      <c r="B83" s="6" t="s">
        <v>24</v>
      </c>
      <c r="C83" s="7">
        <v>45187</v>
      </c>
      <c r="D83" s="7" t="s">
        <v>73</v>
      </c>
      <c r="E83" s="4" t="s">
        <v>112</v>
      </c>
      <c r="F83" s="4" t="s">
        <v>122</v>
      </c>
      <c r="G83" s="8">
        <v>9435</v>
      </c>
      <c r="H83" s="8" t="s">
        <v>126</v>
      </c>
      <c r="I83" s="3">
        <f>IF($H83="A VISTA", C83 + CADASTROS!$B$3, IF($H83="1+1", C83 + CADASTROS!$B$4, IF(H83="1+2", C83 + CADASTROS!$B$5, IF(H83="1+3", C83 + CADASTROS!$B$6, ""))))</f>
        <v>45188</v>
      </c>
      <c r="J83" s="8">
        <f t="shared" si="4"/>
        <v>9435</v>
      </c>
      <c r="K83" s="3" t="str">
        <f>IF($L83&lt;&gt;"", IF($H83="A VISTA", "", IF($H83="1+1", $C83 + CADASTROS!$C$4, IF($H83="1+2", $C83 + CADASTROS!$C$5, IF($H83="1+3", $C83 + CADASTROS!$E$4, "")))), "")</f>
        <v/>
      </c>
      <c r="L83" s="8" t="str">
        <f t="shared" si="5"/>
        <v/>
      </c>
      <c r="M83" s="3" t="str">
        <f>IF($N83&lt;&gt;"", IF($H83="A VISTA", "", IF($H83="1+1", $C83 + CADASTROS!$C$4, IF($H83="1+2", $C83 + CADASTROS!$D$5, IF($H83="1+3", $C83 + CADASTROS!$D$6, "")))), "")</f>
        <v/>
      </c>
      <c r="N83" s="8" t="str">
        <f t="shared" si="6"/>
        <v/>
      </c>
      <c r="O83" s="22"/>
      <c r="P83" s="8" t="str">
        <f t="shared" si="7"/>
        <v/>
      </c>
    </row>
    <row r="84" spans="1:16">
      <c r="A84" s="2" t="s">
        <v>220</v>
      </c>
      <c r="B84" s="6" t="s">
        <v>14</v>
      </c>
      <c r="C84" s="7">
        <v>45172</v>
      </c>
      <c r="D84" s="7" t="s">
        <v>61</v>
      </c>
      <c r="E84" s="4" t="s">
        <v>110</v>
      </c>
      <c r="F84" s="4" t="s">
        <v>113</v>
      </c>
      <c r="G84" s="8">
        <v>9657</v>
      </c>
      <c r="H84" s="8" t="s">
        <v>137</v>
      </c>
      <c r="I84" s="3">
        <f>IF($H84="A VISTA", C84 + CADASTROS!$B$3, IF($H84="1+1", C84 + CADASTROS!$B$4, IF(H84="1+2", C84 + CADASTROS!$B$5, IF(H84="1+3", C84 + CADASTROS!$B$6, ""))))</f>
        <v>45173</v>
      </c>
      <c r="J84" s="8">
        <f t="shared" si="4"/>
        <v>3219</v>
      </c>
      <c r="K84" s="3">
        <f>IF($L84&lt;&gt;"", IF($H84="A VISTA", "", IF($H84="1+1", $C84 + CADASTROS!$C$4, IF($H84="1+2", $C84 + CADASTROS!$C$5, IF($H84="1+3", $C84 + CADASTROS!$E$4, "")))), "")</f>
        <v>45202</v>
      </c>
      <c r="L84" s="8">
        <f t="shared" si="5"/>
        <v>3219</v>
      </c>
      <c r="M84" s="3">
        <f>IF($N84&lt;&gt;"", IF($H84="A VISTA", "", IF($H84="1+1", $C84 + CADASTROS!$C$4, IF($H84="1+2", $C84 + CADASTROS!$D$5, IF($H84="1+3", $C84 + CADASTROS!$D$6, "")))), "")</f>
        <v>45217</v>
      </c>
      <c r="N84" s="8">
        <f t="shared" si="6"/>
        <v>3219</v>
      </c>
      <c r="O84" s="22"/>
      <c r="P84" s="8" t="str">
        <f t="shared" si="7"/>
        <v/>
      </c>
    </row>
    <row r="85" spans="1:16">
      <c r="A85" s="2" t="s">
        <v>221</v>
      </c>
      <c r="B85" s="6" t="s">
        <v>56</v>
      </c>
      <c r="C85" s="7">
        <v>45443</v>
      </c>
      <c r="D85" s="7" t="s">
        <v>105</v>
      </c>
      <c r="E85" s="4" t="s">
        <v>110</v>
      </c>
      <c r="F85" s="4" t="s">
        <v>113</v>
      </c>
      <c r="G85" s="8">
        <v>2139</v>
      </c>
      <c r="H85" s="8" t="s">
        <v>138</v>
      </c>
      <c r="I85" s="3">
        <f>IF($H85="A VISTA", C85 + CADASTROS!$B$3, IF($H85="1+1", C85 + CADASTROS!$B$4, IF(H85="1+2", C85 + CADASTROS!$B$5, IF(H85="1+3", C85 + CADASTROS!$B$6, ""))))</f>
        <v>45444</v>
      </c>
      <c r="J85" s="8">
        <f t="shared" si="4"/>
        <v>1069.5</v>
      </c>
      <c r="K85" s="3">
        <f>IF($L85&lt;&gt;"", IF($H85="A VISTA", "", IF($H85="1+1", $C85 + CADASTROS!$C$4, IF($H85="1+2", $C85 + CADASTROS!$C$5, IF($H85="1+3", $C85 + CADASTROS!$E$4, "")))), "")</f>
        <v>45473</v>
      </c>
      <c r="L85" s="8">
        <f t="shared" si="5"/>
        <v>1069.5</v>
      </c>
      <c r="M85" s="3" t="str">
        <f>IF($N85&lt;&gt;"", IF($H85="A VISTA", "", IF($H85="1+1", $C85 + CADASTROS!$C$4, IF($H85="1+2", $C85 + CADASTROS!$D$5, IF($H85="1+3", $C85 + CADASTROS!$D$6, "")))), "")</f>
        <v/>
      </c>
      <c r="N85" s="8" t="str">
        <f t="shared" si="6"/>
        <v/>
      </c>
      <c r="O85" s="22"/>
      <c r="P85" s="8" t="str">
        <f t="shared" si="7"/>
        <v/>
      </c>
    </row>
    <row r="86" spans="1:16">
      <c r="A86" s="2" t="s">
        <v>222</v>
      </c>
      <c r="B86" s="6" t="s">
        <v>13</v>
      </c>
      <c r="C86" s="7">
        <v>45253</v>
      </c>
      <c r="D86" s="7" t="s">
        <v>63</v>
      </c>
      <c r="E86" s="4" t="s">
        <v>111</v>
      </c>
      <c r="F86" s="4" t="s">
        <v>120</v>
      </c>
      <c r="G86" s="8">
        <v>5262</v>
      </c>
      <c r="H86" s="8" t="s">
        <v>126</v>
      </c>
      <c r="I86" s="3">
        <f>IF($H86="A VISTA", C86 + CADASTROS!$B$3, IF($H86="1+1", C86 + CADASTROS!$B$4, IF(H86="1+2", C86 + CADASTROS!$B$5, IF(H86="1+3", C86 + CADASTROS!$B$6, ""))))</f>
        <v>45254</v>
      </c>
      <c r="J86" s="8">
        <f t="shared" si="4"/>
        <v>5262</v>
      </c>
      <c r="K86" s="3" t="str">
        <f>IF($L86&lt;&gt;"", IF($H86="A VISTA", "", IF($H86="1+1", $C86 + CADASTROS!$C$4, IF($H86="1+2", $C86 + CADASTROS!$C$5, IF($H86="1+3", $C86 + CADASTROS!$E$4, "")))), "")</f>
        <v/>
      </c>
      <c r="L86" s="8" t="str">
        <f t="shared" si="5"/>
        <v/>
      </c>
      <c r="M86" s="3" t="str">
        <f>IF($N86&lt;&gt;"", IF($H86="A VISTA", "", IF($H86="1+1", $C86 + CADASTROS!$C$4, IF($H86="1+2", $C86 + CADASTROS!$D$5, IF($H86="1+3", $C86 + CADASTROS!$D$6, "")))), "")</f>
        <v/>
      </c>
      <c r="N86" s="8" t="str">
        <f t="shared" si="6"/>
        <v/>
      </c>
      <c r="O86" s="22"/>
      <c r="P86" s="8" t="str">
        <f t="shared" si="7"/>
        <v/>
      </c>
    </row>
    <row r="87" spans="1:16">
      <c r="A87" s="2" t="s">
        <v>223</v>
      </c>
      <c r="B87" s="6" t="s">
        <v>18</v>
      </c>
      <c r="C87" s="7">
        <v>45273</v>
      </c>
      <c r="D87" s="7" t="s">
        <v>67</v>
      </c>
      <c r="E87" s="4" t="s">
        <v>111</v>
      </c>
      <c r="F87" s="4" t="s">
        <v>121</v>
      </c>
      <c r="G87" s="8">
        <v>7294</v>
      </c>
      <c r="H87" s="8" t="s">
        <v>138</v>
      </c>
      <c r="I87" s="3">
        <f>IF($H87="A VISTA", C87 + CADASTROS!$B$3, IF($H87="1+1", C87 + CADASTROS!$B$4, IF(H87="1+2", C87 + CADASTROS!$B$5, IF(H87="1+3", C87 + CADASTROS!$B$6, ""))))</f>
        <v>45274</v>
      </c>
      <c r="J87" s="8">
        <f t="shared" si="4"/>
        <v>3647</v>
      </c>
      <c r="K87" s="3">
        <f>IF($L87&lt;&gt;"", IF($H87="A VISTA", "", IF($H87="1+1", $C87 + CADASTROS!$C$4, IF($H87="1+2", $C87 + CADASTROS!$C$5, IF($H87="1+3", $C87 + CADASTROS!$E$4, "")))), "")</f>
        <v>45303</v>
      </c>
      <c r="L87" s="8">
        <f t="shared" si="5"/>
        <v>3647</v>
      </c>
      <c r="M87" s="3" t="str">
        <f>IF($N87&lt;&gt;"", IF($H87="A VISTA", "", IF($H87="1+1", $C87 + CADASTROS!$C$4, IF($H87="1+2", $C87 + CADASTROS!$D$5, IF($H87="1+3", $C87 + CADASTROS!$D$6, "")))), "")</f>
        <v/>
      </c>
      <c r="N87" s="8" t="str">
        <f t="shared" si="6"/>
        <v/>
      </c>
      <c r="O87" s="22"/>
      <c r="P87" s="8" t="str">
        <f t="shared" si="7"/>
        <v/>
      </c>
    </row>
    <row r="88" spans="1:16">
      <c r="A88" s="2" t="s">
        <v>224</v>
      </c>
      <c r="B88" s="6" t="s">
        <v>43</v>
      </c>
      <c r="C88" s="7">
        <v>45442</v>
      </c>
      <c r="D88" s="7" t="s">
        <v>92</v>
      </c>
      <c r="E88" s="4" t="s">
        <v>110</v>
      </c>
      <c r="F88" s="4" t="s">
        <v>124</v>
      </c>
      <c r="G88" s="8">
        <v>8906</v>
      </c>
      <c r="H88" s="8" t="s">
        <v>138</v>
      </c>
      <c r="I88" s="3">
        <f>IF($H88="A VISTA", C88 + CADASTROS!$B$3, IF($H88="1+1", C88 + CADASTROS!$B$4, IF(H88="1+2", C88 + CADASTROS!$B$5, IF(H88="1+3", C88 + CADASTROS!$B$6, ""))))</f>
        <v>45443</v>
      </c>
      <c r="J88" s="8">
        <f t="shared" si="4"/>
        <v>4453</v>
      </c>
      <c r="K88" s="3">
        <f>IF($L88&lt;&gt;"", IF($H88="A VISTA", "", IF($H88="1+1", $C88 + CADASTROS!$C$4, IF($H88="1+2", $C88 + CADASTROS!$C$5, IF($H88="1+3", $C88 + CADASTROS!$E$4, "")))), "")</f>
        <v>45472</v>
      </c>
      <c r="L88" s="8">
        <f t="shared" si="5"/>
        <v>4453</v>
      </c>
      <c r="M88" s="3" t="str">
        <f>IF($N88&lt;&gt;"", IF($H88="A VISTA", "", IF($H88="1+1", $C88 + CADASTROS!$C$4, IF($H88="1+2", $C88 + CADASTROS!$D$5, IF($H88="1+3", $C88 + CADASTROS!$D$6, "")))), "")</f>
        <v/>
      </c>
      <c r="N88" s="8" t="str">
        <f t="shared" si="6"/>
        <v/>
      </c>
      <c r="O88" s="22"/>
      <c r="P88" s="8" t="str">
        <f t="shared" si="7"/>
        <v/>
      </c>
    </row>
    <row r="89" spans="1:16">
      <c r="A89" s="2" t="s">
        <v>225</v>
      </c>
      <c r="B89" s="6" t="s">
        <v>39</v>
      </c>
      <c r="C89" s="7">
        <v>45397</v>
      </c>
      <c r="D89" s="7" t="s">
        <v>88</v>
      </c>
      <c r="E89" s="4" t="s">
        <v>110</v>
      </c>
      <c r="F89" s="4" t="s">
        <v>114</v>
      </c>
      <c r="G89" s="8">
        <v>3965</v>
      </c>
      <c r="H89" s="8" t="s">
        <v>136</v>
      </c>
      <c r="I89" s="3">
        <f>IF($H89="A VISTA", C89 + CADASTROS!$B$3, IF($H89="1+1", C89 + CADASTROS!$B$4, IF(H89="1+2", C89 + CADASTROS!$B$5, IF(H89="1+3", C89 + CADASTROS!$B$6, ""))))</f>
        <v>45398</v>
      </c>
      <c r="J89" s="8">
        <f t="shared" si="4"/>
        <v>991.25</v>
      </c>
      <c r="K89" s="3">
        <f>IF($L89&lt;&gt;"", IF($H89="A VISTA", "", IF($H89="1+1", $C89 + CADASTROS!$C$4, IF($H89="1+2", $C89 + CADASTROS!$C$5, IF($H89="1+3", $C89 + CADASTROS!$E$4, "")))), "")</f>
        <v>45397</v>
      </c>
      <c r="L89" s="8">
        <f t="shared" si="5"/>
        <v>991.25</v>
      </c>
      <c r="M89" s="3">
        <f>IF($N89&lt;&gt;"", IF($H89="A VISTA", "", IF($H89="1+1", $C89 + CADASTROS!$C$4, IF($H89="1+2", $C89 + CADASTROS!$D$5, IF($H89="1+3", $C89 + CADASTROS!$D$6, "")))), "")</f>
        <v>45442</v>
      </c>
      <c r="N89" s="8">
        <f t="shared" si="6"/>
        <v>991.25</v>
      </c>
      <c r="O89" s="3">
        <f>IF($P89&lt;&gt;"", IF($H89="A VISTA", "", IF($H89="1+1", $C89 + CADASTROS!$C$4, IF($H89="1+2", $C89 + CADASTROS!$C$5, IF($H89="1+3", $C89 + CADASTROS!$E$6, "")))), "")</f>
        <v>45457</v>
      </c>
      <c r="P89" s="8">
        <f t="shared" si="7"/>
        <v>991.25</v>
      </c>
    </row>
    <row r="90" spans="1:16">
      <c r="A90" s="2" t="s">
        <v>226</v>
      </c>
      <c r="B90" s="6" t="s">
        <v>57</v>
      </c>
      <c r="C90" s="7">
        <v>45309</v>
      </c>
      <c r="D90" s="7" t="s">
        <v>106</v>
      </c>
      <c r="E90" s="4" t="s">
        <v>112</v>
      </c>
      <c r="F90" s="4" t="s">
        <v>122</v>
      </c>
      <c r="G90" s="8">
        <v>7082</v>
      </c>
      <c r="H90" s="8" t="s">
        <v>126</v>
      </c>
      <c r="I90" s="3">
        <f>IF($H90="A VISTA", C90 + CADASTROS!$B$3, IF($H90="1+1", C90 + CADASTROS!$B$4, IF(H90="1+2", C90 + CADASTROS!$B$5, IF(H90="1+3", C90 + CADASTROS!$B$6, ""))))</f>
        <v>45310</v>
      </c>
      <c r="J90" s="8">
        <f t="shared" si="4"/>
        <v>7082</v>
      </c>
      <c r="K90" s="3" t="str">
        <f>IF($L90&lt;&gt;"", IF($H90="A VISTA", "", IF($H90="1+1", $C90 + CADASTROS!$C$4, IF($H90="1+2", $C90 + CADASTROS!$C$5, IF($H90="1+3", $C90 + CADASTROS!$E$4, "")))), "")</f>
        <v/>
      </c>
      <c r="L90" s="8" t="str">
        <f t="shared" si="5"/>
        <v/>
      </c>
      <c r="M90" s="3" t="str">
        <f>IF($N90&lt;&gt;"", IF($H90="A VISTA", "", IF($H90="1+1", $C90 + CADASTROS!$C$4, IF($H90="1+2", $C90 + CADASTROS!$D$5, IF($H90="1+3", $C90 + CADASTROS!$D$6, "")))), "")</f>
        <v/>
      </c>
      <c r="N90" s="8" t="str">
        <f t="shared" si="6"/>
        <v/>
      </c>
      <c r="O90" s="3" t="str">
        <f>IF($P90&lt;&gt;"", IF($H90="A VISTA", "", IF($H90="1+1", $C90 + CADASTROS!$C$4, IF($H90="1+2", $C90 + CADASTROS!$C$5, IF($H90="1+3", $C90 + CADASTROS!$E$6, "")))), "")</f>
        <v/>
      </c>
      <c r="P90" s="8" t="str">
        <f t="shared" si="7"/>
        <v/>
      </c>
    </row>
    <row r="91" spans="1:16">
      <c r="A91" s="2" t="s">
        <v>227</v>
      </c>
      <c r="B91" s="6" t="s">
        <v>57</v>
      </c>
      <c r="C91" s="7">
        <v>45391</v>
      </c>
      <c r="D91" s="7" t="s">
        <v>106</v>
      </c>
      <c r="E91" s="4" t="s">
        <v>112</v>
      </c>
      <c r="F91" s="4" t="s">
        <v>122</v>
      </c>
      <c r="G91" s="8">
        <v>2490</v>
      </c>
      <c r="H91" s="8" t="s">
        <v>126</v>
      </c>
      <c r="I91" s="3">
        <f>IF($H91="A VISTA", C91 + CADASTROS!$B$3, IF($H91="1+1", C91 + CADASTROS!$B$4, IF(H91="1+2", C91 + CADASTROS!$B$5, IF(H91="1+3", C91 + CADASTROS!$B$6, ""))))</f>
        <v>45392</v>
      </c>
      <c r="J91" s="8">
        <f t="shared" si="4"/>
        <v>2490</v>
      </c>
      <c r="K91" s="3" t="str">
        <f>IF($L91&lt;&gt;"", IF($H91="A VISTA", "", IF($H91="1+1", $C91 + CADASTROS!$C$4, IF($H91="1+2", $C91 + CADASTROS!$C$5, IF($H91="1+3", $C91 + CADASTROS!$E$4, "")))), "")</f>
        <v/>
      </c>
      <c r="L91" s="8" t="str">
        <f t="shared" si="5"/>
        <v/>
      </c>
      <c r="M91" s="3" t="str">
        <f>IF($N91&lt;&gt;"", IF($H91="A VISTA", "", IF($H91="1+1", $C91 + CADASTROS!$C$4, IF($H91="1+2", $C91 + CADASTROS!$D$5, IF($H91="1+3", $C91 + CADASTROS!$D$6, "")))), "")</f>
        <v/>
      </c>
      <c r="N91" s="8" t="str">
        <f t="shared" si="6"/>
        <v/>
      </c>
      <c r="O91" s="3" t="str">
        <f>IF($P91&lt;&gt;"", IF($H91="A VISTA", "", IF($H91="1+1", $C91 + CADASTROS!$C$4, IF($H91="1+2", $C91 + CADASTROS!$C$5, IF($H91="1+3", $C91 + CADASTROS!$E$6, "")))), "")</f>
        <v/>
      </c>
      <c r="P91" s="8" t="str">
        <f t="shared" si="7"/>
        <v/>
      </c>
    </row>
    <row r="92" spans="1:16">
      <c r="A92" s="2" t="s">
        <v>228</v>
      </c>
      <c r="B92" s="6" t="s">
        <v>37</v>
      </c>
      <c r="C92" s="7">
        <v>45435</v>
      </c>
      <c r="D92" s="7" t="s">
        <v>86</v>
      </c>
      <c r="E92" s="4" t="s">
        <v>112</v>
      </c>
      <c r="F92" s="4" t="s">
        <v>123</v>
      </c>
      <c r="G92" s="8">
        <v>7198</v>
      </c>
      <c r="H92" s="8" t="s">
        <v>126</v>
      </c>
      <c r="I92" s="3">
        <f>IF($H92="A VISTA", C92 + CADASTROS!$B$3, IF($H92="1+1", C92 + CADASTROS!$B$4, IF(H92="1+2", C92 + CADASTROS!$B$5, IF(H92="1+3", C92 + CADASTROS!$B$6, ""))))</f>
        <v>45436</v>
      </c>
      <c r="J92" s="8">
        <f t="shared" si="4"/>
        <v>7198</v>
      </c>
      <c r="K92" s="3" t="str">
        <f>IF($L92&lt;&gt;"", IF($H92="A VISTA", "", IF($H92="1+1", $C92 + CADASTROS!$C$4, IF($H92="1+2", $C92 + CADASTROS!$C$5, IF($H92="1+3", $C92 + CADASTROS!$E$4, "")))), "")</f>
        <v/>
      </c>
      <c r="L92" s="8" t="str">
        <f t="shared" si="5"/>
        <v/>
      </c>
      <c r="M92" s="3" t="str">
        <f>IF($N92&lt;&gt;"", IF($H92="A VISTA", "", IF($H92="1+1", $C92 + CADASTROS!$C$4, IF($H92="1+2", $C92 + CADASTROS!$D$5, IF($H92="1+3", $C92 + CADASTROS!$D$6, "")))), "")</f>
        <v/>
      </c>
      <c r="N92" s="8" t="str">
        <f t="shared" si="6"/>
        <v/>
      </c>
      <c r="O92" s="3" t="str">
        <f>IF($P92&lt;&gt;"", IF($H92="A VISTA", "", IF($H92="1+1", $C92 + CADASTROS!$C$4, IF($H92="1+2", $C92 + CADASTROS!$C$5, IF($H92="1+3", $C92 + CADASTROS!$E$6, "")))), "")</f>
        <v/>
      </c>
      <c r="P92" s="8" t="str">
        <f t="shared" si="7"/>
        <v/>
      </c>
    </row>
    <row r="93" spans="1:16">
      <c r="A93" s="2" t="s">
        <v>229</v>
      </c>
      <c r="B93" s="6" t="s">
        <v>14</v>
      </c>
      <c r="C93" s="7">
        <v>45207</v>
      </c>
      <c r="D93" s="7" t="s">
        <v>61</v>
      </c>
      <c r="E93" s="4" t="s">
        <v>110</v>
      </c>
      <c r="F93" s="4" t="s">
        <v>113</v>
      </c>
      <c r="G93" s="8">
        <v>9350</v>
      </c>
      <c r="H93" s="8" t="s">
        <v>136</v>
      </c>
      <c r="I93" s="3">
        <f>IF($H93="A VISTA", C93 + CADASTROS!$B$3, IF($H93="1+1", C93 + CADASTROS!$B$4, IF(H93="1+2", C93 + CADASTROS!$B$5, IF(H93="1+3", C93 + CADASTROS!$B$6, ""))))</f>
        <v>45208</v>
      </c>
      <c r="J93" s="8">
        <f t="shared" si="4"/>
        <v>2337.5</v>
      </c>
      <c r="K93" s="3">
        <f>IF($L93&lt;&gt;"", IF($H93="A VISTA", "", IF($H93="1+1", $C93 + CADASTROS!$C$4, IF($H93="1+2", $C93 + CADASTROS!$C$5, IF($H93="1+3", $C93 + CADASTROS!$E$4, "")))), "")</f>
        <v>45207</v>
      </c>
      <c r="L93" s="8">
        <f t="shared" si="5"/>
        <v>2337.5</v>
      </c>
      <c r="M93" s="3">
        <f>IF($N93&lt;&gt;"", IF($H93="A VISTA", "", IF($H93="1+1", $C93 + CADASTROS!$C$4, IF($H93="1+2", $C93 + CADASTROS!$D$5, IF($H93="1+3", $C93 + CADASTROS!$D$6, "")))), "")</f>
        <v>45252</v>
      </c>
      <c r="N93" s="8">
        <f t="shared" si="6"/>
        <v>2337.5</v>
      </c>
      <c r="O93" s="3">
        <f>IF($P93&lt;&gt;"", IF($H93="A VISTA", "", IF($H93="1+1", $C93 + CADASTROS!$C$4, IF($H93="1+2", $C93 + CADASTROS!$C$5, IF($H93="1+3", $C93 + CADASTROS!$E$6, "")))), "")</f>
        <v>45267</v>
      </c>
      <c r="P93" s="8">
        <f t="shared" si="7"/>
        <v>2337.5</v>
      </c>
    </row>
    <row r="94" spans="1:16">
      <c r="A94" s="2" t="s">
        <v>230</v>
      </c>
      <c r="B94" s="6" t="s">
        <v>19</v>
      </c>
      <c r="C94" s="7">
        <v>45192</v>
      </c>
      <c r="D94" s="7" t="s">
        <v>68</v>
      </c>
      <c r="E94" s="4" t="s">
        <v>111</v>
      </c>
      <c r="F94" s="4" t="s">
        <v>118</v>
      </c>
      <c r="G94" s="8">
        <v>7961</v>
      </c>
      <c r="H94" s="8" t="s">
        <v>137</v>
      </c>
      <c r="I94" s="3">
        <f>IF($H94="A VISTA", C94 + CADASTROS!$B$3, IF($H94="1+1", C94 + CADASTROS!$B$4, IF(H94="1+2", C94 + CADASTROS!$B$5, IF(H94="1+3", C94 + CADASTROS!$B$6, ""))))</f>
        <v>45193</v>
      </c>
      <c r="J94" s="8">
        <f t="shared" si="4"/>
        <v>2653.6666666666665</v>
      </c>
      <c r="K94" s="3">
        <f>IF($L94&lt;&gt;"", IF($H94="A VISTA", "", IF($H94="1+1", $C94 + CADASTROS!$C$4, IF($H94="1+2", $C94 + CADASTROS!$C$5, IF($H94="1+3", $C94 + CADASTROS!$E$4, "")))), "")</f>
        <v>45222</v>
      </c>
      <c r="L94" s="8">
        <f t="shared" si="5"/>
        <v>2653.6666666666665</v>
      </c>
      <c r="M94" s="3">
        <f>IF($N94&lt;&gt;"", IF($H94="A VISTA", "", IF($H94="1+1", $C94 + CADASTROS!$C$4, IF($H94="1+2", $C94 + CADASTROS!$D$5, IF($H94="1+3", $C94 + CADASTROS!$D$6, "")))), "")</f>
        <v>45237</v>
      </c>
      <c r="N94" s="8">
        <f t="shared" si="6"/>
        <v>2653.6666666666674</v>
      </c>
      <c r="O94" s="3" t="str">
        <f>IF($P94&lt;&gt;"", IF($H94="A VISTA", "", IF($H94="1+1", $C94 + CADASTROS!$C$4, IF($H94="1+2", $C94 + CADASTROS!$C$5, IF($H94="1+3", $C94 + CADASTROS!$E$6, "")))), "")</f>
        <v/>
      </c>
      <c r="P94" s="8" t="str">
        <f t="shared" si="7"/>
        <v/>
      </c>
    </row>
    <row r="95" spans="1:16">
      <c r="A95" s="2" t="s">
        <v>231</v>
      </c>
      <c r="B95" s="6" t="s">
        <v>38</v>
      </c>
      <c r="C95" s="7">
        <v>45213</v>
      </c>
      <c r="D95" s="7" t="s">
        <v>87</v>
      </c>
      <c r="E95" s="4" t="s">
        <v>110</v>
      </c>
      <c r="F95" s="4" t="s">
        <v>125</v>
      </c>
      <c r="G95" s="8">
        <v>2627</v>
      </c>
      <c r="H95" s="8" t="s">
        <v>126</v>
      </c>
      <c r="I95" s="3">
        <f>IF($H95="A VISTA", C95 + CADASTROS!$B$3, IF($H95="1+1", C95 + CADASTROS!$B$4, IF(H95="1+2", C95 + CADASTROS!$B$5, IF(H95="1+3", C95 + CADASTROS!$B$6, ""))))</f>
        <v>45214</v>
      </c>
      <c r="J95" s="8">
        <f t="shared" si="4"/>
        <v>2627</v>
      </c>
      <c r="K95" s="3" t="str">
        <f>IF($L95&lt;&gt;"", IF($H95="A VISTA", "", IF($H95="1+1", $C95 + CADASTROS!$C$4, IF($H95="1+2", $C95 + CADASTROS!$C$5, IF($H95="1+3", $C95 + CADASTROS!$E$4, "")))), "")</f>
        <v/>
      </c>
      <c r="L95" s="8" t="str">
        <f t="shared" si="5"/>
        <v/>
      </c>
      <c r="M95" s="3" t="str">
        <f>IF($N95&lt;&gt;"", IF($H95="A VISTA", "", IF($H95="1+1", $C95 + CADASTROS!$C$4, IF($H95="1+2", $C95 + CADASTROS!$D$5, IF($H95="1+3", $C95 + CADASTROS!$D$6, "")))), "")</f>
        <v/>
      </c>
      <c r="N95" s="8" t="str">
        <f t="shared" si="6"/>
        <v/>
      </c>
      <c r="O95" s="3" t="str">
        <f>IF($P95&lt;&gt;"", IF($H95="A VISTA", "", IF($H95="1+1", $C95 + CADASTROS!$C$4, IF($H95="1+2", $C95 + CADASTROS!$C$5, IF($H95="1+3", $C95 + CADASTROS!$E$6, "")))), "")</f>
        <v/>
      </c>
      <c r="P95" s="8" t="str">
        <f t="shared" si="7"/>
        <v/>
      </c>
    </row>
    <row r="96" spans="1:16">
      <c r="A96" s="2" t="s">
        <v>232</v>
      </c>
      <c r="B96" s="6" t="s">
        <v>15</v>
      </c>
      <c r="C96" s="7">
        <v>45153</v>
      </c>
      <c r="D96" s="7" t="s">
        <v>64</v>
      </c>
      <c r="E96" s="4" t="s">
        <v>112</v>
      </c>
      <c r="F96" s="4" t="s">
        <v>123</v>
      </c>
      <c r="G96" s="8">
        <v>7220</v>
      </c>
      <c r="H96" s="8" t="s">
        <v>126</v>
      </c>
      <c r="I96" s="3">
        <f>IF($H96="A VISTA", C96 + CADASTROS!$B$3, IF($H96="1+1", C96 + CADASTROS!$B$4, IF(H96="1+2", C96 + CADASTROS!$B$5, IF(H96="1+3", C96 + CADASTROS!$B$6, ""))))</f>
        <v>45154</v>
      </c>
      <c r="J96" s="8">
        <f t="shared" si="4"/>
        <v>7220</v>
      </c>
      <c r="K96" s="3" t="str">
        <f>IF($L96&lt;&gt;"", IF($H96="A VISTA", "", IF($H96="1+1", $C96 + CADASTROS!$C$4, IF($H96="1+2", $C96 + CADASTROS!$C$5, IF($H96="1+3", $C96 + CADASTROS!$E$4, "")))), "")</f>
        <v/>
      </c>
      <c r="L96" s="8" t="str">
        <f t="shared" si="5"/>
        <v/>
      </c>
      <c r="M96" s="3" t="str">
        <f>IF($N96&lt;&gt;"", IF($H96="A VISTA", "", IF($H96="1+1", $C96 + CADASTROS!$C$4, IF($H96="1+2", $C96 + CADASTROS!$D$5, IF($H96="1+3", $C96 + CADASTROS!$D$6, "")))), "")</f>
        <v/>
      </c>
      <c r="N96" s="8" t="str">
        <f t="shared" si="6"/>
        <v/>
      </c>
      <c r="O96" s="3" t="str">
        <f>IF($P96&lt;&gt;"", IF($H96="A VISTA", "", IF($H96="1+1", $C96 + CADASTROS!$C$4, IF($H96="1+2", $C96 + CADASTROS!$C$5, IF($H96="1+3", $C96 + CADASTROS!$E$6, "")))), "")</f>
        <v/>
      </c>
      <c r="P96" s="8" t="str">
        <f t="shared" si="7"/>
        <v/>
      </c>
    </row>
    <row r="97" spans="1:16">
      <c r="A97" s="2" t="s">
        <v>233</v>
      </c>
      <c r="B97" s="6" t="s">
        <v>27</v>
      </c>
      <c r="C97" s="7">
        <v>45204</v>
      </c>
      <c r="D97" s="7" t="s">
        <v>76</v>
      </c>
      <c r="E97" s="4" t="s">
        <v>110</v>
      </c>
      <c r="F97" s="4" t="s">
        <v>125</v>
      </c>
      <c r="G97" s="8">
        <v>9017</v>
      </c>
      <c r="H97" s="8" t="s">
        <v>138</v>
      </c>
      <c r="I97" s="3">
        <f>IF($H97="A VISTA", C97 + CADASTROS!$B$3, IF($H97="1+1", C97 + CADASTROS!$B$4, IF(H97="1+2", C97 + CADASTROS!$B$5, IF(H97="1+3", C97 + CADASTROS!$B$6, ""))))</f>
        <v>45205</v>
      </c>
      <c r="J97" s="8">
        <f t="shared" si="4"/>
        <v>4508.5</v>
      </c>
      <c r="K97" s="3">
        <f>IF($L97&lt;&gt;"", IF($H97="A VISTA", "", IF($H97="1+1", $C97 + CADASTROS!$C$4, IF($H97="1+2", $C97 + CADASTROS!$C$5, IF($H97="1+3", $C97 + CADASTROS!$E$4, "")))), "")</f>
        <v>45234</v>
      </c>
      <c r="L97" s="8">
        <f t="shared" si="5"/>
        <v>4508.5</v>
      </c>
      <c r="M97" s="3" t="str">
        <f>IF($N97&lt;&gt;"", IF($H97="A VISTA", "", IF($H97="1+1", $C97 + CADASTROS!$C$4, IF($H97="1+2", $C97 + CADASTROS!$D$5, IF($H97="1+3", $C97 + CADASTROS!$D$6, "")))), "")</f>
        <v/>
      </c>
      <c r="N97" s="8" t="str">
        <f t="shared" si="6"/>
        <v/>
      </c>
      <c r="O97" s="3" t="str">
        <f>IF($P97&lt;&gt;"", IF($H97="A VISTA", "", IF($H97="1+1", $C97 + CADASTROS!$C$4, IF($H97="1+2", $C97 + CADASTROS!$C$5, IF($H97="1+3", $C97 + CADASTROS!$E$6, "")))), "")</f>
        <v/>
      </c>
      <c r="P97" s="8" t="str">
        <f t="shared" si="7"/>
        <v/>
      </c>
    </row>
    <row r="98" spans="1:16">
      <c r="A98" s="2" t="s">
        <v>234</v>
      </c>
      <c r="B98" s="6" t="s">
        <v>34</v>
      </c>
      <c r="C98" s="7">
        <v>45319</v>
      </c>
      <c r="D98" s="7" t="s">
        <v>83</v>
      </c>
      <c r="E98" s="4" t="s">
        <v>110</v>
      </c>
      <c r="F98" s="4" t="s">
        <v>113</v>
      </c>
      <c r="G98" s="8">
        <v>1543</v>
      </c>
      <c r="H98" s="8" t="s">
        <v>136</v>
      </c>
      <c r="I98" s="3">
        <f>IF($H98="A VISTA", C98 + CADASTROS!$B$3, IF($H98="1+1", C98 + CADASTROS!$B$4, IF(H98="1+2", C98 + CADASTROS!$B$5, IF(H98="1+3", C98 + CADASTROS!$B$6, ""))))</f>
        <v>45320</v>
      </c>
      <c r="J98" s="8">
        <f t="shared" si="4"/>
        <v>385.75</v>
      </c>
      <c r="K98" s="3">
        <f>IF($L98&lt;&gt;"", IF($H98="A VISTA", "", IF($H98="1+1", $C98 + CADASTROS!$C$4, IF($H98="1+2", $C98 + CADASTROS!$C$5, IF($H98="1+3", $C98 + CADASTROS!$E$4, "")))), "")</f>
        <v>45319</v>
      </c>
      <c r="L98" s="8">
        <f t="shared" si="5"/>
        <v>385.75</v>
      </c>
      <c r="M98" s="3">
        <f>IF($N98&lt;&gt;"", IF($H98="A VISTA", "", IF($H98="1+1", $C98 + CADASTROS!$C$4, IF($H98="1+2", $C98 + CADASTROS!$D$5, IF($H98="1+3", $C98 + CADASTROS!$D$6, "")))), "")</f>
        <v>45364</v>
      </c>
      <c r="N98" s="8">
        <f t="shared" si="6"/>
        <v>385.75</v>
      </c>
      <c r="O98" s="3">
        <f>IF($P98&lt;&gt;"", IF($H98="A VISTA", "", IF($H98="1+1", $C98 + CADASTROS!$C$4, IF($H98="1+2", $C98 + CADASTROS!$C$5, IF($H98="1+3", $C98 + CADASTROS!$E$6, "")))), "")</f>
        <v>45379</v>
      </c>
      <c r="P98" s="8">
        <f t="shared" si="7"/>
        <v>385.75</v>
      </c>
    </row>
    <row r="99" spans="1:16">
      <c r="A99" s="2" t="s">
        <v>235</v>
      </c>
      <c r="B99" s="6" t="s">
        <v>19</v>
      </c>
      <c r="C99" s="7">
        <v>45115</v>
      </c>
      <c r="D99" s="7" t="s">
        <v>68</v>
      </c>
      <c r="E99" s="4" t="s">
        <v>111</v>
      </c>
      <c r="F99" s="4" t="s">
        <v>118</v>
      </c>
      <c r="G99" s="8">
        <v>6512</v>
      </c>
      <c r="H99" s="8" t="s">
        <v>126</v>
      </c>
      <c r="I99" s="3">
        <f>IF($H99="A VISTA", C99 + CADASTROS!$B$3, IF($H99="1+1", C99 + CADASTROS!$B$4, IF(H99="1+2", C99 + CADASTROS!$B$5, IF(H99="1+3", C99 + CADASTROS!$B$6, ""))))</f>
        <v>45116</v>
      </c>
      <c r="J99" s="8">
        <f t="shared" si="4"/>
        <v>6512</v>
      </c>
      <c r="K99" s="3" t="str">
        <f>IF($L99&lt;&gt;"", IF($H99="A VISTA", "", IF($H99="1+1", $C99 + CADASTROS!$C$4, IF($H99="1+2", $C99 + CADASTROS!$C$5, IF($H99="1+3", $C99 + CADASTROS!$E$4, "")))), "")</f>
        <v/>
      </c>
      <c r="L99" s="8" t="str">
        <f t="shared" si="5"/>
        <v/>
      </c>
      <c r="M99" s="3" t="str">
        <f>IF($N99&lt;&gt;"", IF($H99="A VISTA", "", IF($H99="1+1", $C99 + CADASTROS!$C$4, IF($H99="1+2", $C99 + CADASTROS!$D$5, IF($H99="1+3", $C99 + CADASTROS!$D$6, "")))), "")</f>
        <v/>
      </c>
      <c r="N99" s="8" t="str">
        <f t="shared" si="6"/>
        <v/>
      </c>
      <c r="O99" s="3" t="str">
        <f>IF($P99&lt;&gt;"", IF($H99="A VISTA", "", IF($H99="1+1", $C99 + CADASTROS!$C$4, IF($H99="1+2", $C99 + CADASTROS!$C$5, IF($H99="1+3", $C99 + CADASTROS!$E$6, "")))), "")</f>
        <v/>
      </c>
      <c r="P99" s="8" t="str">
        <f t="shared" si="7"/>
        <v/>
      </c>
    </row>
    <row r="100" spans="1:16">
      <c r="A100" s="2" t="s">
        <v>236</v>
      </c>
      <c r="B100" s="6" t="s">
        <v>18</v>
      </c>
      <c r="C100" s="7">
        <v>45276</v>
      </c>
      <c r="D100" s="7" t="s">
        <v>67</v>
      </c>
      <c r="E100" s="4" t="s">
        <v>111</v>
      </c>
      <c r="F100" s="4" t="s">
        <v>121</v>
      </c>
      <c r="G100" s="8">
        <v>6491</v>
      </c>
      <c r="H100" s="8" t="s">
        <v>137</v>
      </c>
      <c r="I100" s="3">
        <f>IF($H100="A VISTA", C100 + CADASTROS!$B$3, IF($H100="1+1", C100 + CADASTROS!$B$4, IF(H100="1+2", C100 + CADASTROS!$B$5, IF(H100="1+3", C100 + CADASTROS!$B$6, ""))))</f>
        <v>45277</v>
      </c>
      <c r="J100" s="8">
        <f t="shared" si="4"/>
        <v>2163.6666666666665</v>
      </c>
      <c r="K100" s="3">
        <f>IF($L100&lt;&gt;"", IF($H100="A VISTA", "", IF($H100="1+1", $C100 + CADASTROS!$C$4, IF($H100="1+2", $C100 + CADASTROS!$C$5, IF($H100="1+3", $C100 + CADASTROS!$E$4, "")))), "")</f>
        <v>45306</v>
      </c>
      <c r="L100" s="8">
        <f t="shared" si="5"/>
        <v>2163.6666666666665</v>
      </c>
      <c r="M100" s="3">
        <f>IF($N100&lt;&gt;"", IF($H100="A VISTA", "", IF($H100="1+1", $C100 + CADASTROS!$C$4, IF($H100="1+2", $C100 + CADASTROS!$D$5, IF($H100="1+3", $C100 + CADASTROS!$D$6, "")))), "")</f>
        <v>45321</v>
      </c>
      <c r="N100" s="8">
        <f t="shared" si="6"/>
        <v>2163.6666666666674</v>
      </c>
      <c r="O100" s="3" t="str">
        <f>IF($P100&lt;&gt;"", IF($H100="A VISTA", "", IF($H100="1+1", $C100 + CADASTROS!$C$4, IF($H100="1+2", $C100 + CADASTROS!$C$5, IF($H100="1+3", $C100 + CADASTROS!$E$6, "")))), "")</f>
        <v/>
      </c>
      <c r="P100" s="8" t="str">
        <f t="shared" si="7"/>
        <v/>
      </c>
    </row>
    <row r="101" spans="1:16">
      <c r="A101" s="2" t="s">
        <v>237</v>
      </c>
      <c r="B101" s="6" t="s">
        <v>21</v>
      </c>
      <c r="C101" s="7">
        <v>45063</v>
      </c>
      <c r="D101" s="7" t="s">
        <v>70</v>
      </c>
      <c r="E101" s="4" t="s">
        <v>110</v>
      </c>
      <c r="F101" s="4" t="s">
        <v>124</v>
      </c>
      <c r="G101" s="8">
        <v>9466</v>
      </c>
      <c r="H101" s="8" t="s">
        <v>137</v>
      </c>
      <c r="I101" s="3">
        <f>IF($H101="A VISTA", C101 + CADASTROS!$B$3, IF($H101="1+1", C101 + CADASTROS!$B$4, IF(H101="1+2", C101 + CADASTROS!$B$5, IF(H101="1+3", C101 + CADASTROS!$B$6, ""))))</f>
        <v>45064</v>
      </c>
      <c r="J101" s="8">
        <f t="shared" si="4"/>
        <v>3155.3333333333335</v>
      </c>
      <c r="K101" s="3">
        <f>IF($L101&lt;&gt;"", IF($H101="A VISTA", "", IF($H101="1+1", $C101 + CADASTROS!$C$4, IF($H101="1+2", $C101 + CADASTROS!$C$5, IF($H101="1+3", $C101 + CADASTROS!$E$4, "")))), "")</f>
        <v>45093</v>
      </c>
      <c r="L101" s="8">
        <f t="shared" si="5"/>
        <v>3155.3333333333335</v>
      </c>
      <c r="M101" s="3">
        <f>IF($N101&lt;&gt;"", IF($H101="A VISTA", "", IF($H101="1+1", $C101 + CADASTROS!$C$4, IF($H101="1+2", $C101 + CADASTROS!$D$5, IF($H101="1+3", $C101 + CADASTROS!$D$6, "")))), "")</f>
        <v>45108</v>
      </c>
      <c r="N101" s="8">
        <f t="shared" si="6"/>
        <v>3155.3333333333326</v>
      </c>
      <c r="O101" s="3" t="str">
        <f>IF($P101&lt;&gt;"", IF($H101="A VISTA", "", IF($H101="1+1", $C101 + CADASTROS!$C$4, IF($H101="1+2", $C101 + CADASTROS!$C$5, IF($H101="1+3", $C101 + CADASTROS!$E$6, "")))), "")</f>
        <v/>
      </c>
      <c r="P101" s="8" t="str">
        <f t="shared" si="7"/>
        <v/>
      </c>
    </row>
    <row r="102" spans="1:16">
      <c r="A102" s="2" t="s">
        <v>238</v>
      </c>
      <c r="B102" s="6" t="s">
        <v>48</v>
      </c>
      <c r="C102" s="7">
        <v>45429</v>
      </c>
      <c r="D102" s="7" t="s">
        <v>97</v>
      </c>
      <c r="E102" s="4" t="s">
        <v>112</v>
      </c>
      <c r="F102" s="4" t="s">
        <v>123</v>
      </c>
      <c r="G102" s="8">
        <v>8631</v>
      </c>
      <c r="H102" s="8" t="s">
        <v>126</v>
      </c>
      <c r="I102" s="3">
        <f>IF($H102="A VISTA", C102 + CADASTROS!$B$3, IF($H102="1+1", C102 + CADASTROS!$B$4, IF(H102="1+2", C102 + CADASTROS!$B$5, IF(H102="1+3", C102 + CADASTROS!$B$6, ""))))</f>
        <v>45430</v>
      </c>
      <c r="J102" s="8">
        <f t="shared" si="4"/>
        <v>8631</v>
      </c>
      <c r="K102" s="3" t="str">
        <f>IF($L102&lt;&gt;"", IF($H102="A VISTA", "", IF($H102="1+1", $C102 + CADASTROS!$C$4, IF($H102="1+2", $C102 + CADASTROS!$C$5, IF($H102="1+3", $C102 + CADASTROS!$E$4, "")))), "")</f>
        <v/>
      </c>
      <c r="L102" s="8" t="str">
        <f t="shared" si="5"/>
        <v/>
      </c>
      <c r="M102" s="3" t="str">
        <f>IF($N102&lt;&gt;"", IF($H102="A VISTA", "", IF($H102="1+1", $C102 + CADASTROS!$C$4, IF($H102="1+2", $C102 + CADASTROS!$D$5, IF($H102="1+3", $C102 + CADASTROS!$D$6, "")))), "")</f>
        <v/>
      </c>
      <c r="N102" s="8" t="str">
        <f t="shared" si="6"/>
        <v/>
      </c>
      <c r="O102" s="3" t="str">
        <f>IF($P102&lt;&gt;"", IF($H102="A VISTA", "", IF($H102="1+1", $C102 + CADASTROS!$C$4, IF($H102="1+2", $C102 + CADASTROS!$C$5, IF($H102="1+3", $C102 + CADASTROS!$E$6, "")))), "")</f>
        <v/>
      </c>
      <c r="P102" s="8" t="str">
        <f t="shared" si="7"/>
        <v/>
      </c>
    </row>
    <row r="103" spans="1:16">
      <c r="A103" s="2" t="s">
        <v>239</v>
      </c>
      <c r="B103" s="6" t="s">
        <v>28</v>
      </c>
      <c r="C103" s="7">
        <v>45161</v>
      </c>
      <c r="D103" s="7" t="s">
        <v>77</v>
      </c>
      <c r="E103" s="4" t="s">
        <v>110</v>
      </c>
      <c r="F103" s="4" t="s">
        <v>114</v>
      </c>
      <c r="G103" s="8">
        <v>2326</v>
      </c>
      <c r="H103" s="8" t="s">
        <v>138</v>
      </c>
      <c r="I103" s="3">
        <f>IF($H103="A VISTA", C103 + CADASTROS!$B$3, IF($H103="1+1", C103 + CADASTROS!$B$4, IF(H103="1+2", C103 + CADASTROS!$B$5, IF(H103="1+3", C103 + CADASTROS!$B$6, ""))))</f>
        <v>45162</v>
      </c>
      <c r="J103" s="8">
        <f t="shared" si="4"/>
        <v>1163</v>
      </c>
      <c r="K103" s="3">
        <f>IF($L103&lt;&gt;"", IF($H103="A VISTA", "", IF($H103="1+1", $C103 + CADASTROS!$C$4, IF($H103="1+2", $C103 + CADASTROS!$C$5, IF($H103="1+3", $C103 + CADASTROS!$E$4, "")))), "")</f>
        <v>45191</v>
      </c>
      <c r="L103" s="8">
        <f t="shared" si="5"/>
        <v>1163</v>
      </c>
      <c r="M103" s="3" t="str">
        <f>IF($N103&lt;&gt;"", IF($H103="A VISTA", "", IF($H103="1+1", $C103 + CADASTROS!$C$4, IF($H103="1+2", $C103 + CADASTROS!$D$5, IF($H103="1+3", $C103 + CADASTROS!$D$6, "")))), "")</f>
        <v/>
      </c>
      <c r="N103" s="8" t="str">
        <f t="shared" si="6"/>
        <v/>
      </c>
      <c r="O103" s="3" t="str">
        <f>IF($P103&lt;&gt;"", IF($H103="A VISTA", "", IF($H103="1+1", $C103 + CADASTROS!$C$4, IF($H103="1+2", $C103 + CADASTROS!$C$5, IF($H103="1+3", $C103 + CADASTROS!$E$6, "")))), "")</f>
        <v/>
      </c>
      <c r="P103" s="8" t="str">
        <f t="shared" si="7"/>
        <v/>
      </c>
    </row>
    <row r="104" spans="1:16">
      <c r="A104" s="2" t="s">
        <v>240</v>
      </c>
      <c r="B104" s="6" t="s">
        <v>43</v>
      </c>
      <c r="C104" s="7">
        <v>45427</v>
      </c>
      <c r="D104" s="7" t="s">
        <v>92</v>
      </c>
      <c r="E104" s="4" t="s">
        <v>110</v>
      </c>
      <c r="F104" s="4" t="s">
        <v>124</v>
      </c>
      <c r="G104" s="8">
        <v>1400</v>
      </c>
      <c r="H104" s="8" t="s">
        <v>136</v>
      </c>
      <c r="I104" s="3">
        <f>IF($H104="A VISTA", C104 + CADASTROS!$B$3, IF($H104="1+1", C104 + CADASTROS!$B$4, IF(H104="1+2", C104 + CADASTROS!$B$5, IF(H104="1+3", C104 + CADASTROS!$B$6, ""))))</f>
        <v>45428</v>
      </c>
      <c r="J104" s="8">
        <f t="shared" si="4"/>
        <v>350</v>
      </c>
      <c r="K104" s="3">
        <f>IF($L104&lt;&gt;"", IF($H104="A VISTA", "", IF($H104="1+1", $C104 + CADASTROS!$C$4, IF($H104="1+2", $C104 + CADASTROS!$C$5, IF($H104="1+3", $C104 + CADASTROS!$E$4, "")))), "")</f>
        <v>45427</v>
      </c>
      <c r="L104" s="8">
        <f t="shared" si="5"/>
        <v>350</v>
      </c>
      <c r="M104" s="3">
        <f>IF($N104&lt;&gt;"", IF($H104="A VISTA", "", IF($H104="1+1", $C104 + CADASTROS!$C$4, IF($H104="1+2", $C104 + CADASTROS!$D$5, IF($H104="1+3", $C104 + CADASTROS!$D$6, "")))), "")</f>
        <v>45472</v>
      </c>
      <c r="N104" s="8">
        <f t="shared" si="6"/>
        <v>350</v>
      </c>
      <c r="O104" s="3">
        <f>IF($P104&lt;&gt;"", IF($H104="A VISTA", "", IF($H104="1+1", $C104 + CADASTROS!$C$4, IF($H104="1+2", $C104 + CADASTROS!$C$5, IF($H104="1+3", $C104 + CADASTROS!$E$6, "")))), "")</f>
        <v>45487</v>
      </c>
      <c r="P104" s="8">
        <f t="shared" si="7"/>
        <v>350</v>
      </c>
    </row>
    <row r="105" spans="1:16">
      <c r="A105" s="2" t="s">
        <v>241</v>
      </c>
      <c r="B105" s="6" t="s">
        <v>12</v>
      </c>
      <c r="C105" s="7">
        <v>45477</v>
      </c>
      <c r="D105" s="7" t="s">
        <v>62</v>
      </c>
      <c r="E105" s="4" t="s">
        <v>112</v>
      </c>
      <c r="F105" s="4" t="s">
        <v>122</v>
      </c>
      <c r="G105" s="8">
        <v>4303</v>
      </c>
      <c r="H105" s="8" t="s">
        <v>126</v>
      </c>
      <c r="I105" s="3">
        <f>IF($H105="A VISTA", C105 + CADASTROS!$B$3, IF($H105="1+1", C105 + CADASTROS!$B$4, IF(H105="1+2", C105 + CADASTROS!$B$5, IF(H105="1+3", C105 + CADASTROS!$B$6, ""))))</f>
        <v>45478</v>
      </c>
      <c r="J105" s="8">
        <f t="shared" si="4"/>
        <v>4303</v>
      </c>
      <c r="K105" s="3" t="str">
        <f>IF($L105&lt;&gt;"", IF($H105="A VISTA", "", IF($H105="1+1", $C105 + CADASTROS!$C$4, IF($H105="1+2", $C105 + CADASTROS!$C$5, IF($H105="1+3", $C105 + CADASTROS!$E$4, "")))), "")</f>
        <v/>
      </c>
      <c r="L105" s="8" t="str">
        <f t="shared" si="5"/>
        <v/>
      </c>
      <c r="M105" s="3" t="str">
        <f>IF($N105&lt;&gt;"", IF($H105="A VISTA", "", IF($H105="1+1", $C105 + CADASTROS!$C$4, IF($H105="1+2", $C105 + CADASTROS!$D$5, IF($H105="1+3", $C105 + CADASTROS!$D$6, "")))), "")</f>
        <v/>
      </c>
      <c r="N105" s="8" t="str">
        <f t="shared" si="6"/>
        <v/>
      </c>
      <c r="O105" s="3" t="str">
        <f>IF($P105&lt;&gt;"", IF($H105="A VISTA", "", IF($H105="1+1", $C105 + CADASTROS!$C$4, IF($H105="1+2", $C105 + CADASTROS!$C$5, IF($H105="1+3", $C105 + CADASTROS!$E$6, "")))), "")</f>
        <v/>
      </c>
      <c r="P105" s="8" t="str">
        <f t="shared" si="7"/>
        <v/>
      </c>
    </row>
    <row r="106" spans="1:16">
      <c r="A106" s="2" t="s">
        <v>242</v>
      </c>
      <c r="B106" s="6" t="s">
        <v>59</v>
      </c>
      <c r="C106" s="7">
        <v>45204</v>
      </c>
      <c r="D106" s="7" t="s">
        <v>108</v>
      </c>
      <c r="E106" s="4" t="s">
        <v>111</v>
      </c>
      <c r="F106" s="4" t="s">
        <v>121</v>
      </c>
      <c r="G106" s="8">
        <v>2355</v>
      </c>
      <c r="H106" s="8" t="s">
        <v>126</v>
      </c>
      <c r="I106" s="3">
        <f>IF($H106="A VISTA", C106 + CADASTROS!$B$3, IF($H106="1+1", C106 + CADASTROS!$B$4, IF(H106="1+2", C106 + CADASTROS!$B$5, IF(H106="1+3", C106 + CADASTROS!$B$6, ""))))</f>
        <v>45205</v>
      </c>
      <c r="J106" s="8">
        <f t="shared" si="4"/>
        <v>2355</v>
      </c>
      <c r="K106" s="3" t="str">
        <f>IF($L106&lt;&gt;"", IF($H106="A VISTA", "", IF($H106="1+1", $C106 + CADASTROS!$C$4, IF($H106="1+2", $C106 + CADASTROS!$C$5, IF($H106="1+3", $C106 + CADASTROS!$E$4, "")))), "")</f>
        <v/>
      </c>
      <c r="L106" s="8" t="str">
        <f t="shared" si="5"/>
        <v/>
      </c>
      <c r="M106" s="3" t="str">
        <f>IF($N106&lt;&gt;"", IF($H106="A VISTA", "", IF($H106="1+1", $C106 + CADASTROS!$C$4, IF($H106="1+2", $C106 + CADASTROS!$D$5, IF($H106="1+3", $C106 + CADASTROS!$D$6, "")))), "")</f>
        <v/>
      </c>
      <c r="N106" s="8" t="str">
        <f t="shared" si="6"/>
        <v/>
      </c>
      <c r="O106" s="3" t="str">
        <f>IF($P106&lt;&gt;"", IF($H106="A VISTA", "", IF($H106="1+1", $C106 + CADASTROS!$C$4, IF($H106="1+2", $C106 + CADASTROS!$C$5, IF($H106="1+3", $C106 + CADASTROS!$E$6, "")))), "")</f>
        <v/>
      </c>
      <c r="P106" s="8" t="str">
        <f t="shared" si="7"/>
        <v/>
      </c>
    </row>
    <row r="107" spans="1:16">
      <c r="A107" s="2" t="s">
        <v>243</v>
      </c>
      <c r="B107" s="6" t="s">
        <v>48</v>
      </c>
      <c r="C107" s="7">
        <v>45255</v>
      </c>
      <c r="D107" s="7" t="s">
        <v>97</v>
      </c>
      <c r="E107" s="4" t="s">
        <v>112</v>
      </c>
      <c r="F107" s="4" t="s">
        <v>123</v>
      </c>
      <c r="G107" s="8">
        <v>701</v>
      </c>
      <c r="H107" s="8" t="s">
        <v>126</v>
      </c>
      <c r="I107" s="3">
        <f>IF($H107="A VISTA", C107 + CADASTROS!$B$3, IF($H107="1+1", C107 + CADASTROS!$B$4, IF(H107="1+2", C107 + CADASTROS!$B$5, IF(H107="1+3", C107 + CADASTROS!$B$6, ""))))</f>
        <v>45256</v>
      </c>
      <c r="J107" s="8">
        <f t="shared" si="4"/>
        <v>701</v>
      </c>
      <c r="K107" s="3" t="str">
        <f>IF($L107&lt;&gt;"", IF($H107="A VISTA", "", IF($H107="1+1", $C107 + CADASTROS!$C$4, IF($H107="1+2", $C107 + CADASTROS!$C$5, IF($H107="1+3", $C107 + CADASTROS!$E$4, "")))), "")</f>
        <v/>
      </c>
      <c r="L107" s="8" t="str">
        <f t="shared" si="5"/>
        <v/>
      </c>
      <c r="M107" s="3" t="str">
        <f>IF($N107&lt;&gt;"", IF($H107="A VISTA", "", IF($H107="1+1", $C107 + CADASTROS!$C$4, IF($H107="1+2", $C107 + CADASTROS!$D$5, IF($H107="1+3", $C107 + CADASTROS!$D$6, "")))), "")</f>
        <v/>
      </c>
      <c r="N107" s="8" t="str">
        <f t="shared" si="6"/>
        <v/>
      </c>
      <c r="O107" s="3" t="str">
        <f>IF($P107&lt;&gt;"", IF($H107="A VISTA", "", IF($H107="1+1", $C107 + CADASTROS!$C$4, IF($H107="1+2", $C107 + CADASTROS!$C$5, IF($H107="1+3", $C107 + CADASTROS!$E$6, "")))), "")</f>
        <v/>
      </c>
      <c r="P107" s="8" t="str">
        <f t="shared" si="7"/>
        <v/>
      </c>
    </row>
    <row r="108" spans="1:16">
      <c r="A108" s="2" t="s">
        <v>244</v>
      </c>
      <c r="B108" s="6" t="s">
        <v>32</v>
      </c>
      <c r="C108" s="7">
        <v>45153</v>
      </c>
      <c r="D108" s="7" t="s">
        <v>81</v>
      </c>
      <c r="E108" s="4" t="s">
        <v>110</v>
      </c>
      <c r="F108" s="4" t="s">
        <v>124</v>
      </c>
      <c r="G108" s="8">
        <v>950</v>
      </c>
      <c r="H108" s="8" t="s">
        <v>138</v>
      </c>
      <c r="I108" s="3">
        <f>IF($H108="A VISTA", C108 + CADASTROS!$B$3, IF($H108="1+1", C108 + CADASTROS!$B$4, IF(H108="1+2", C108 + CADASTROS!$B$5, IF(H108="1+3", C108 + CADASTROS!$B$6, ""))))</f>
        <v>45154</v>
      </c>
      <c r="J108" s="8">
        <f t="shared" si="4"/>
        <v>475</v>
      </c>
      <c r="K108" s="3">
        <f>IF($L108&lt;&gt;"", IF($H108="A VISTA", "", IF($H108="1+1", $C108 + CADASTROS!$C$4, IF($H108="1+2", $C108 + CADASTROS!$C$5, IF($H108="1+3", $C108 + CADASTROS!$E$4, "")))), "")</f>
        <v>45183</v>
      </c>
      <c r="L108" s="8">
        <f t="shared" si="5"/>
        <v>475</v>
      </c>
      <c r="M108" s="3" t="str">
        <f>IF($N108&lt;&gt;"", IF($H108="A VISTA", "", IF($H108="1+1", $C108 + CADASTROS!$C$4, IF($H108="1+2", $C108 + CADASTROS!$D$5, IF($H108="1+3", $C108 + CADASTROS!$D$6, "")))), "")</f>
        <v/>
      </c>
      <c r="N108" s="8" t="str">
        <f t="shared" si="6"/>
        <v/>
      </c>
      <c r="O108" s="3" t="str">
        <f>IF($P108&lt;&gt;"", IF($H108="A VISTA", "", IF($H108="1+1", $C108 + CADASTROS!$C$4, IF($H108="1+2", $C108 + CADASTROS!$C$5, IF($H108="1+3", $C108 + CADASTROS!$E$6, "")))), "")</f>
        <v/>
      </c>
      <c r="P108" s="8" t="str">
        <f t="shared" si="7"/>
        <v/>
      </c>
    </row>
    <row r="109" spans="1:16">
      <c r="A109" s="2" t="s">
        <v>245</v>
      </c>
      <c r="B109" s="6" t="s">
        <v>54</v>
      </c>
      <c r="C109" s="7">
        <v>45302</v>
      </c>
      <c r="D109" s="7" t="s">
        <v>103</v>
      </c>
      <c r="E109" s="4" t="s">
        <v>110</v>
      </c>
      <c r="F109" s="4" t="s">
        <v>124</v>
      </c>
      <c r="G109" s="8">
        <v>2406</v>
      </c>
      <c r="H109" s="8" t="s">
        <v>126</v>
      </c>
      <c r="I109" s="3">
        <f>IF($H109="A VISTA", C109 + CADASTROS!$B$3, IF($H109="1+1", C109 + CADASTROS!$B$4, IF(H109="1+2", C109 + CADASTROS!$B$5, IF(H109="1+3", C109 + CADASTROS!$B$6, ""))))</f>
        <v>45303</v>
      </c>
      <c r="J109" s="8">
        <f t="shared" si="4"/>
        <v>2406</v>
      </c>
      <c r="K109" s="3" t="str">
        <f>IF($L109&lt;&gt;"", IF($H109="A VISTA", "", IF($H109="1+1", $C109 + CADASTROS!$C$4, IF($H109="1+2", $C109 + CADASTROS!$C$5, IF($H109="1+3", $C109 + CADASTROS!$E$4, "")))), "")</f>
        <v/>
      </c>
      <c r="L109" s="8" t="str">
        <f t="shared" si="5"/>
        <v/>
      </c>
      <c r="M109" s="3" t="str">
        <f>IF($N109&lt;&gt;"", IF($H109="A VISTA", "", IF($H109="1+1", $C109 + CADASTROS!$C$4, IF($H109="1+2", $C109 + CADASTROS!$D$5, IF($H109="1+3", $C109 + CADASTROS!$D$6, "")))), "")</f>
        <v/>
      </c>
      <c r="N109" s="8" t="str">
        <f t="shared" si="6"/>
        <v/>
      </c>
      <c r="O109" s="3" t="str">
        <f>IF($P109&lt;&gt;"", IF($H109="A VISTA", "", IF($H109="1+1", $C109 + CADASTROS!$C$4, IF($H109="1+2", $C109 + CADASTROS!$C$5, IF($H109="1+3", $C109 + CADASTROS!$E$6, "")))), "")</f>
        <v/>
      </c>
      <c r="P109" s="8" t="str">
        <f t="shared" si="7"/>
        <v/>
      </c>
    </row>
    <row r="110" spans="1:16">
      <c r="A110" s="2" t="s">
        <v>246</v>
      </c>
      <c r="B110" s="6" t="s">
        <v>30</v>
      </c>
      <c r="C110" s="7">
        <v>45268</v>
      </c>
      <c r="D110" s="7" t="s">
        <v>79</v>
      </c>
      <c r="E110" s="4" t="s">
        <v>111</v>
      </c>
      <c r="F110" s="4" t="s">
        <v>118</v>
      </c>
      <c r="G110" s="8">
        <v>5721</v>
      </c>
      <c r="H110" s="8" t="s">
        <v>136</v>
      </c>
      <c r="I110" s="3">
        <f>IF($H110="A VISTA", C110 + CADASTROS!$B$3, IF($H110="1+1", C110 + CADASTROS!$B$4, IF(H110="1+2", C110 + CADASTROS!$B$5, IF(H110="1+3", C110 + CADASTROS!$B$6, ""))))</f>
        <v>45269</v>
      </c>
      <c r="J110" s="8">
        <f t="shared" si="4"/>
        <v>1430.25</v>
      </c>
      <c r="K110" s="3">
        <f>IF($L110&lt;&gt;"", IF($H110="A VISTA", "", IF($H110="1+1", $C110 + CADASTROS!$C$4, IF($H110="1+2", $C110 + CADASTROS!$C$5, IF($H110="1+3", $C110 + CADASTROS!$E$4, "")))), "")</f>
        <v>45268</v>
      </c>
      <c r="L110" s="8">
        <f t="shared" si="5"/>
        <v>1430.25</v>
      </c>
      <c r="M110" s="3">
        <f>IF($N110&lt;&gt;"", IF($H110="A VISTA", "", IF($H110="1+1", $C110 + CADASTROS!$C$4, IF($H110="1+2", $C110 + CADASTROS!$D$5, IF($H110="1+3", $C110 + CADASTROS!$D$6, "")))), "")</f>
        <v>45313</v>
      </c>
      <c r="N110" s="8">
        <f t="shared" si="6"/>
        <v>1430.25</v>
      </c>
      <c r="O110" s="3">
        <f>IF($P110&lt;&gt;"", IF($H110="A VISTA", "", IF($H110="1+1", $C110 + CADASTROS!$C$4, IF($H110="1+2", $C110 + CADASTROS!$C$5, IF($H110="1+3", $C110 + CADASTROS!$E$6, "")))), "")</f>
        <v>45328</v>
      </c>
      <c r="P110" s="8">
        <f t="shared" si="7"/>
        <v>1430.25</v>
      </c>
    </row>
    <row r="111" spans="1:16">
      <c r="A111" s="2" t="s">
        <v>247</v>
      </c>
      <c r="B111" s="6" t="s">
        <v>42</v>
      </c>
      <c r="C111" s="7">
        <v>45270</v>
      </c>
      <c r="D111" s="7" t="s">
        <v>91</v>
      </c>
      <c r="E111" s="4" t="s">
        <v>111</v>
      </c>
      <c r="F111" s="4" t="s">
        <v>117</v>
      </c>
      <c r="G111" s="8">
        <v>9351</v>
      </c>
      <c r="H111" s="8" t="s">
        <v>137</v>
      </c>
      <c r="I111" s="3">
        <f>IF($H111="A VISTA", C111 + CADASTROS!$B$3, IF($H111="1+1", C111 + CADASTROS!$B$4, IF(H111="1+2", C111 + CADASTROS!$B$5, IF(H111="1+3", C111 + CADASTROS!$B$6, ""))))</f>
        <v>45271</v>
      </c>
      <c r="J111" s="8">
        <f t="shared" si="4"/>
        <v>3117</v>
      </c>
      <c r="K111" s="3">
        <f>IF($L111&lt;&gt;"", IF($H111="A VISTA", "", IF($H111="1+1", $C111 + CADASTROS!$C$4, IF($H111="1+2", $C111 + CADASTROS!$C$5, IF($H111="1+3", $C111 + CADASTROS!$E$4, "")))), "")</f>
        <v>45300</v>
      </c>
      <c r="L111" s="8">
        <f t="shared" si="5"/>
        <v>3117</v>
      </c>
      <c r="M111" s="3">
        <f>IF($N111&lt;&gt;"", IF($H111="A VISTA", "", IF($H111="1+1", $C111 + CADASTROS!$C$4, IF($H111="1+2", $C111 + CADASTROS!$D$5, IF($H111="1+3", $C111 + CADASTROS!$D$6, "")))), "")</f>
        <v>45315</v>
      </c>
      <c r="N111" s="8">
        <f t="shared" si="6"/>
        <v>3117</v>
      </c>
      <c r="O111" s="3" t="str">
        <f>IF($P111&lt;&gt;"", IF($H111="A VISTA", "", IF($H111="1+1", $C111 + CADASTROS!$C$4, IF($H111="1+2", $C111 + CADASTROS!$C$5, IF($H111="1+3", $C111 + CADASTROS!$E$6, "")))), "")</f>
        <v/>
      </c>
      <c r="P111" s="8" t="str">
        <f t="shared" si="7"/>
        <v/>
      </c>
    </row>
    <row r="112" spans="1:16">
      <c r="A112" s="2" t="s">
        <v>248</v>
      </c>
      <c r="B112" s="6" t="s">
        <v>36</v>
      </c>
      <c r="C112" s="7">
        <v>45393</v>
      </c>
      <c r="D112" s="7" t="s">
        <v>85</v>
      </c>
      <c r="E112" s="4" t="s">
        <v>111</v>
      </c>
      <c r="F112" s="4" t="s">
        <v>120</v>
      </c>
      <c r="G112" s="8">
        <v>8439</v>
      </c>
      <c r="H112" s="8" t="s">
        <v>137</v>
      </c>
      <c r="I112" s="3">
        <f>IF($H112="A VISTA", C112 + CADASTROS!$B$3, IF($H112="1+1", C112 + CADASTROS!$B$4, IF(H112="1+2", C112 + CADASTROS!$B$5, IF(H112="1+3", C112 + CADASTROS!$B$6, ""))))</f>
        <v>45394</v>
      </c>
      <c r="J112" s="8">
        <f t="shared" si="4"/>
        <v>2813</v>
      </c>
      <c r="K112" s="3">
        <f>IF($L112&lt;&gt;"", IF($H112="A VISTA", "", IF($H112="1+1", $C112 + CADASTROS!$C$4, IF($H112="1+2", $C112 + CADASTROS!$C$5, IF($H112="1+3", $C112 + CADASTROS!$E$4, "")))), "")</f>
        <v>45423</v>
      </c>
      <c r="L112" s="8">
        <f t="shared" si="5"/>
        <v>2813</v>
      </c>
      <c r="M112" s="3">
        <f>IF($N112&lt;&gt;"", IF($H112="A VISTA", "", IF($H112="1+1", $C112 + CADASTROS!$C$4, IF($H112="1+2", $C112 + CADASTROS!$D$5, IF($H112="1+3", $C112 + CADASTROS!$D$6, "")))), "")</f>
        <v>45438</v>
      </c>
      <c r="N112" s="8">
        <f t="shared" si="6"/>
        <v>2813</v>
      </c>
      <c r="O112" s="3" t="str">
        <f>IF($P112&lt;&gt;"", IF($H112="A VISTA", "", IF($H112="1+1", $C112 + CADASTROS!$C$4, IF($H112="1+2", $C112 + CADASTROS!$C$5, IF($H112="1+3", $C112 + CADASTROS!$E$6, "")))), "")</f>
        <v/>
      </c>
      <c r="P112" s="8" t="str">
        <f t="shared" si="7"/>
        <v/>
      </c>
    </row>
    <row r="113" spans="1:16">
      <c r="A113" s="2" t="s">
        <v>249</v>
      </c>
      <c r="B113" s="6" t="s">
        <v>29</v>
      </c>
      <c r="C113" s="7">
        <v>45038</v>
      </c>
      <c r="D113" s="7" t="s">
        <v>78</v>
      </c>
      <c r="E113" s="4" t="s">
        <v>111</v>
      </c>
      <c r="F113" s="4" t="s">
        <v>121</v>
      </c>
      <c r="G113" s="8">
        <v>7019</v>
      </c>
      <c r="H113" s="8" t="s">
        <v>137</v>
      </c>
      <c r="I113" s="3">
        <f>IF($H113="A VISTA", C113 + CADASTROS!$B$3, IF($H113="1+1", C113 + CADASTROS!$B$4, IF(H113="1+2", C113 + CADASTROS!$B$5, IF(H113="1+3", C113 + CADASTROS!$B$6, ""))))</f>
        <v>45039</v>
      </c>
      <c r="J113" s="8">
        <f t="shared" si="4"/>
        <v>2339.6666666666665</v>
      </c>
      <c r="K113" s="3">
        <f>IF($L113&lt;&gt;"", IF($H113="A VISTA", "", IF($H113="1+1", $C113 + CADASTROS!$C$4, IF($H113="1+2", $C113 + CADASTROS!$C$5, IF($H113="1+3", $C113 + CADASTROS!$E$4, "")))), "")</f>
        <v>45068</v>
      </c>
      <c r="L113" s="8">
        <f t="shared" si="5"/>
        <v>2339.6666666666665</v>
      </c>
      <c r="M113" s="3">
        <f>IF($N113&lt;&gt;"", IF($H113="A VISTA", "", IF($H113="1+1", $C113 + CADASTROS!$C$4, IF($H113="1+2", $C113 + CADASTROS!$D$5, IF($H113="1+3", $C113 + CADASTROS!$D$6, "")))), "")</f>
        <v>45083</v>
      </c>
      <c r="N113" s="8">
        <f t="shared" si="6"/>
        <v>2339.6666666666674</v>
      </c>
      <c r="O113" s="3" t="str">
        <f>IF($P113&lt;&gt;"", IF($H113="A VISTA", "", IF($H113="1+1", $C113 + CADASTROS!$C$4, IF($H113="1+2", $C113 + CADASTROS!$C$5, IF($H113="1+3", $C113 + CADASTROS!$E$6, "")))), "")</f>
        <v/>
      </c>
      <c r="P113" s="8" t="str">
        <f t="shared" si="7"/>
        <v/>
      </c>
    </row>
    <row r="114" spans="1:16">
      <c r="A114" s="2" t="s">
        <v>250</v>
      </c>
      <c r="B114" s="6" t="s">
        <v>41</v>
      </c>
      <c r="C114" s="7">
        <v>45155</v>
      </c>
      <c r="D114" s="7" t="s">
        <v>90</v>
      </c>
      <c r="E114" s="4" t="s">
        <v>111</v>
      </c>
      <c r="F114" s="4" t="s">
        <v>118</v>
      </c>
      <c r="G114" s="8">
        <v>8047</v>
      </c>
      <c r="H114" s="8" t="s">
        <v>136</v>
      </c>
      <c r="I114" s="3">
        <f>IF($H114="A VISTA", C114 + CADASTROS!$B$3, IF($H114="1+1", C114 + CADASTROS!$B$4, IF(H114="1+2", C114 + CADASTROS!$B$5, IF(H114="1+3", C114 + CADASTROS!$B$6, ""))))</f>
        <v>45156</v>
      </c>
      <c r="J114" s="8">
        <f t="shared" si="4"/>
        <v>2011.75</v>
      </c>
      <c r="K114" s="3">
        <f>IF($L114&lt;&gt;"", IF($H114="A VISTA", "", IF($H114="1+1", $C114 + CADASTROS!$C$4, IF($H114="1+2", $C114 + CADASTROS!$C$5, IF($H114="1+3", $C114 + CADASTROS!$E$4, "")))), "")</f>
        <v>45155</v>
      </c>
      <c r="L114" s="8">
        <f t="shared" si="5"/>
        <v>2011.75</v>
      </c>
      <c r="M114" s="3">
        <f>IF($N114&lt;&gt;"", IF($H114="A VISTA", "", IF($H114="1+1", $C114 + CADASTROS!$C$4, IF($H114="1+2", $C114 + CADASTROS!$D$5, IF($H114="1+3", $C114 + CADASTROS!$D$6, "")))), "")</f>
        <v>45200</v>
      </c>
      <c r="N114" s="8">
        <f t="shared" si="6"/>
        <v>2011.75</v>
      </c>
      <c r="O114" s="3">
        <f>IF($P114&lt;&gt;"", IF($H114="A VISTA", "", IF($H114="1+1", $C114 + CADASTROS!$C$4, IF($H114="1+2", $C114 + CADASTROS!$C$5, IF($H114="1+3", $C114 + CADASTROS!$E$6, "")))), "")</f>
        <v>45215</v>
      </c>
      <c r="P114" s="8">
        <f t="shared" si="7"/>
        <v>2011.75</v>
      </c>
    </row>
    <row r="115" spans="1:16">
      <c r="A115" s="2" t="s">
        <v>251</v>
      </c>
      <c r="B115" s="6" t="s">
        <v>45</v>
      </c>
      <c r="C115" s="7">
        <v>45173</v>
      </c>
      <c r="D115" s="7" t="s">
        <v>94</v>
      </c>
      <c r="E115" s="4" t="s">
        <v>110</v>
      </c>
      <c r="F115" s="4" t="s">
        <v>113</v>
      </c>
      <c r="G115" s="8">
        <v>9568</v>
      </c>
      <c r="H115" s="8" t="s">
        <v>137</v>
      </c>
      <c r="I115" s="3">
        <f>IF($H115="A VISTA", C115 + CADASTROS!$B$3, IF($H115="1+1", C115 + CADASTROS!$B$4, IF(H115="1+2", C115 + CADASTROS!$B$5, IF(H115="1+3", C115 + CADASTROS!$B$6, ""))))</f>
        <v>45174</v>
      </c>
      <c r="J115" s="8">
        <f t="shared" si="4"/>
        <v>3189.3333333333335</v>
      </c>
      <c r="K115" s="3">
        <f>IF($L115&lt;&gt;"", IF($H115="A VISTA", "", IF($H115="1+1", $C115 + CADASTROS!$C$4, IF($H115="1+2", $C115 + CADASTROS!$C$5, IF($H115="1+3", $C115 + CADASTROS!$E$4, "")))), "")</f>
        <v>45203</v>
      </c>
      <c r="L115" s="8">
        <f t="shared" si="5"/>
        <v>3189.3333333333335</v>
      </c>
      <c r="M115" s="3">
        <f>IF($N115&lt;&gt;"", IF($H115="A VISTA", "", IF($H115="1+1", $C115 + CADASTROS!$C$4, IF($H115="1+2", $C115 + CADASTROS!$D$5, IF($H115="1+3", $C115 + CADASTROS!$D$6, "")))), "")</f>
        <v>45218</v>
      </c>
      <c r="N115" s="8">
        <f t="shared" si="6"/>
        <v>3189.3333333333326</v>
      </c>
      <c r="O115" s="3" t="str">
        <f>IF($P115&lt;&gt;"", IF($H115="A VISTA", "", IF($H115="1+1", $C115 + CADASTROS!$C$4, IF($H115="1+2", $C115 + CADASTROS!$C$5, IF($H115="1+3", $C115 + CADASTROS!$E$6, "")))), "")</f>
        <v/>
      </c>
      <c r="P115" s="8" t="str">
        <f t="shared" si="7"/>
        <v/>
      </c>
    </row>
    <row r="116" spans="1:16">
      <c r="A116" s="2" t="s">
        <v>252</v>
      </c>
      <c r="B116" s="6" t="s">
        <v>23</v>
      </c>
      <c r="C116" s="7">
        <v>45210</v>
      </c>
      <c r="D116" s="7" t="s">
        <v>72</v>
      </c>
      <c r="E116" s="4" t="s">
        <v>110</v>
      </c>
      <c r="F116" s="4" t="s">
        <v>113</v>
      </c>
      <c r="G116" s="8">
        <v>4355</v>
      </c>
      <c r="H116" s="8" t="s">
        <v>137</v>
      </c>
      <c r="I116" s="3">
        <f>IF($H116="A VISTA", C116 + CADASTROS!$B$3, IF($H116="1+1", C116 + CADASTROS!$B$4, IF(H116="1+2", C116 + CADASTROS!$B$5, IF(H116="1+3", C116 + CADASTROS!$B$6, ""))))</f>
        <v>45211</v>
      </c>
      <c r="J116" s="8">
        <f t="shared" si="4"/>
        <v>1451.6666666666667</v>
      </c>
      <c r="K116" s="3">
        <f>IF($L116&lt;&gt;"", IF($H116="A VISTA", "", IF($H116="1+1", $C116 + CADASTROS!$C$4, IF($H116="1+2", $C116 + CADASTROS!$C$5, IF($H116="1+3", $C116 + CADASTROS!$E$4, "")))), "")</f>
        <v>45240</v>
      </c>
      <c r="L116" s="8">
        <f t="shared" si="5"/>
        <v>1451.6666666666667</v>
      </c>
      <c r="M116" s="3">
        <f>IF($N116&lt;&gt;"", IF($H116="A VISTA", "", IF($H116="1+1", $C116 + CADASTROS!$C$4, IF($H116="1+2", $C116 + CADASTROS!$D$5, IF($H116="1+3", $C116 + CADASTROS!$D$6, "")))), "")</f>
        <v>45255</v>
      </c>
      <c r="N116" s="8">
        <f t="shared" si="6"/>
        <v>1451.6666666666663</v>
      </c>
      <c r="O116" s="3" t="str">
        <f>IF($P116&lt;&gt;"", IF($H116="A VISTA", "", IF($H116="1+1", $C116 + CADASTROS!$C$4, IF($H116="1+2", $C116 + CADASTROS!$C$5, IF($H116="1+3", $C116 + CADASTROS!$E$6, "")))), "")</f>
        <v/>
      </c>
      <c r="P116" s="8" t="str">
        <f t="shared" si="7"/>
        <v/>
      </c>
    </row>
    <row r="117" spans="1:16">
      <c r="A117" s="2" t="s">
        <v>253</v>
      </c>
      <c r="B117" s="6" t="s">
        <v>52</v>
      </c>
      <c r="C117" s="7">
        <v>45238</v>
      </c>
      <c r="D117" s="7" t="s">
        <v>101</v>
      </c>
      <c r="E117" s="4" t="s">
        <v>111</v>
      </c>
      <c r="F117" s="4" t="s">
        <v>118</v>
      </c>
      <c r="G117" s="8">
        <v>9168</v>
      </c>
      <c r="H117" s="8" t="s">
        <v>137</v>
      </c>
      <c r="I117" s="3">
        <f>IF($H117="A VISTA", C117 + CADASTROS!$B$3, IF($H117="1+1", C117 + CADASTROS!$B$4, IF(H117="1+2", C117 + CADASTROS!$B$5, IF(H117="1+3", C117 + CADASTROS!$B$6, ""))))</f>
        <v>45239</v>
      </c>
      <c r="J117" s="8">
        <f t="shared" si="4"/>
        <v>3056</v>
      </c>
      <c r="K117" s="3">
        <f>IF($L117&lt;&gt;"", IF($H117="A VISTA", "", IF($H117="1+1", $C117 + CADASTROS!$C$4, IF($H117="1+2", $C117 + CADASTROS!$C$5, IF($H117="1+3", $C117 + CADASTROS!$E$4, "")))), "")</f>
        <v>45268</v>
      </c>
      <c r="L117" s="8">
        <f t="shared" si="5"/>
        <v>3056</v>
      </c>
      <c r="M117" s="3">
        <f>IF($N117&lt;&gt;"", IF($H117="A VISTA", "", IF($H117="1+1", $C117 + CADASTROS!$C$4, IF($H117="1+2", $C117 + CADASTROS!$D$5, IF($H117="1+3", $C117 + CADASTROS!$D$6, "")))), "")</f>
        <v>45283</v>
      </c>
      <c r="N117" s="8">
        <f t="shared" si="6"/>
        <v>3056</v>
      </c>
      <c r="O117" s="3" t="str">
        <f>IF($P117&lt;&gt;"", IF($H117="A VISTA", "", IF($H117="1+1", $C117 + CADASTROS!$C$4, IF($H117="1+2", $C117 + CADASTROS!$C$5, IF($H117="1+3", $C117 + CADASTROS!$E$6, "")))), "")</f>
        <v/>
      </c>
      <c r="P117" s="8" t="str">
        <f t="shared" si="7"/>
        <v/>
      </c>
    </row>
    <row r="118" spans="1:16">
      <c r="A118" s="2" t="s">
        <v>254</v>
      </c>
      <c r="B118" s="6" t="s">
        <v>53</v>
      </c>
      <c r="C118" s="7">
        <v>45421</v>
      </c>
      <c r="D118" s="7" t="s">
        <v>102</v>
      </c>
      <c r="E118" s="4" t="s">
        <v>111</v>
      </c>
      <c r="F118" s="4" t="s">
        <v>117</v>
      </c>
      <c r="G118" s="8">
        <v>1151</v>
      </c>
      <c r="H118" s="8" t="s">
        <v>138</v>
      </c>
      <c r="I118" s="3">
        <f>IF($H118="A VISTA", C118 + CADASTROS!$B$3, IF($H118="1+1", C118 + CADASTROS!$B$4, IF(H118="1+2", C118 + CADASTROS!$B$5, IF(H118="1+3", C118 + CADASTROS!$B$6, ""))))</f>
        <v>45422</v>
      </c>
      <c r="J118" s="8">
        <f t="shared" si="4"/>
        <v>575.5</v>
      </c>
      <c r="K118" s="3">
        <f>IF($L118&lt;&gt;"", IF($H118="A VISTA", "", IF($H118="1+1", $C118 + CADASTROS!$C$4, IF($H118="1+2", $C118 + CADASTROS!$C$5, IF($H118="1+3", $C118 + CADASTROS!$E$4, "")))), "")</f>
        <v>45451</v>
      </c>
      <c r="L118" s="8">
        <f t="shared" si="5"/>
        <v>575.5</v>
      </c>
      <c r="M118" s="3" t="str">
        <f>IF($N118&lt;&gt;"", IF($H118="A VISTA", "", IF($H118="1+1", $C118 + CADASTROS!$C$4, IF($H118="1+2", $C118 + CADASTROS!$D$5, IF($H118="1+3", $C118 + CADASTROS!$D$6, "")))), "")</f>
        <v/>
      </c>
      <c r="N118" s="8" t="str">
        <f t="shared" si="6"/>
        <v/>
      </c>
      <c r="O118" s="3" t="str">
        <f>IF($P118&lt;&gt;"", IF($H118="A VISTA", "", IF($H118="1+1", $C118 + CADASTROS!$C$4, IF($H118="1+2", $C118 + CADASTROS!$C$5, IF($H118="1+3", $C118 + CADASTROS!$E$6, "")))), "")</f>
        <v/>
      </c>
      <c r="P118" s="8" t="str">
        <f t="shared" si="7"/>
        <v/>
      </c>
    </row>
    <row r="119" spans="1:16">
      <c r="A119" s="2" t="s">
        <v>255</v>
      </c>
      <c r="B119" s="6" t="s">
        <v>46</v>
      </c>
      <c r="C119" s="7">
        <v>45536</v>
      </c>
      <c r="D119" s="7" t="s">
        <v>95</v>
      </c>
      <c r="E119" s="4" t="s">
        <v>112</v>
      </c>
      <c r="F119" s="4" t="s">
        <v>122</v>
      </c>
      <c r="G119" s="8">
        <v>9981</v>
      </c>
      <c r="H119" s="8" t="s">
        <v>126</v>
      </c>
      <c r="I119" s="3">
        <f>IF($H119="A VISTA", C119 + CADASTROS!$B$3, IF($H119="1+1", C119 + CADASTROS!$B$4, IF(H119="1+2", C119 + CADASTROS!$B$5, IF(H119="1+3", C119 + CADASTROS!$B$6, ""))))</f>
        <v>45537</v>
      </c>
      <c r="J119" s="8">
        <f t="shared" si="4"/>
        <v>9981</v>
      </c>
      <c r="K119" s="3" t="str">
        <f>IF($L119&lt;&gt;"", IF($H119="A VISTA", "", IF($H119="1+1", $C119 + CADASTROS!$C$4, IF($H119="1+2", $C119 + CADASTROS!$C$5, IF($H119="1+3", $C119 + CADASTROS!$E$4, "")))), "")</f>
        <v/>
      </c>
      <c r="L119" s="8" t="str">
        <f t="shared" si="5"/>
        <v/>
      </c>
      <c r="M119" s="3" t="str">
        <f>IF($N119&lt;&gt;"", IF($H119="A VISTA", "", IF($H119="1+1", $C119 + CADASTROS!$C$4, IF($H119="1+2", $C119 + CADASTROS!$D$5, IF($H119="1+3", $C119 + CADASTROS!$D$6, "")))), "")</f>
        <v/>
      </c>
      <c r="N119" s="8" t="str">
        <f t="shared" si="6"/>
        <v/>
      </c>
      <c r="O119" s="3" t="str">
        <f>IF($P119&lt;&gt;"", IF($H119="A VISTA", "", IF($H119="1+1", $C119 + CADASTROS!$C$4, IF($H119="1+2", $C119 + CADASTROS!$C$5, IF($H119="1+3", $C119 + CADASTROS!$E$6, "")))), "")</f>
        <v/>
      </c>
      <c r="P119" s="8" t="str">
        <f t="shared" si="7"/>
        <v/>
      </c>
    </row>
    <row r="120" spans="1:16">
      <c r="A120" s="2" t="s">
        <v>256</v>
      </c>
      <c r="B120" s="6" t="s">
        <v>19</v>
      </c>
      <c r="C120" s="7">
        <v>45143</v>
      </c>
      <c r="D120" s="7" t="s">
        <v>68</v>
      </c>
      <c r="E120" s="4" t="s">
        <v>111</v>
      </c>
      <c r="F120" s="4" t="s">
        <v>118</v>
      </c>
      <c r="G120" s="8">
        <v>6993</v>
      </c>
      <c r="H120" s="8" t="s">
        <v>136</v>
      </c>
      <c r="I120" s="3">
        <f>IF($H120="A VISTA", C120 + CADASTROS!$B$3, IF($H120="1+1", C120 + CADASTROS!$B$4, IF(H120="1+2", C120 + CADASTROS!$B$5, IF(H120="1+3", C120 + CADASTROS!$B$6, ""))))</f>
        <v>45144</v>
      </c>
      <c r="J120" s="8">
        <f t="shared" si="4"/>
        <v>1748.25</v>
      </c>
      <c r="K120" s="3">
        <f>IF($L120&lt;&gt;"", IF($H120="A VISTA", "", IF($H120="1+1", $C120 + CADASTROS!$C$4, IF($H120="1+2", $C120 + CADASTROS!$C$5, IF($H120="1+3", $C120 + CADASTROS!$E$4, "")))), "")</f>
        <v>45143</v>
      </c>
      <c r="L120" s="8">
        <f t="shared" si="5"/>
        <v>1748.25</v>
      </c>
      <c r="M120" s="3">
        <f>IF($N120&lt;&gt;"", IF($H120="A VISTA", "", IF($H120="1+1", $C120 + CADASTROS!$C$4, IF($H120="1+2", $C120 + CADASTROS!$D$5, IF($H120="1+3", $C120 + CADASTROS!$D$6, "")))), "")</f>
        <v>45188</v>
      </c>
      <c r="N120" s="8">
        <f t="shared" si="6"/>
        <v>1748.25</v>
      </c>
      <c r="O120" s="3">
        <f>IF($P120&lt;&gt;"", IF($H120="A VISTA", "", IF($H120="1+1", $C120 + CADASTROS!$C$4, IF($H120="1+2", $C120 + CADASTROS!$C$5, IF($H120="1+3", $C120 + CADASTROS!$E$6, "")))), "")</f>
        <v>45203</v>
      </c>
      <c r="P120" s="8">
        <f t="shared" si="7"/>
        <v>1748.25</v>
      </c>
    </row>
    <row r="121" spans="1:16">
      <c r="A121" s="2" t="s">
        <v>257</v>
      </c>
      <c r="B121" s="6" t="s">
        <v>31</v>
      </c>
      <c r="C121" s="7">
        <v>45314</v>
      </c>
      <c r="D121" s="7" t="s">
        <v>80</v>
      </c>
      <c r="E121" s="4" t="s">
        <v>111</v>
      </c>
      <c r="F121" s="4" t="s">
        <v>117</v>
      </c>
      <c r="G121" s="8">
        <v>9724</v>
      </c>
      <c r="H121" s="8" t="s">
        <v>136</v>
      </c>
      <c r="I121" s="3">
        <f>IF($H121="A VISTA", C121 + CADASTROS!$B$3, IF($H121="1+1", C121 + CADASTROS!$B$4, IF(H121="1+2", C121 + CADASTROS!$B$5, IF(H121="1+3", C121 + CADASTROS!$B$6, ""))))</f>
        <v>45315</v>
      </c>
      <c r="J121" s="8">
        <f t="shared" si="4"/>
        <v>2431</v>
      </c>
      <c r="K121" s="3">
        <f>IF($L121&lt;&gt;"", IF($H121="A VISTA", "", IF($H121="1+1", $C121 + CADASTROS!$C$4, IF($H121="1+2", $C121 + CADASTROS!$C$5, IF($H121="1+3", $C121 + CADASTROS!$E$4, "")))), "")</f>
        <v>45314</v>
      </c>
      <c r="L121" s="8">
        <f t="shared" si="5"/>
        <v>2431</v>
      </c>
      <c r="M121" s="3">
        <f>IF($N121&lt;&gt;"", IF($H121="A VISTA", "", IF($H121="1+1", $C121 + CADASTROS!$C$4, IF($H121="1+2", $C121 + CADASTROS!$D$5, IF($H121="1+3", $C121 + CADASTROS!$D$6, "")))), "")</f>
        <v>45359</v>
      </c>
      <c r="N121" s="8">
        <f t="shared" si="6"/>
        <v>2431</v>
      </c>
      <c r="O121" s="3">
        <f>IF($P121&lt;&gt;"", IF($H121="A VISTA", "", IF($H121="1+1", $C121 + CADASTROS!$C$4, IF($H121="1+2", $C121 + CADASTROS!$C$5, IF($H121="1+3", $C121 + CADASTROS!$E$6, "")))), "")</f>
        <v>45374</v>
      </c>
      <c r="P121" s="8">
        <f t="shared" si="7"/>
        <v>2431</v>
      </c>
    </row>
    <row r="122" spans="1:16">
      <c r="A122" s="2" t="s">
        <v>258</v>
      </c>
      <c r="B122" s="6" t="s">
        <v>31</v>
      </c>
      <c r="C122" s="7">
        <v>45342</v>
      </c>
      <c r="D122" s="7" t="s">
        <v>80</v>
      </c>
      <c r="E122" s="4" t="s">
        <v>111</v>
      </c>
      <c r="F122" s="4" t="s">
        <v>117</v>
      </c>
      <c r="G122" s="8">
        <v>9125</v>
      </c>
      <c r="H122" s="8" t="s">
        <v>138</v>
      </c>
      <c r="I122" s="3">
        <f>IF($H122="A VISTA", C122 + CADASTROS!$B$3, IF($H122="1+1", C122 + CADASTROS!$B$4, IF(H122="1+2", C122 + CADASTROS!$B$5, IF(H122="1+3", C122 + CADASTROS!$B$6, ""))))</f>
        <v>45343</v>
      </c>
      <c r="J122" s="8">
        <f t="shared" si="4"/>
        <v>4562.5</v>
      </c>
      <c r="K122" s="3">
        <f>IF($L122&lt;&gt;"", IF($H122="A VISTA", "", IF($H122="1+1", $C122 + CADASTROS!$C$4, IF($H122="1+2", $C122 + CADASTROS!$C$5, IF($H122="1+3", $C122 + CADASTROS!$E$4, "")))), "")</f>
        <v>45372</v>
      </c>
      <c r="L122" s="8">
        <f t="shared" si="5"/>
        <v>4562.5</v>
      </c>
      <c r="M122" s="3" t="str">
        <f>IF($N122&lt;&gt;"", IF($H122="A VISTA", "", IF($H122="1+1", $C122 + CADASTROS!$C$4, IF($H122="1+2", $C122 + CADASTROS!$D$5, IF($H122="1+3", $C122 + CADASTROS!$D$6, "")))), "")</f>
        <v/>
      </c>
      <c r="N122" s="8" t="str">
        <f t="shared" si="6"/>
        <v/>
      </c>
      <c r="O122" s="3" t="str">
        <f>IF($P122&lt;&gt;"", IF($H122="A VISTA", "", IF($H122="1+1", $C122 + CADASTROS!$C$4, IF($H122="1+2", $C122 + CADASTROS!$C$5, IF($H122="1+3", $C122 + CADASTROS!$E$6, "")))), "")</f>
        <v/>
      </c>
      <c r="P122" s="8" t="str">
        <f t="shared" si="7"/>
        <v/>
      </c>
    </row>
    <row r="123" spans="1:16">
      <c r="A123" s="2" t="s">
        <v>259</v>
      </c>
      <c r="B123" s="6" t="s">
        <v>36</v>
      </c>
      <c r="C123" s="7">
        <v>45328</v>
      </c>
      <c r="D123" s="7" t="s">
        <v>85</v>
      </c>
      <c r="E123" s="4" t="s">
        <v>111</v>
      </c>
      <c r="F123" s="4" t="s">
        <v>120</v>
      </c>
      <c r="G123" s="8">
        <v>4627</v>
      </c>
      <c r="H123" s="8" t="s">
        <v>138</v>
      </c>
      <c r="I123" s="3">
        <f>IF($H123="A VISTA", C123 + CADASTROS!$B$3, IF($H123="1+1", C123 + CADASTROS!$B$4, IF(H123="1+2", C123 + CADASTROS!$B$5, IF(H123="1+3", C123 + CADASTROS!$B$6, ""))))</f>
        <v>45329</v>
      </c>
      <c r="J123" s="8">
        <f t="shared" si="4"/>
        <v>2313.5</v>
      </c>
      <c r="K123" s="3">
        <f>IF($L123&lt;&gt;"", IF($H123="A VISTA", "", IF($H123="1+1", $C123 + CADASTROS!$C$4, IF($H123="1+2", $C123 + CADASTROS!$C$5, IF($H123="1+3", $C123 + CADASTROS!$E$4, "")))), "")</f>
        <v>45358</v>
      </c>
      <c r="L123" s="8">
        <f t="shared" si="5"/>
        <v>2313.5</v>
      </c>
      <c r="M123" s="3" t="str">
        <f>IF($N123&lt;&gt;"", IF($H123="A VISTA", "", IF($H123="1+1", $C123 + CADASTROS!$C$4, IF($H123="1+2", $C123 + CADASTROS!$D$5, IF($H123="1+3", $C123 + CADASTROS!$D$6, "")))), "")</f>
        <v/>
      </c>
      <c r="N123" s="8" t="str">
        <f t="shared" si="6"/>
        <v/>
      </c>
      <c r="O123" s="3" t="str">
        <f>IF($P123&lt;&gt;"", IF($H123="A VISTA", "", IF($H123="1+1", $C123 + CADASTROS!$C$4, IF($H123="1+2", $C123 + CADASTROS!$C$5, IF($H123="1+3", $C123 + CADASTROS!$E$6, "")))), "")</f>
        <v/>
      </c>
      <c r="P123" s="8" t="str">
        <f t="shared" si="7"/>
        <v/>
      </c>
    </row>
    <row r="124" spans="1:16">
      <c r="A124" s="2" t="s">
        <v>260</v>
      </c>
      <c r="B124" s="6" t="s">
        <v>55</v>
      </c>
      <c r="C124" s="7">
        <v>45144</v>
      </c>
      <c r="D124" s="7" t="s">
        <v>104</v>
      </c>
      <c r="E124" s="4" t="s">
        <v>111</v>
      </c>
      <c r="F124" s="4" t="s">
        <v>119</v>
      </c>
      <c r="G124" s="8">
        <v>7757</v>
      </c>
      <c r="H124" s="8" t="s">
        <v>137</v>
      </c>
      <c r="I124" s="3">
        <f>IF($H124="A VISTA", C124 + CADASTROS!$B$3, IF($H124="1+1", C124 + CADASTROS!$B$4, IF(H124="1+2", C124 + CADASTROS!$B$5, IF(H124="1+3", C124 + CADASTROS!$B$6, ""))))</f>
        <v>45145</v>
      </c>
      <c r="J124" s="8">
        <f t="shared" si="4"/>
        <v>2585.6666666666665</v>
      </c>
      <c r="K124" s="3">
        <f>IF($L124&lt;&gt;"", IF($H124="A VISTA", "", IF($H124="1+1", $C124 + CADASTROS!$C$4, IF($H124="1+2", $C124 + CADASTROS!$C$5, IF($H124="1+3", $C124 + CADASTROS!$E$4, "")))), "")</f>
        <v>45174</v>
      </c>
      <c r="L124" s="8">
        <f t="shared" si="5"/>
        <v>2585.6666666666665</v>
      </c>
      <c r="M124" s="3">
        <f>IF($N124&lt;&gt;"", IF($H124="A VISTA", "", IF($H124="1+1", $C124 + CADASTROS!$C$4, IF($H124="1+2", $C124 + CADASTROS!$D$5, IF($H124="1+3", $C124 + CADASTROS!$D$6, "")))), "")</f>
        <v>45189</v>
      </c>
      <c r="N124" s="8">
        <f t="shared" si="6"/>
        <v>2585.6666666666674</v>
      </c>
      <c r="O124" s="3" t="str">
        <f>IF($P124&lt;&gt;"", IF($H124="A VISTA", "", IF($H124="1+1", $C124 + CADASTROS!$C$4, IF($H124="1+2", $C124 + CADASTROS!$C$5, IF($H124="1+3", $C124 + CADASTROS!$E$6, "")))), "")</f>
        <v/>
      </c>
      <c r="P124" s="8" t="str">
        <f t="shared" si="7"/>
        <v/>
      </c>
    </row>
    <row r="125" spans="1:16">
      <c r="A125" s="2" t="s">
        <v>261</v>
      </c>
      <c r="B125" s="6" t="s">
        <v>29</v>
      </c>
      <c r="C125" s="7">
        <v>45246</v>
      </c>
      <c r="D125" s="7" t="s">
        <v>78</v>
      </c>
      <c r="E125" s="4" t="s">
        <v>111</v>
      </c>
      <c r="F125" s="4" t="s">
        <v>121</v>
      </c>
      <c r="G125" s="8">
        <v>8321</v>
      </c>
      <c r="H125" s="8" t="s">
        <v>126</v>
      </c>
      <c r="I125" s="3">
        <f>IF($H125="A VISTA", C125 + CADASTROS!$B$3, IF($H125="1+1", C125 + CADASTROS!$B$4, IF(H125="1+2", C125 + CADASTROS!$B$5, IF(H125="1+3", C125 + CADASTROS!$B$6, ""))))</f>
        <v>45247</v>
      </c>
      <c r="J125" s="8">
        <f t="shared" si="4"/>
        <v>8321</v>
      </c>
      <c r="K125" s="3" t="str">
        <f>IF($L125&lt;&gt;"", IF($H125="A VISTA", "", IF($H125="1+1", $C125 + CADASTROS!$C$4, IF($H125="1+2", $C125 + CADASTROS!$C$5, IF($H125="1+3", $C125 + CADASTROS!$E$4, "")))), "")</f>
        <v/>
      </c>
      <c r="L125" s="8" t="str">
        <f t="shared" si="5"/>
        <v/>
      </c>
      <c r="M125" s="3" t="str">
        <f>IF($N125&lt;&gt;"", IF($H125="A VISTA", "", IF($H125="1+1", $C125 + CADASTROS!$C$4, IF($H125="1+2", $C125 + CADASTROS!$D$5, IF($H125="1+3", $C125 + CADASTROS!$D$6, "")))), "")</f>
        <v/>
      </c>
      <c r="N125" s="8" t="str">
        <f t="shared" si="6"/>
        <v/>
      </c>
      <c r="O125" s="3" t="str">
        <f>IF($P125&lt;&gt;"", IF($H125="A VISTA", "", IF($H125="1+1", $C125 + CADASTROS!$C$4, IF($H125="1+2", $C125 + CADASTROS!$C$5, IF($H125="1+3", $C125 + CADASTROS!$E$6, "")))), "")</f>
        <v/>
      </c>
      <c r="P125" s="8" t="str">
        <f t="shared" si="7"/>
        <v/>
      </c>
    </row>
    <row r="126" spans="1:16">
      <c r="A126" s="2" t="s">
        <v>262</v>
      </c>
      <c r="B126" s="6" t="s">
        <v>48</v>
      </c>
      <c r="C126" s="7">
        <v>45203</v>
      </c>
      <c r="D126" s="7" t="s">
        <v>97</v>
      </c>
      <c r="E126" s="4" t="s">
        <v>112</v>
      </c>
      <c r="F126" s="4" t="s">
        <v>123</v>
      </c>
      <c r="G126" s="8">
        <v>6861</v>
      </c>
      <c r="H126" s="8" t="s">
        <v>126</v>
      </c>
      <c r="I126" s="3">
        <f>IF($H126="A VISTA", C126 + CADASTROS!$B$3, IF($H126="1+1", C126 + CADASTROS!$B$4, IF(H126="1+2", C126 + CADASTROS!$B$5, IF(H126="1+3", C126 + CADASTROS!$B$6, ""))))</f>
        <v>45204</v>
      </c>
      <c r="J126" s="8">
        <f t="shared" si="4"/>
        <v>6861</v>
      </c>
      <c r="K126" s="3" t="str">
        <f>IF($L126&lt;&gt;"", IF($H126="A VISTA", "", IF($H126="1+1", $C126 + CADASTROS!$C$4, IF($H126="1+2", $C126 + CADASTROS!$C$5, IF($H126="1+3", $C126 + CADASTROS!$E$4, "")))), "")</f>
        <v/>
      </c>
      <c r="L126" s="8" t="str">
        <f t="shared" si="5"/>
        <v/>
      </c>
      <c r="M126" s="3" t="str">
        <f>IF($N126&lt;&gt;"", IF($H126="A VISTA", "", IF($H126="1+1", $C126 + CADASTROS!$C$4, IF($H126="1+2", $C126 + CADASTROS!$D$5, IF($H126="1+3", $C126 + CADASTROS!$D$6, "")))), "")</f>
        <v/>
      </c>
      <c r="N126" s="8" t="str">
        <f t="shared" si="6"/>
        <v/>
      </c>
      <c r="O126" s="3" t="str">
        <f>IF($P126&lt;&gt;"", IF($H126="A VISTA", "", IF($H126="1+1", $C126 + CADASTROS!$C$4, IF($H126="1+2", $C126 + CADASTROS!$C$5, IF($H126="1+3", $C126 + CADASTROS!$E$6, "")))), "")</f>
        <v/>
      </c>
      <c r="P126" s="8" t="str">
        <f t="shared" si="7"/>
        <v/>
      </c>
    </row>
    <row r="127" spans="1:16">
      <c r="A127" s="2" t="s">
        <v>263</v>
      </c>
      <c r="B127" s="6" t="s">
        <v>41</v>
      </c>
      <c r="C127" s="7">
        <v>45358</v>
      </c>
      <c r="D127" s="7" t="s">
        <v>90</v>
      </c>
      <c r="E127" s="4" t="s">
        <v>111</v>
      </c>
      <c r="F127" s="4" t="s">
        <v>118</v>
      </c>
      <c r="G127" s="8">
        <v>1217</v>
      </c>
      <c r="H127" s="8" t="s">
        <v>138</v>
      </c>
      <c r="I127" s="3">
        <f>IF($H127="A VISTA", C127 + CADASTROS!$B$3, IF($H127="1+1", C127 + CADASTROS!$B$4, IF(H127="1+2", C127 + CADASTROS!$B$5, IF(H127="1+3", C127 + CADASTROS!$B$6, ""))))</f>
        <v>45359</v>
      </c>
      <c r="J127" s="8">
        <f t="shared" si="4"/>
        <v>608.5</v>
      </c>
      <c r="K127" s="3">
        <f>IF($L127&lt;&gt;"", IF($H127="A VISTA", "", IF($H127="1+1", $C127 + CADASTROS!$C$4, IF($H127="1+2", $C127 + CADASTROS!$C$5, IF($H127="1+3", $C127 + CADASTROS!$E$4, "")))), "")</f>
        <v>45388</v>
      </c>
      <c r="L127" s="8">
        <f t="shared" si="5"/>
        <v>608.5</v>
      </c>
      <c r="M127" s="3" t="str">
        <f>IF($N127&lt;&gt;"", IF($H127="A VISTA", "", IF($H127="1+1", $C127 + CADASTROS!$C$4, IF($H127="1+2", $C127 + CADASTROS!$D$5, IF($H127="1+3", $C127 + CADASTROS!$D$6, "")))), "")</f>
        <v/>
      </c>
      <c r="N127" s="8" t="str">
        <f t="shared" si="6"/>
        <v/>
      </c>
      <c r="O127" s="3" t="str">
        <f>IF($P127&lt;&gt;"", IF($H127="A VISTA", "", IF($H127="1+1", $C127 + CADASTROS!$C$4, IF($H127="1+2", $C127 + CADASTROS!$C$5, IF($H127="1+3", $C127 + CADASTROS!$E$6, "")))), "")</f>
        <v/>
      </c>
      <c r="P127" s="8" t="str">
        <f t="shared" si="7"/>
        <v/>
      </c>
    </row>
    <row r="128" spans="1:16">
      <c r="A128" s="2" t="s">
        <v>264</v>
      </c>
      <c r="B128" s="6" t="s">
        <v>37</v>
      </c>
      <c r="C128" s="7">
        <v>45521</v>
      </c>
      <c r="D128" s="7" t="s">
        <v>86</v>
      </c>
      <c r="E128" s="4" t="s">
        <v>112</v>
      </c>
      <c r="F128" s="4" t="s">
        <v>123</v>
      </c>
      <c r="G128" s="8">
        <v>8766</v>
      </c>
      <c r="H128" s="8" t="s">
        <v>126</v>
      </c>
      <c r="I128" s="3">
        <f>IF($H128="A VISTA", C128 + CADASTROS!$B$3, IF($H128="1+1", C128 + CADASTROS!$B$4, IF(H128="1+2", C128 + CADASTROS!$B$5, IF(H128="1+3", C128 + CADASTROS!$B$6, ""))))</f>
        <v>45522</v>
      </c>
      <c r="J128" s="8">
        <f t="shared" si="4"/>
        <v>8766</v>
      </c>
      <c r="K128" s="3" t="str">
        <f>IF($L128&lt;&gt;"", IF($H128="A VISTA", "", IF($H128="1+1", $C128 + CADASTROS!$C$4, IF($H128="1+2", $C128 + CADASTROS!$C$5, IF($H128="1+3", $C128 + CADASTROS!$E$4, "")))), "")</f>
        <v/>
      </c>
      <c r="L128" s="8" t="str">
        <f t="shared" si="5"/>
        <v/>
      </c>
      <c r="M128" s="3" t="str">
        <f>IF($N128&lt;&gt;"", IF($H128="A VISTA", "", IF($H128="1+1", $C128 + CADASTROS!$C$4, IF($H128="1+2", $C128 + CADASTROS!$D$5, IF($H128="1+3", $C128 + CADASTROS!$D$6, "")))), "")</f>
        <v/>
      </c>
      <c r="N128" s="8" t="str">
        <f t="shared" si="6"/>
        <v/>
      </c>
      <c r="O128" s="3" t="str">
        <f>IF($P128&lt;&gt;"", IF($H128="A VISTA", "", IF($H128="1+1", $C128 + CADASTROS!$C$4, IF($H128="1+2", $C128 + CADASTROS!$C$5, IF($H128="1+3", $C128 + CADASTROS!$E$6, "")))), "")</f>
        <v/>
      </c>
      <c r="P128" s="8" t="str">
        <f t="shared" si="7"/>
        <v/>
      </c>
    </row>
    <row r="129" spans="1:16">
      <c r="A129" s="2" t="s">
        <v>265</v>
      </c>
      <c r="B129" s="6" t="s">
        <v>21</v>
      </c>
      <c r="C129" s="7">
        <v>45240</v>
      </c>
      <c r="D129" s="7" t="s">
        <v>70</v>
      </c>
      <c r="E129" s="4" t="s">
        <v>110</v>
      </c>
      <c r="F129" s="4" t="s">
        <v>124</v>
      </c>
      <c r="G129" s="8">
        <v>7302</v>
      </c>
      <c r="H129" s="8" t="s">
        <v>126</v>
      </c>
      <c r="I129" s="3">
        <f>IF($H129="A VISTA", C129 + CADASTROS!$B$3, IF($H129="1+1", C129 + CADASTROS!$B$4, IF(H129="1+2", C129 + CADASTROS!$B$5, IF(H129="1+3", C129 + CADASTROS!$B$6, ""))))</f>
        <v>45241</v>
      </c>
      <c r="J129" s="8">
        <f t="shared" si="4"/>
        <v>7302</v>
      </c>
      <c r="K129" s="3" t="str">
        <f>IF($L129&lt;&gt;"", IF($H129="A VISTA", "", IF($H129="1+1", $C129 + CADASTROS!$C$4, IF($H129="1+2", $C129 + CADASTROS!$C$5, IF($H129="1+3", $C129 + CADASTROS!$E$4, "")))), "")</f>
        <v/>
      </c>
      <c r="L129" s="8" t="str">
        <f t="shared" si="5"/>
        <v/>
      </c>
      <c r="M129" s="3" t="str">
        <f>IF($N129&lt;&gt;"", IF($H129="A VISTA", "", IF($H129="1+1", $C129 + CADASTROS!$C$4, IF($H129="1+2", $C129 + CADASTROS!$D$5, IF($H129="1+3", $C129 + CADASTROS!$D$6, "")))), "")</f>
        <v/>
      </c>
      <c r="N129" s="8" t="str">
        <f t="shared" si="6"/>
        <v/>
      </c>
      <c r="O129" s="3" t="str">
        <f>IF($P129&lt;&gt;"", IF($H129="A VISTA", "", IF($H129="1+1", $C129 + CADASTROS!$C$4, IF($H129="1+2", $C129 + CADASTROS!$C$5, IF($H129="1+3", $C129 + CADASTROS!$E$6, "")))), "")</f>
        <v/>
      </c>
      <c r="P129" s="8" t="str">
        <f t="shared" si="7"/>
        <v/>
      </c>
    </row>
    <row r="130" spans="1:16">
      <c r="A130" s="2" t="s">
        <v>266</v>
      </c>
      <c r="B130" s="6" t="s">
        <v>51</v>
      </c>
      <c r="C130" s="7">
        <v>45425</v>
      </c>
      <c r="D130" s="7" t="s">
        <v>100</v>
      </c>
      <c r="E130" s="4" t="s">
        <v>111</v>
      </c>
      <c r="F130" s="4" t="s">
        <v>121</v>
      </c>
      <c r="G130" s="8">
        <v>3741</v>
      </c>
      <c r="H130" s="8" t="s">
        <v>137</v>
      </c>
      <c r="I130" s="3">
        <f>IF($H130="A VISTA", C130 + CADASTROS!$B$3, IF($H130="1+1", C130 + CADASTROS!$B$4, IF(H130="1+2", C130 + CADASTROS!$B$5, IF(H130="1+3", C130 + CADASTROS!$B$6, ""))))</f>
        <v>45426</v>
      </c>
      <c r="J130" s="8">
        <f t="shared" si="4"/>
        <v>1247</v>
      </c>
      <c r="K130" s="3">
        <f>IF($L130&lt;&gt;"", IF($H130="A VISTA", "", IF($H130="1+1", $C130 + CADASTROS!$C$4, IF($H130="1+2", $C130 + CADASTROS!$C$5, IF($H130="1+3", $C130 + CADASTROS!$E$4, "")))), "")</f>
        <v>45455</v>
      </c>
      <c r="L130" s="8">
        <f t="shared" si="5"/>
        <v>1247</v>
      </c>
      <c r="M130" s="3">
        <f>IF($N130&lt;&gt;"", IF($H130="A VISTA", "", IF($H130="1+1", $C130 + CADASTROS!$C$4, IF($H130="1+2", $C130 + CADASTROS!$D$5, IF($H130="1+3", $C130 + CADASTROS!$D$6, "")))), "")</f>
        <v>45470</v>
      </c>
      <c r="N130" s="8">
        <f t="shared" si="6"/>
        <v>1247</v>
      </c>
      <c r="O130" s="3" t="str">
        <f>IF($P130&lt;&gt;"", IF($H130="A VISTA", "", IF($H130="1+1", $C130 + CADASTROS!$C$4, IF($H130="1+2", $C130 + CADASTROS!$C$5, IF($H130="1+3", $C130 + CADASTROS!$E$6, "")))), "")</f>
        <v/>
      </c>
      <c r="P130" s="8" t="str">
        <f t="shared" si="7"/>
        <v/>
      </c>
    </row>
    <row r="131" spans="1:16">
      <c r="A131" s="2" t="s">
        <v>267</v>
      </c>
      <c r="B131" s="6" t="s">
        <v>37</v>
      </c>
      <c r="C131" s="7">
        <v>45159</v>
      </c>
      <c r="D131" s="7" t="s">
        <v>86</v>
      </c>
      <c r="E131" s="4" t="s">
        <v>112</v>
      </c>
      <c r="F131" s="4" t="s">
        <v>123</v>
      </c>
      <c r="G131" s="8">
        <v>1542</v>
      </c>
      <c r="H131" s="8" t="s">
        <v>126</v>
      </c>
      <c r="I131" s="3">
        <f>IF($H131="A VISTA", C131 + CADASTROS!$B$3, IF($H131="1+1", C131 + CADASTROS!$B$4, IF(H131="1+2", C131 + CADASTROS!$B$5, IF(H131="1+3", C131 + CADASTROS!$B$6, ""))))</f>
        <v>45160</v>
      </c>
      <c r="J131" s="8">
        <f t="shared" ref="J131:J194" si="8">IF($H131="A VISTA", $G131, IF($H131="1+1", $G131/2, IF($H131="1+2", $G131/3, IF($H131="1+3", $G131/4, ""))))</f>
        <v>1542</v>
      </c>
      <c r="K131" s="3" t="str">
        <f>IF($L131&lt;&gt;"", IF($H131="A VISTA", "", IF($H131="1+1", $C131 + CADASTROS!$C$4, IF($H131="1+2", $C131 + CADASTROS!$C$5, IF($H131="1+3", $C131 + CADASTROS!$E$4, "")))), "")</f>
        <v/>
      </c>
      <c r="L131" s="8" t="str">
        <f t="shared" ref="L131:L194" si="9">IF($H131="A VISTA", "", IF($H131="1+1", $G131-$J131, IF($H131="1+2", $G131/3, IF($H131="1+3", ($G131-$J131)/3, ""))))</f>
        <v/>
      </c>
      <c r="M131" s="3" t="str">
        <f>IF($N131&lt;&gt;"", IF($H131="A VISTA", "", IF($H131="1+1", $C131 + CADASTROS!$C$4, IF($H131="1+2", $C131 + CADASTROS!$D$5, IF($H131="1+3", $C131 + CADASTROS!$D$6, "")))), "")</f>
        <v/>
      </c>
      <c r="N131" s="8" t="str">
        <f t="shared" ref="N131:N194" si="10">IF($H131="A VISTA","",IF($H131="1+2",$G131-$J131-$L131,IF($H131="1+3",($G131-$J131-$L131)/2,"")))</f>
        <v/>
      </c>
      <c r="O131" s="3" t="str">
        <f>IF($P131&lt;&gt;"", IF($H131="A VISTA", "", IF($H131="1+1", $C131 + CADASTROS!$C$4, IF($H131="1+2", $C131 + CADASTROS!$C$5, IF($H131="1+3", $C131 + CADASTROS!$E$6, "")))), "")</f>
        <v/>
      </c>
      <c r="P131" s="8" t="str">
        <f t="shared" ref="P131:P194" si="11">IF($H131="A VISTA", "", IF($H131="1+3", $G131-$J131-$L131-$N131, ""))</f>
        <v/>
      </c>
    </row>
    <row r="132" spans="1:16">
      <c r="A132" s="2" t="s">
        <v>268</v>
      </c>
      <c r="B132" s="6" t="s">
        <v>35</v>
      </c>
      <c r="C132" s="7">
        <v>45446</v>
      </c>
      <c r="D132" s="7" t="s">
        <v>84</v>
      </c>
      <c r="E132" s="4" t="s">
        <v>112</v>
      </c>
      <c r="F132" s="4" t="s">
        <v>122</v>
      </c>
      <c r="G132" s="8">
        <v>6146</v>
      </c>
      <c r="H132" s="8" t="s">
        <v>126</v>
      </c>
      <c r="I132" s="3">
        <f>IF($H132="A VISTA", C132 + CADASTROS!$B$3, IF($H132="1+1", C132 + CADASTROS!$B$4, IF(H132="1+2", C132 + CADASTROS!$B$5, IF(H132="1+3", C132 + CADASTROS!$B$6, ""))))</f>
        <v>45447</v>
      </c>
      <c r="J132" s="8">
        <f t="shared" si="8"/>
        <v>6146</v>
      </c>
      <c r="K132" s="3" t="str">
        <f>IF($L132&lt;&gt;"", IF($H132="A VISTA", "", IF($H132="1+1", $C132 + CADASTROS!$C$4, IF($H132="1+2", $C132 + CADASTROS!$C$5, IF($H132="1+3", $C132 + CADASTROS!$E$4, "")))), "")</f>
        <v/>
      </c>
      <c r="L132" s="8" t="str">
        <f t="shared" si="9"/>
        <v/>
      </c>
      <c r="M132" s="3" t="str">
        <f>IF($N132&lt;&gt;"", IF($H132="A VISTA", "", IF($H132="1+1", $C132 + CADASTROS!$C$4, IF($H132="1+2", $C132 + CADASTROS!$D$5, IF($H132="1+3", $C132 + CADASTROS!$D$6, "")))), "")</f>
        <v/>
      </c>
      <c r="N132" s="8" t="str">
        <f t="shared" si="10"/>
        <v/>
      </c>
      <c r="O132" s="3" t="str">
        <f>IF($P132&lt;&gt;"", IF($H132="A VISTA", "", IF($H132="1+1", $C132 + CADASTROS!$C$4, IF($H132="1+2", $C132 + CADASTROS!$C$5, IF($H132="1+3", $C132 + CADASTROS!$E$6, "")))), "")</f>
        <v/>
      </c>
      <c r="P132" s="8" t="str">
        <f t="shared" si="11"/>
        <v/>
      </c>
    </row>
    <row r="133" spans="1:16">
      <c r="A133" s="2" t="s">
        <v>269</v>
      </c>
      <c r="B133" s="6" t="s">
        <v>37</v>
      </c>
      <c r="C133" s="7">
        <v>45401</v>
      </c>
      <c r="D133" s="7" t="s">
        <v>86</v>
      </c>
      <c r="E133" s="4" t="s">
        <v>112</v>
      </c>
      <c r="F133" s="4" t="s">
        <v>123</v>
      </c>
      <c r="G133" s="8">
        <v>6042</v>
      </c>
      <c r="H133" s="8" t="s">
        <v>126</v>
      </c>
      <c r="I133" s="3">
        <f>IF($H133="A VISTA", C133 + CADASTROS!$B$3, IF($H133="1+1", C133 + CADASTROS!$B$4, IF(H133="1+2", C133 + CADASTROS!$B$5, IF(H133="1+3", C133 + CADASTROS!$B$6, ""))))</f>
        <v>45402</v>
      </c>
      <c r="J133" s="8">
        <f t="shared" si="8"/>
        <v>6042</v>
      </c>
      <c r="K133" s="3" t="str">
        <f>IF($L133&lt;&gt;"", IF($H133="A VISTA", "", IF($H133="1+1", $C133 + CADASTROS!$C$4, IF($H133="1+2", $C133 + CADASTROS!$C$5, IF($H133="1+3", $C133 + CADASTROS!$E$4, "")))), "")</f>
        <v/>
      </c>
      <c r="L133" s="8" t="str">
        <f t="shared" si="9"/>
        <v/>
      </c>
      <c r="M133" s="3" t="str">
        <f>IF($N133&lt;&gt;"", IF($H133="A VISTA", "", IF($H133="1+1", $C133 + CADASTROS!$C$4, IF($H133="1+2", $C133 + CADASTROS!$D$5, IF($H133="1+3", $C133 + CADASTROS!$D$6, "")))), "")</f>
        <v/>
      </c>
      <c r="N133" s="8" t="str">
        <f t="shared" si="10"/>
        <v/>
      </c>
      <c r="O133" s="3" t="str">
        <f>IF($P133&lt;&gt;"", IF($H133="A VISTA", "", IF($H133="1+1", $C133 + CADASTROS!$C$4, IF($H133="1+2", $C133 + CADASTROS!$C$5, IF($H133="1+3", $C133 + CADASTROS!$E$6, "")))), "")</f>
        <v/>
      </c>
      <c r="P133" s="8" t="str">
        <f t="shared" si="11"/>
        <v/>
      </c>
    </row>
    <row r="134" spans="1:16">
      <c r="A134" s="2" t="s">
        <v>270</v>
      </c>
      <c r="B134" s="6" t="s">
        <v>40</v>
      </c>
      <c r="C134" s="7">
        <v>45487</v>
      </c>
      <c r="D134" s="7" t="s">
        <v>89</v>
      </c>
      <c r="E134" s="4" t="s">
        <v>111</v>
      </c>
      <c r="F134" s="4" t="s">
        <v>121</v>
      </c>
      <c r="G134" s="8">
        <v>9714</v>
      </c>
      <c r="H134" s="8" t="s">
        <v>138</v>
      </c>
      <c r="I134" s="3">
        <f>IF($H134="A VISTA", C134 + CADASTROS!$B$3, IF($H134="1+1", C134 + CADASTROS!$B$4, IF(H134="1+2", C134 + CADASTROS!$B$5, IF(H134="1+3", C134 + CADASTROS!$B$6, ""))))</f>
        <v>45488</v>
      </c>
      <c r="J134" s="8">
        <f t="shared" si="8"/>
        <v>4857</v>
      </c>
      <c r="K134" s="3">
        <f>IF($L134&lt;&gt;"", IF($H134="A VISTA", "", IF($H134="1+1", $C134 + CADASTROS!$C$4, IF($H134="1+2", $C134 + CADASTROS!$C$5, IF($H134="1+3", $C134 + CADASTROS!$E$4, "")))), "")</f>
        <v>45517</v>
      </c>
      <c r="L134" s="8">
        <f t="shared" si="9"/>
        <v>4857</v>
      </c>
      <c r="M134" s="3" t="str">
        <f>IF($N134&lt;&gt;"", IF($H134="A VISTA", "", IF($H134="1+1", $C134 + CADASTROS!$C$4, IF($H134="1+2", $C134 + CADASTROS!$D$5, IF($H134="1+3", $C134 + CADASTROS!$D$6, "")))), "")</f>
        <v/>
      </c>
      <c r="N134" s="8" t="str">
        <f t="shared" si="10"/>
        <v/>
      </c>
      <c r="O134" s="3" t="str">
        <f>IF($P134&lt;&gt;"", IF($H134="A VISTA", "", IF($H134="1+1", $C134 + CADASTROS!$C$4, IF($H134="1+2", $C134 + CADASTROS!$C$5, IF($H134="1+3", $C134 + CADASTROS!$E$6, "")))), "")</f>
        <v/>
      </c>
      <c r="P134" s="8" t="str">
        <f t="shared" si="11"/>
        <v/>
      </c>
    </row>
    <row r="135" spans="1:16">
      <c r="A135" s="2" t="s">
        <v>271</v>
      </c>
      <c r="B135" s="6" t="s">
        <v>18</v>
      </c>
      <c r="C135" s="7">
        <v>45343</v>
      </c>
      <c r="D135" s="7" t="s">
        <v>67</v>
      </c>
      <c r="E135" s="4" t="s">
        <v>111</v>
      </c>
      <c r="F135" s="4" t="s">
        <v>121</v>
      </c>
      <c r="G135" s="8">
        <v>7330</v>
      </c>
      <c r="H135" s="8" t="s">
        <v>136</v>
      </c>
      <c r="I135" s="3">
        <f>IF($H135="A VISTA", C135 + CADASTROS!$B$3, IF($H135="1+1", C135 + CADASTROS!$B$4, IF(H135="1+2", C135 + CADASTROS!$B$5, IF(H135="1+3", C135 + CADASTROS!$B$6, ""))))</f>
        <v>45344</v>
      </c>
      <c r="J135" s="8">
        <f t="shared" si="8"/>
        <v>1832.5</v>
      </c>
      <c r="K135" s="3">
        <f>IF($L135&lt;&gt;"", IF($H135="A VISTA", "", IF($H135="1+1", $C135 + CADASTROS!$C$4, IF($H135="1+2", $C135 + CADASTROS!$C$5, IF($H135="1+3", $C135 + CADASTROS!$E$4, "")))), "")</f>
        <v>45343</v>
      </c>
      <c r="L135" s="8">
        <f t="shared" si="9"/>
        <v>1832.5</v>
      </c>
      <c r="M135" s="3">
        <f>IF($N135&lt;&gt;"", IF($H135="A VISTA", "", IF($H135="1+1", $C135 + CADASTROS!$C$4, IF($H135="1+2", $C135 + CADASTROS!$D$5, IF($H135="1+3", $C135 + CADASTROS!$D$6, "")))), "")</f>
        <v>45388</v>
      </c>
      <c r="N135" s="8">
        <f t="shared" si="10"/>
        <v>1832.5</v>
      </c>
      <c r="O135" s="3">
        <f>IF($P135&lt;&gt;"", IF($H135="A VISTA", "", IF($H135="1+1", $C135 + CADASTROS!$C$4, IF($H135="1+2", $C135 + CADASTROS!$C$5, IF($H135="1+3", $C135 + CADASTROS!$E$6, "")))), "")</f>
        <v>45403</v>
      </c>
      <c r="P135" s="8">
        <f t="shared" si="11"/>
        <v>1832.5</v>
      </c>
    </row>
    <row r="136" spans="1:16">
      <c r="A136" s="2" t="s">
        <v>272</v>
      </c>
      <c r="B136" s="6" t="s">
        <v>29</v>
      </c>
      <c r="C136" s="7">
        <v>45391</v>
      </c>
      <c r="D136" s="7" t="s">
        <v>78</v>
      </c>
      <c r="E136" s="4" t="s">
        <v>111</v>
      </c>
      <c r="F136" s="4" t="s">
        <v>121</v>
      </c>
      <c r="G136" s="8">
        <v>1691</v>
      </c>
      <c r="H136" s="8" t="s">
        <v>126</v>
      </c>
      <c r="I136" s="3">
        <f>IF($H136="A VISTA", C136 + CADASTROS!$B$3, IF($H136="1+1", C136 + CADASTROS!$B$4, IF(H136="1+2", C136 + CADASTROS!$B$5, IF(H136="1+3", C136 + CADASTROS!$B$6, ""))))</f>
        <v>45392</v>
      </c>
      <c r="J136" s="8">
        <f t="shared" si="8"/>
        <v>1691</v>
      </c>
      <c r="K136" s="3" t="str">
        <f>IF($L136&lt;&gt;"", IF($H136="A VISTA", "", IF($H136="1+1", $C136 + CADASTROS!$C$4, IF($H136="1+2", $C136 + CADASTROS!$C$5, IF($H136="1+3", $C136 + CADASTROS!$E$4, "")))), "")</f>
        <v/>
      </c>
      <c r="L136" s="8" t="str">
        <f t="shared" si="9"/>
        <v/>
      </c>
      <c r="M136" s="3" t="str">
        <f>IF($N136&lt;&gt;"", IF($H136="A VISTA", "", IF($H136="1+1", $C136 + CADASTROS!$C$4, IF($H136="1+2", $C136 + CADASTROS!$D$5, IF($H136="1+3", $C136 + CADASTROS!$D$6, "")))), "")</f>
        <v/>
      </c>
      <c r="N136" s="8" t="str">
        <f t="shared" si="10"/>
        <v/>
      </c>
      <c r="O136" s="3" t="str">
        <f>IF($P136&lt;&gt;"", IF($H136="A VISTA", "", IF($H136="1+1", $C136 + CADASTROS!$C$4, IF($H136="1+2", $C136 + CADASTROS!$C$5, IF($H136="1+3", $C136 + CADASTROS!$E$6, "")))), "")</f>
        <v/>
      </c>
      <c r="P136" s="8" t="str">
        <f t="shared" si="11"/>
        <v/>
      </c>
    </row>
    <row r="137" spans="1:16">
      <c r="A137" s="2" t="s">
        <v>273</v>
      </c>
      <c r="B137" s="6" t="s">
        <v>21</v>
      </c>
      <c r="C137" s="7">
        <v>45082</v>
      </c>
      <c r="D137" s="7" t="s">
        <v>70</v>
      </c>
      <c r="E137" s="4" t="s">
        <v>110</v>
      </c>
      <c r="F137" s="4" t="s">
        <v>124</v>
      </c>
      <c r="G137" s="8">
        <v>5737</v>
      </c>
      <c r="H137" s="8" t="s">
        <v>138</v>
      </c>
      <c r="I137" s="3">
        <f>IF($H137="A VISTA", C137 + CADASTROS!$B$3, IF($H137="1+1", C137 + CADASTROS!$B$4, IF(H137="1+2", C137 + CADASTROS!$B$5, IF(H137="1+3", C137 + CADASTROS!$B$6, ""))))</f>
        <v>45083</v>
      </c>
      <c r="J137" s="8">
        <f t="shared" si="8"/>
        <v>2868.5</v>
      </c>
      <c r="K137" s="3">
        <f>IF($L137&lt;&gt;"", IF($H137="A VISTA", "", IF($H137="1+1", $C137 + CADASTROS!$C$4, IF($H137="1+2", $C137 + CADASTROS!$C$5, IF($H137="1+3", $C137 + CADASTROS!$E$4, "")))), "")</f>
        <v>45112</v>
      </c>
      <c r="L137" s="8">
        <f t="shared" si="9"/>
        <v>2868.5</v>
      </c>
      <c r="M137" s="3" t="str">
        <f>IF($N137&lt;&gt;"", IF($H137="A VISTA", "", IF($H137="1+1", $C137 + CADASTROS!$C$4, IF($H137="1+2", $C137 + CADASTROS!$D$5, IF($H137="1+3", $C137 + CADASTROS!$D$6, "")))), "")</f>
        <v/>
      </c>
      <c r="N137" s="8" t="str">
        <f t="shared" si="10"/>
        <v/>
      </c>
      <c r="O137" s="3" t="str">
        <f>IF($P137&lt;&gt;"", IF($H137="A VISTA", "", IF($H137="1+1", $C137 + CADASTROS!$C$4, IF($H137="1+2", $C137 + CADASTROS!$C$5, IF($H137="1+3", $C137 + CADASTROS!$E$6, "")))), "")</f>
        <v/>
      </c>
      <c r="P137" s="8" t="str">
        <f t="shared" si="11"/>
        <v/>
      </c>
    </row>
    <row r="138" spans="1:16">
      <c r="A138" s="2" t="s">
        <v>274</v>
      </c>
      <c r="B138" s="6" t="s">
        <v>51</v>
      </c>
      <c r="C138" s="7">
        <v>45159</v>
      </c>
      <c r="D138" s="7" t="s">
        <v>100</v>
      </c>
      <c r="E138" s="4" t="s">
        <v>111</v>
      </c>
      <c r="F138" s="4" t="s">
        <v>121</v>
      </c>
      <c r="G138" s="8">
        <v>7363</v>
      </c>
      <c r="H138" s="8" t="s">
        <v>137</v>
      </c>
      <c r="I138" s="3">
        <f>IF($H138="A VISTA", C138 + CADASTROS!$B$3, IF($H138="1+1", C138 + CADASTROS!$B$4, IF(H138="1+2", C138 + CADASTROS!$B$5, IF(H138="1+3", C138 + CADASTROS!$B$6, ""))))</f>
        <v>45160</v>
      </c>
      <c r="J138" s="8">
        <f t="shared" si="8"/>
        <v>2454.3333333333335</v>
      </c>
      <c r="K138" s="3">
        <f>IF($L138&lt;&gt;"", IF($H138="A VISTA", "", IF($H138="1+1", $C138 + CADASTROS!$C$4, IF($H138="1+2", $C138 + CADASTROS!$C$5, IF($H138="1+3", $C138 + CADASTROS!$E$4, "")))), "")</f>
        <v>45189</v>
      </c>
      <c r="L138" s="8">
        <f t="shared" si="9"/>
        <v>2454.3333333333335</v>
      </c>
      <c r="M138" s="3">
        <f>IF($N138&lt;&gt;"", IF($H138="A VISTA", "", IF($H138="1+1", $C138 + CADASTROS!$C$4, IF($H138="1+2", $C138 + CADASTROS!$D$5, IF($H138="1+3", $C138 + CADASTROS!$D$6, "")))), "")</f>
        <v>45204</v>
      </c>
      <c r="N138" s="8">
        <f t="shared" si="10"/>
        <v>2454.3333333333326</v>
      </c>
      <c r="O138" s="3" t="str">
        <f>IF($P138&lt;&gt;"", IF($H138="A VISTA", "", IF($H138="1+1", $C138 + CADASTROS!$C$4, IF($H138="1+2", $C138 + CADASTROS!$C$5, IF($H138="1+3", $C138 + CADASTROS!$E$6, "")))), "")</f>
        <v/>
      </c>
      <c r="P138" s="8" t="str">
        <f t="shared" si="11"/>
        <v/>
      </c>
    </row>
    <row r="139" spans="1:16">
      <c r="A139" s="2" t="s">
        <v>275</v>
      </c>
      <c r="B139" s="6" t="s">
        <v>60</v>
      </c>
      <c r="C139" s="7">
        <v>45135</v>
      </c>
      <c r="D139" s="7" t="s">
        <v>109</v>
      </c>
      <c r="E139" s="4" t="s">
        <v>111</v>
      </c>
      <c r="F139" s="4" t="s">
        <v>118</v>
      </c>
      <c r="G139" s="8">
        <v>9467</v>
      </c>
      <c r="H139" s="8" t="s">
        <v>126</v>
      </c>
      <c r="I139" s="3">
        <f>IF($H139="A VISTA", C139 + CADASTROS!$B$3, IF($H139="1+1", C139 + CADASTROS!$B$4, IF(H139="1+2", C139 + CADASTROS!$B$5, IF(H139="1+3", C139 + CADASTROS!$B$6, ""))))</f>
        <v>45136</v>
      </c>
      <c r="J139" s="8">
        <f t="shared" si="8"/>
        <v>9467</v>
      </c>
      <c r="K139" s="3" t="str">
        <f>IF($L139&lt;&gt;"", IF($H139="A VISTA", "", IF($H139="1+1", $C139 + CADASTROS!$C$4, IF($H139="1+2", $C139 + CADASTROS!$C$5, IF($H139="1+3", $C139 + CADASTROS!$E$4, "")))), "")</f>
        <v/>
      </c>
      <c r="L139" s="8" t="str">
        <f t="shared" si="9"/>
        <v/>
      </c>
      <c r="M139" s="3" t="str">
        <f>IF($N139&lt;&gt;"", IF($H139="A VISTA", "", IF($H139="1+1", $C139 + CADASTROS!$C$4, IF($H139="1+2", $C139 + CADASTROS!$D$5, IF($H139="1+3", $C139 + CADASTROS!$D$6, "")))), "")</f>
        <v/>
      </c>
      <c r="N139" s="8" t="str">
        <f t="shared" si="10"/>
        <v/>
      </c>
      <c r="O139" s="3" t="str">
        <f>IF($P139&lt;&gt;"", IF($H139="A VISTA", "", IF($H139="1+1", $C139 + CADASTROS!$C$4, IF($H139="1+2", $C139 + CADASTROS!$C$5, IF($H139="1+3", $C139 + CADASTROS!$E$6, "")))), "")</f>
        <v/>
      </c>
      <c r="P139" s="8" t="str">
        <f t="shared" si="11"/>
        <v/>
      </c>
    </row>
    <row r="140" spans="1:16">
      <c r="A140" s="2" t="s">
        <v>276</v>
      </c>
      <c r="B140" s="6" t="s">
        <v>35</v>
      </c>
      <c r="C140" s="7">
        <v>45183</v>
      </c>
      <c r="D140" s="7" t="s">
        <v>84</v>
      </c>
      <c r="E140" s="4" t="s">
        <v>112</v>
      </c>
      <c r="F140" s="4" t="s">
        <v>122</v>
      </c>
      <c r="G140" s="8">
        <v>5854</v>
      </c>
      <c r="H140" s="8" t="s">
        <v>126</v>
      </c>
      <c r="I140" s="3">
        <f>IF($H140="A VISTA", C140 + CADASTROS!$B$3, IF($H140="1+1", C140 + CADASTROS!$B$4, IF(H140="1+2", C140 + CADASTROS!$B$5, IF(H140="1+3", C140 + CADASTROS!$B$6, ""))))</f>
        <v>45184</v>
      </c>
      <c r="J140" s="8">
        <f t="shared" si="8"/>
        <v>5854</v>
      </c>
      <c r="K140" s="3" t="str">
        <f>IF($L140&lt;&gt;"", IF($H140="A VISTA", "", IF($H140="1+1", $C140 + CADASTROS!$C$4, IF($H140="1+2", $C140 + CADASTROS!$C$5, IF($H140="1+3", $C140 + CADASTROS!$E$4, "")))), "")</f>
        <v/>
      </c>
      <c r="L140" s="8" t="str">
        <f t="shared" si="9"/>
        <v/>
      </c>
      <c r="M140" s="3" t="str">
        <f>IF($N140&lt;&gt;"", IF($H140="A VISTA", "", IF($H140="1+1", $C140 + CADASTROS!$C$4, IF($H140="1+2", $C140 + CADASTROS!$D$5, IF($H140="1+3", $C140 + CADASTROS!$D$6, "")))), "")</f>
        <v/>
      </c>
      <c r="N140" s="8" t="str">
        <f t="shared" si="10"/>
        <v/>
      </c>
      <c r="O140" s="3" t="str">
        <f>IF($P140&lt;&gt;"", IF($H140="A VISTA", "", IF($H140="1+1", $C140 + CADASTROS!$C$4, IF($H140="1+2", $C140 + CADASTROS!$C$5, IF($H140="1+3", $C140 + CADASTROS!$E$6, "")))), "")</f>
        <v/>
      </c>
      <c r="P140" s="8" t="str">
        <f t="shared" si="11"/>
        <v/>
      </c>
    </row>
    <row r="141" spans="1:16">
      <c r="A141" s="2" t="s">
        <v>277</v>
      </c>
      <c r="B141" s="6" t="s">
        <v>50</v>
      </c>
      <c r="C141" s="7">
        <v>45506</v>
      </c>
      <c r="D141" s="7" t="s">
        <v>99</v>
      </c>
      <c r="E141" s="4" t="s">
        <v>110</v>
      </c>
      <c r="F141" s="4" t="s">
        <v>114</v>
      </c>
      <c r="G141" s="8">
        <v>3772</v>
      </c>
      <c r="H141" s="8" t="s">
        <v>126</v>
      </c>
      <c r="I141" s="3">
        <f>IF($H141="A VISTA", C141 + CADASTROS!$B$3, IF($H141="1+1", C141 + CADASTROS!$B$4, IF(H141="1+2", C141 + CADASTROS!$B$5, IF(H141="1+3", C141 + CADASTROS!$B$6, ""))))</f>
        <v>45507</v>
      </c>
      <c r="J141" s="8">
        <f t="shared" si="8"/>
        <v>3772</v>
      </c>
      <c r="K141" s="3" t="str">
        <f>IF($L141&lt;&gt;"", IF($H141="A VISTA", "", IF($H141="1+1", $C141 + CADASTROS!$C$4, IF($H141="1+2", $C141 + CADASTROS!$C$5, IF($H141="1+3", $C141 + CADASTROS!$E$4, "")))), "")</f>
        <v/>
      </c>
      <c r="L141" s="8" t="str">
        <f t="shared" si="9"/>
        <v/>
      </c>
      <c r="M141" s="3" t="str">
        <f>IF($N141&lt;&gt;"", IF($H141="A VISTA", "", IF($H141="1+1", $C141 + CADASTROS!$C$4, IF($H141="1+2", $C141 + CADASTROS!$D$5, IF($H141="1+3", $C141 + CADASTROS!$D$6, "")))), "")</f>
        <v/>
      </c>
      <c r="N141" s="8" t="str">
        <f t="shared" si="10"/>
        <v/>
      </c>
      <c r="O141" s="3" t="str">
        <f>IF($P141&lt;&gt;"", IF($H141="A VISTA", "", IF($H141="1+1", $C141 + CADASTROS!$C$4, IF($H141="1+2", $C141 + CADASTROS!$C$5, IF($H141="1+3", $C141 + CADASTROS!$E$6, "")))), "")</f>
        <v/>
      </c>
      <c r="P141" s="8" t="str">
        <f t="shared" si="11"/>
        <v/>
      </c>
    </row>
    <row r="142" spans="1:16">
      <c r="A142" s="2" t="s">
        <v>278</v>
      </c>
      <c r="B142" s="6" t="s">
        <v>22</v>
      </c>
      <c r="C142" s="7">
        <v>45219</v>
      </c>
      <c r="D142" s="7" t="s">
        <v>71</v>
      </c>
      <c r="E142" s="4" t="s">
        <v>111</v>
      </c>
      <c r="F142" s="4" t="s">
        <v>119</v>
      </c>
      <c r="G142" s="8">
        <v>7231</v>
      </c>
      <c r="H142" s="8" t="s">
        <v>126</v>
      </c>
      <c r="I142" s="3">
        <f>IF($H142="A VISTA", C142 + CADASTROS!$B$3, IF($H142="1+1", C142 + CADASTROS!$B$4, IF(H142="1+2", C142 + CADASTROS!$B$5, IF(H142="1+3", C142 + CADASTROS!$B$6, ""))))</f>
        <v>45220</v>
      </c>
      <c r="J142" s="8">
        <f t="shared" si="8"/>
        <v>7231</v>
      </c>
      <c r="K142" s="3" t="str">
        <f>IF($L142&lt;&gt;"", IF($H142="A VISTA", "", IF($H142="1+1", $C142 + CADASTROS!$C$4, IF($H142="1+2", $C142 + CADASTROS!$C$5, IF($H142="1+3", $C142 + CADASTROS!$E$4, "")))), "")</f>
        <v/>
      </c>
      <c r="L142" s="8" t="str">
        <f t="shared" si="9"/>
        <v/>
      </c>
      <c r="M142" s="3" t="str">
        <f>IF($N142&lt;&gt;"", IF($H142="A VISTA", "", IF($H142="1+1", $C142 + CADASTROS!$C$4, IF($H142="1+2", $C142 + CADASTROS!$D$5, IF($H142="1+3", $C142 + CADASTROS!$D$6, "")))), "")</f>
        <v/>
      </c>
      <c r="N142" s="8" t="str">
        <f t="shared" si="10"/>
        <v/>
      </c>
      <c r="O142" s="3" t="str">
        <f>IF($P142&lt;&gt;"", IF($H142="A VISTA", "", IF($H142="1+1", $C142 + CADASTROS!$C$4, IF($H142="1+2", $C142 + CADASTROS!$C$5, IF($H142="1+3", $C142 + CADASTROS!$E$6, "")))), "")</f>
        <v/>
      </c>
      <c r="P142" s="8" t="str">
        <f t="shared" si="11"/>
        <v/>
      </c>
    </row>
    <row r="143" spans="1:16">
      <c r="A143" s="2" t="s">
        <v>279</v>
      </c>
      <c r="B143" s="6" t="s">
        <v>28</v>
      </c>
      <c r="C143" s="7">
        <v>45157</v>
      </c>
      <c r="D143" s="7" t="s">
        <v>77</v>
      </c>
      <c r="E143" s="4" t="s">
        <v>110</v>
      </c>
      <c r="F143" s="4" t="s">
        <v>114</v>
      </c>
      <c r="G143" s="8">
        <v>2181</v>
      </c>
      <c r="H143" s="8" t="s">
        <v>126</v>
      </c>
      <c r="I143" s="3">
        <f>IF($H143="A VISTA", C143 + CADASTROS!$B$3, IF($H143="1+1", C143 + CADASTROS!$B$4, IF(H143="1+2", C143 + CADASTROS!$B$5, IF(H143="1+3", C143 + CADASTROS!$B$6, ""))))</f>
        <v>45158</v>
      </c>
      <c r="J143" s="8">
        <f t="shared" si="8"/>
        <v>2181</v>
      </c>
      <c r="K143" s="3" t="str">
        <f>IF($L143&lt;&gt;"", IF($H143="A VISTA", "", IF($H143="1+1", $C143 + CADASTROS!$C$4, IF($H143="1+2", $C143 + CADASTROS!$C$5, IF($H143="1+3", $C143 + CADASTROS!$E$4, "")))), "")</f>
        <v/>
      </c>
      <c r="L143" s="8" t="str">
        <f t="shared" si="9"/>
        <v/>
      </c>
      <c r="M143" s="3" t="str">
        <f>IF($N143&lt;&gt;"", IF($H143="A VISTA", "", IF($H143="1+1", $C143 + CADASTROS!$C$4, IF($H143="1+2", $C143 + CADASTROS!$D$5, IF($H143="1+3", $C143 + CADASTROS!$D$6, "")))), "")</f>
        <v/>
      </c>
      <c r="N143" s="8" t="str">
        <f t="shared" si="10"/>
        <v/>
      </c>
      <c r="O143" s="3" t="str">
        <f>IF($P143&lt;&gt;"", IF($H143="A VISTA", "", IF($H143="1+1", $C143 + CADASTROS!$C$4, IF($H143="1+2", $C143 + CADASTROS!$C$5, IF($H143="1+3", $C143 + CADASTROS!$E$6, "")))), "")</f>
        <v/>
      </c>
      <c r="P143" s="8" t="str">
        <f t="shared" si="11"/>
        <v/>
      </c>
    </row>
    <row r="144" spans="1:16">
      <c r="A144" s="2" t="s">
        <v>280</v>
      </c>
      <c r="B144" s="6" t="s">
        <v>54</v>
      </c>
      <c r="C144" s="7">
        <v>45077</v>
      </c>
      <c r="D144" s="7" t="s">
        <v>103</v>
      </c>
      <c r="E144" s="4" t="s">
        <v>110</v>
      </c>
      <c r="F144" s="4" t="s">
        <v>124</v>
      </c>
      <c r="G144" s="8">
        <v>8843</v>
      </c>
      <c r="H144" s="8" t="s">
        <v>126</v>
      </c>
      <c r="I144" s="3">
        <f>IF($H144="A VISTA", C144 + CADASTROS!$B$3, IF($H144="1+1", C144 + CADASTROS!$B$4, IF(H144="1+2", C144 + CADASTROS!$B$5, IF(H144="1+3", C144 + CADASTROS!$B$6, ""))))</f>
        <v>45078</v>
      </c>
      <c r="J144" s="8">
        <f t="shared" si="8"/>
        <v>8843</v>
      </c>
      <c r="K144" s="3" t="str">
        <f>IF($L144&lt;&gt;"", IF($H144="A VISTA", "", IF($H144="1+1", $C144 + CADASTROS!$C$4, IF($H144="1+2", $C144 + CADASTROS!$C$5, IF($H144="1+3", $C144 + CADASTROS!$E$4, "")))), "")</f>
        <v/>
      </c>
      <c r="L144" s="8" t="str">
        <f t="shared" si="9"/>
        <v/>
      </c>
      <c r="M144" s="3" t="str">
        <f>IF($N144&lt;&gt;"", IF($H144="A VISTA", "", IF($H144="1+1", $C144 + CADASTROS!$C$4, IF($H144="1+2", $C144 + CADASTROS!$D$5, IF($H144="1+3", $C144 + CADASTROS!$D$6, "")))), "")</f>
        <v/>
      </c>
      <c r="N144" s="8" t="str">
        <f t="shared" si="10"/>
        <v/>
      </c>
      <c r="O144" s="3" t="str">
        <f>IF($P144&lt;&gt;"", IF($H144="A VISTA", "", IF($H144="1+1", $C144 + CADASTROS!$C$4, IF($H144="1+2", $C144 + CADASTROS!$C$5, IF($H144="1+3", $C144 + CADASTROS!$E$6, "")))), "")</f>
        <v/>
      </c>
      <c r="P144" s="8" t="str">
        <f t="shared" si="11"/>
        <v/>
      </c>
    </row>
    <row r="145" spans="1:16">
      <c r="A145" s="2" t="s">
        <v>281</v>
      </c>
      <c r="B145" s="6" t="s">
        <v>50</v>
      </c>
      <c r="C145" s="7">
        <v>45291</v>
      </c>
      <c r="D145" s="7" t="s">
        <v>99</v>
      </c>
      <c r="E145" s="4" t="s">
        <v>110</v>
      </c>
      <c r="F145" s="4" t="s">
        <v>114</v>
      </c>
      <c r="G145" s="8">
        <v>8809</v>
      </c>
      <c r="H145" s="8" t="s">
        <v>126</v>
      </c>
      <c r="I145" s="3">
        <f>IF($H145="A VISTA", C145 + CADASTROS!$B$3, IF($H145="1+1", C145 + CADASTROS!$B$4, IF(H145="1+2", C145 + CADASTROS!$B$5, IF(H145="1+3", C145 + CADASTROS!$B$6, ""))))</f>
        <v>45292</v>
      </c>
      <c r="J145" s="8">
        <f t="shared" si="8"/>
        <v>8809</v>
      </c>
      <c r="K145" s="3" t="str">
        <f>IF($L145&lt;&gt;"", IF($H145="A VISTA", "", IF($H145="1+1", $C145 + CADASTROS!$C$4, IF($H145="1+2", $C145 + CADASTROS!$C$5, IF($H145="1+3", $C145 + CADASTROS!$E$4, "")))), "")</f>
        <v/>
      </c>
      <c r="L145" s="8" t="str">
        <f t="shared" si="9"/>
        <v/>
      </c>
      <c r="M145" s="3" t="str">
        <f>IF($N145&lt;&gt;"", IF($H145="A VISTA", "", IF($H145="1+1", $C145 + CADASTROS!$C$4, IF($H145="1+2", $C145 + CADASTROS!$D$5, IF($H145="1+3", $C145 + CADASTROS!$D$6, "")))), "")</f>
        <v/>
      </c>
      <c r="N145" s="8" t="str">
        <f t="shared" si="10"/>
        <v/>
      </c>
      <c r="O145" s="3" t="str">
        <f>IF($P145&lt;&gt;"", IF($H145="A VISTA", "", IF($H145="1+1", $C145 + CADASTROS!$C$4, IF($H145="1+2", $C145 + CADASTROS!$C$5, IF($H145="1+3", $C145 + CADASTROS!$E$6, "")))), "")</f>
        <v/>
      </c>
      <c r="P145" s="8" t="str">
        <f t="shared" si="11"/>
        <v/>
      </c>
    </row>
    <row r="146" spans="1:16">
      <c r="A146" s="2" t="s">
        <v>282</v>
      </c>
      <c r="B146" s="6" t="s">
        <v>48</v>
      </c>
      <c r="C146" s="7">
        <v>45354</v>
      </c>
      <c r="D146" s="7" t="s">
        <v>97</v>
      </c>
      <c r="E146" s="4" t="s">
        <v>112</v>
      </c>
      <c r="F146" s="4" t="s">
        <v>123</v>
      </c>
      <c r="G146" s="8">
        <v>2890</v>
      </c>
      <c r="H146" s="8" t="s">
        <v>126</v>
      </c>
      <c r="I146" s="3">
        <f>IF($H146="A VISTA", C146 + CADASTROS!$B$3, IF($H146="1+1", C146 + CADASTROS!$B$4, IF(H146="1+2", C146 + CADASTROS!$B$5, IF(H146="1+3", C146 + CADASTROS!$B$6, ""))))</f>
        <v>45355</v>
      </c>
      <c r="J146" s="8">
        <f t="shared" si="8"/>
        <v>2890</v>
      </c>
      <c r="K146" s="3" t="str">
        <f>IF($L146&lt;&gt;"", IF($H146="A VISTA", "", IF($H146="1+1", $C146 + CADASTROS!$C$4, IF($H146="1+2", $C146 + CADASTROS!$C$5, IF($H146="1+3", $C146 + CADASTROS!$E$4, "")))), "")</f>
        <v/>
      </c>
      <c r="L146" s="8" t="str">
        <f t="shared" si="9"/>
        <v/>
      </c>
      <c r="M146" s="3" t="str">
        <f>IF($N146&lt;&gt;"", IF($H146="A VISTA", "", IF($H146="1+1", $C146 + CADASTROS!$C$4, IF($H146="1+2", $C146 + CADASTROS!$D$5, IF($H146="1+3", $C146 + CADASTROS!$D$6, "")))), "")</f>
        <v/>
      </c>
      <c r="N146" s="8" t="str">
        <f t="shared" si="10"/>
        <v/>
      </c>
      <c r="O146" s="3" t="str">
        <f>IF($P146&lt;&gt;"", IF($H146="A VISTA", "", IF($H146="1+1", $C146 + CADASTROS!$C$4, IF($H146="1+2", $C146 + CADASTROS!$C$5, IF($H146="1+3", $C146 + CADASTROS!$E$6, "")))), "")</f>
        <v/>
      </c>
      <c r="P146" s="8" t="str">
        <f t="shared" si="11"/>
        <v/>
      </c>
    </row>
    <row r="147" spans="1:16">
      <c r="A147" s="2" t="s">
        <v>283</v>
      </c>
      <c r="B147" s="6" t="s">
        <v>55</v>
      </c>
      <c r="C147" s="7">
        <v>45221</v>
      </c>
      <c r="D147" s="7" t="s">
        <v>104</v>
      </c>
      <c r="E147" s="4" t="s">
        <v>111</v>
      </c>
      <c r="F147" s="4" t="s">
        <v>119</v>
      </c>
      <c r="G147" s="8">
        <v>3001</v>
      </c>
      <c r="H147" s="8" t="s">
        <v>138</v>
      </c>
      <c r="I147" s="3">
        <f>IF($H147="A VISTA", C147 + CADASTROS!$B$3, IF($H147="1+1", C147 + CADASTROS!$B$4, IF(H147="1+2", C147 + CADASTROS!$B$5, IF(H147="1+3", C147 + CADASTROS!$B$6, ""))))</f>
        <v>45222</v>
      </c>
      <c r="J147" s="8">
        <f t="shared" si="8"/>
        <v>1500.5</v>
      </c>
      <c r="K147" s="3">
        <f>IF($L147&lt;&gt;"", IF($H147="A VISTA", "", IF($H147="1+1", $C147 + CADASTROS!$C$4, IF($H147="1+2", $C147 + CADASTROS!$C$5, IF($H147="1+3", $C147 + CADASTROS!$E$4, "")))), "")</f>
        <v>45251</v>
      </c>
      <c r="L147" s="8">
        <f t="shared" si="9"/>
        <v>1500.5</v>
      </c>
      <c r="M147" s="3" t="str">
        <f>IF($N147&lt;&gt;"", IF($H147="A VISTA", "", IF($H147="1+1", $C147 + CADASTROS!$C$4, IF($H147="1+2", $C147 + CADASTROS!$D$5, IF($H147="1+3", $C147 + CADASTROS!$D$6, "")))), "")</f>
        <v/>
      </c>
      <c r="N147" s="8" t="str">
        <f t="shared" si="10"/>
        <v/>
      </c>
      <c r="O147" s="3" t="str">
        <f>IF($P147&lt;&gt;"", IF($H147="A VISTA", "", IF($H147="1+1", $C147 + CADASTROS!$C$4, IF($H147="1+2", $C147 + CADASTROS!$C$5, IF($H147="1+3", $C147 + CADASTROS!$E$6, "")))), "")</f>
        <v/>
      </c>
      <c r="P147" s="8" t="str">
        <f t="shared" si="11"/>
        <v/>
      </c>
    </row>
    <row r="148" spans="1:16">
      <c r="A148" s="2" t="s">
        <v>284</v>
      </c>
      <c r="B148" s="6" t="s">
        <v>59</v>
      </c>
      <c r="C148" s="7">
        <v>45403</v>
      </c>
      <c r="D148" s="7" t="s">
        <v>108</v>
      </c>
      <c r="E148" s="4" t="s">
        <v>111</v>
      </c>
      <c r="F148" s="4" t="s">
        <v>121</v>
      </c>
      <c r="G148" s="8">
        <v>3567</v>
      </c>
      <c r="H148" s="8" t="s">
        <v>137</v>
      </c>
      <c r="I148" s="3">
        <f>IF($H148="A VISTA", C148 + CADASTROS!$B$3, IF($H148="1+1", C148 + CADASTROS!$B$4, IF(H148="1+2", C148 + CADASTROS!$B$5, IF(H148="1+3", C148 + CADASTROS!$B$6, ""))))</f>
        <v>45404</v>
      </c>
      <c r="J148" s="8">
        <f t="shared" si="8"/>
        <v>1189</v>
      </c>
      <c r="K148" s="3">
        <f>IF($L148&lt;&gt;"", IF($H148="A VISTA", "", IF($H148="1+1", $C148 + CADASTROS!$C$4, IF($H148="1+2", $C148 + CADASTROS!$C$5, IF($H148="1+3", $C148 + CADASTROS!$E$4, "")))), "")</f>
        <v>45433</v>
      </c>
      <c r="L148" s="8">
        <f t="shared" si="9"/>
        <v>1189</v>
      </c>
      <c r="M148" s="3">
        <f>IF($N148&lt;&gt;"", IF($H148="A VISTA", "", IF($H148="1+1", $C148 + CADASTROS!$C$4, IF($H148="1+2", $C148 + CADASTROS!$D$5, IF($H148="1+3", $C148 + CADASTROS!$D$6, "")))), "")</f>
        <v>45448</v>
      </c>
      <c r="N148" s="8">
        <f t="shared" si="10"/>
        <v>1189</v>
      </c>
      <c r="O148" s="3" t="str">
        <f>IF($P148&lt;&gt;"", IF($H148="A VISTA", "", IF($H148="1+1", $C148 + CADASTROS!$C$4, IF($H148="1+2", $C148 + CADASTROS!$C$5, IF($H148="1+3", $C148 + CADASTROS!$E$6, "")))), "")</f>
        <v/>
      </c>
      <c r="P148" s="8" t="str">
        <f t="shared" si="11"/>
        <v/>
      </c>
    </row>
    <row r="149" spans="1:16">
      <c r="A149" s="2" t="s">
        <v>285</v>
      </c>
      <c r="B149" s="6" t="s">
        <v>32</v>
      </c>
      <c r="C149" s="7">
        <v>45216</v>
      </c>
      <c r="D149" s="7" t="s">
        <v>81</v>
      </c>
      <c r="E149" s="4" t="s">
        <v>110</v>
      </c>
      <c r="F149" s="4" t="s">
        <v>124</v>
      </c>
      <c r="G149" s="8">
        <v>4135</v>
      </c>
      <c r="H149" s="8" t="s">
        <v>137</v>
      </c>
      <c r="I149" s="3">
        <f>IF($H149="A VISTA", C149 + CADASTROS!$B$3, IF($H149="1+1", C149 + CADASTROS!$B$4, IF(H149="1+2", C149 + CADASTROS!$B$5, IF(H149="1+3", C149 + CADASTROS!$B$6, ""))))</f>
        <v>45217</v>
      </c>
      <c r="J149" s="8">
        <f t="shared" si="8"/>
        <v>1378.3333333333333</v>
      </c>
      <c r="K149" s="3">
        <f>IF($L149&lt;&gt;"", IF($H149="A VISTA", "", IF($H149="1+1", $C149 + CADASTROS!$C$4, IF($H149="1+2", $C149 + CADASTROS!$C$5, IF($H149="1+3", $C149 + CADASTROS!$E$4, "")))), "")</f>
        <v>45246</v>
      </c>
      <c r="L149" s="8">
        <f t="shared" si="9"/>
        <v>1378.3333333333333</v>
      </c>
      <c r="M149" s="3">
        <f>IF($N149&lt;&gt;"", IF($H149="A VISTA", "", IF($H149="1+1", $C149 + CADASTROS!$C$4, IF($H149="1+2", $C149 + CADASTROS!$D$5, IF($H149="1+3", $C149 + CADASTROS!$D$6, "")))), "")</f>
        <v>45261</v>
      </c>
      <c r="N149" s="8">
        <f t="shared" si="10"/>
        <v>1378.3333333333337</v>
      </c>
      <c r="O149" s="3" t="str">
        <f>IF($P149&lt;&gt;"", IF($H149="A VISTA", "", IF($H149="1+1", $C149 + CADASTROS!$C$4, IF($H149="1+2", $C149 + CADASTROS!$C$5, IF($H149="1+3", $C149 + CADASTROS!$E$6, "")))), "")</f>
        <v/>
      </c>
      <c r="P149" s="8" t="str">
        <f t="shared" si="11"/>
        <v/>
      </c>
    </row>
    <row r="150" spans="1:16">
      <c r="A150" s="2" t="s">
        <v>286</v>
      </c>
      <c r="B150" s="6" t="s">
        <v>42</v>
      </c>
      <c r="C150" s="7">
        <v>45191</v>
      </c>
      <c r="D150" s="7" t="s">
        <v>91</v>
      </c>
      <c r="E150" s="4" t="s">
        <v>111</v>
      </c>
      <c r="F150" s="4" t="s">
        <v>117</v>
      </c>
      <c r="G150" s="8">
        <v>3088</v>
      </c>
      <c r="H150" s="8" t="s">
        <v>136</v>
      </c>
      <c r="I150" s="3">
        <f>IF($H150="A VISTA", C150 + CADASTROS!$B$3, IF($H150="1+1", C150 + CADASTROS!$B$4, IF(H150="1+2", C150 + CADASTROS!$B$5, IF(H150="1+3", C150 + CADASTROS!$B$6, ""))))</f>
        <v>45192</v>
      </c>
      <c r="J150" s="8">
        <f t="shared" si="8"/>
        <v>772</v>
      </c>
      <c r="K150" s="3">
        <f>IF($L150&lt;&gt;"", IF($H150="A VISTA", "", IF($H150="1+1", $C150 + CADASTROS!$C$4, IF($H150="1+2", $C150 + CADASTROS!$C$5, IF($H150="1+3", $C150 + CADASTROS!$E$4, "")))), "")</f>
        <v>45191</v>
      </c>
      <c r="L150" s="8">
        <f t="shared" si="9"/>
        <v>772</v>
      </c>
      <c r="M150" s="3">
        <f>IF($N150&lt;&gt;"", IF($H150="A VISTA", "", IF($H150="1+1", $C150 + CADASTROS!$C$4, IF($H150="1+2", $C150 + CADASTROS!$D$5, IF($H150="1+3", $C150 + CADASTROS!$D$6, "")))), "")</f>
        <v>45236</v>
      </c>
      <c r="N150" s="8">
        <f t="shared" si="10"/>
        <v>772</v>
      </c>
      <c r="O150" s="3">
        <f>IF($P150&lt;&gt;"", IF($H150="A VISTA", "", IF($H150="1+1", $C150 + CADASTROS!$C$4, IF($H150="1+2", $C150 + CADASTROS!$C$5, IF($H150="1+3", $C150 + CADASTROS!$E$6, "")))), "")</f>
        <v>45251</v>
      </c>
      <c r="P150" s="8">
        <f t="shared" si="11"/>
        <v>772</v>
      </c>
    </row>
    <row r="151" spans="1:16">
      <c r="A151" s="2" t="s">
        <v>287</v>
      </c>
      <c r="B151" s="6" t="s">
        <v>22</v>
      </c>
      <c r="C151" s="7">
        <v>45208</v>
      </c>
      <c r="D151" s="7" t="s">
        <v>71</v>
      </c>
      <c r="E151" s="4" t="s">
        <v>111</v>
      </c>
      <c r="F151" s="4" t="s">
        <v>119</v>
      </c>
      <c r="G151" s="8">
        <v>5049</v>
      </c>
      <c r="H151" s="8" t="s">
        <v>136</v>
      </c>
      <c r="I151" s="3">
        <f>IF($H151="A VISTA", C151 + CADASTROS!$B$3, IF($H151="1+1", C151 + CADASTROS!$B$4, IF(H151="1+2", C151 + CADASTROS!$B$5, IF(H151="1+3", C151 + CADASTROS!$B$6, ""))))</f>
        <v>45209</v>
      </c>
      <c r="J151" s="8">
        <f t="shared" si="8"/>
        <v>1262.25</v>
      </c>
      <c r="K151" s="3">
        <f>IF($L151&lt;&gt;"", IF($H151="A VISTA", "", IF($H151="1+1", $C151 + CADASTROS!$C$4, IF($H151="1+2", $C151 + CADASTROS!$C$5, IF($H151="1+3", $C151 + CADASTROS!$E$4, "")))), "")</f>
        <v>45208</v>
      </c>
      <c r="L151" s="8">
        <f t="shared" si="9"/>
        <v>1262.25</v>
      </c>
      <c r="M151" s="3">
        <f>IF($N151&lt;&gt;"", IF($H151="A VISTA", "", IF($H151="1+1", $C151 + CADASTROS!$C$4, IF($H151="1+2", $C151 + CADASTROS!$D$5, IF($H151="1+3", $C151 + CADASTROS!$D$6, "")))), "")</f>
        <v>45253</v>
      </c>
      <c r="N151" s="8">
        <f t="shared" si="10"/>
        <v>1262.25</v>
      </c>
      <c r="O151" s="3">
        <f>IF($P151&lt;&gt;"", IF($H151="A VISTA", "", IF($H151="1+1", $C151 + CADASTROS!$C$4, IF($H151="1+2", $C151 + CADASTROS!$C$5, IF($H151="1+3", $C151 + CADASTROS!$E$6, "")))), "")</f>
        <v>45268</v>
      </c>
      <c r="P151" s="8">
        <f t="shared" si="11"/>
        <v>1262.25</v>
      </c>
    </row>
    <row r="152" spans="1:16">
      <c r="A152" s="2" t="s">
        <v>288</v>
      </c>
      <c r="B152" s="6" t="s">
        <v>22</v>
      </c>
      <c r="C152" s="7">
        <v>45324</v>
      </c>
      <c r="D152" s="7" t="s">
        <v>71</v>
      </c>
      <c r="E152" s="4" t="s">
        <v>111</v>
      </c>
      <c r="F152" s="4" t="s">
        <v>119</v>
      </c>
      <c r="G152" s="8">
        <v>5827</v>
      </c>
      <c r="H152" s="8" t="s">
        <v>137</v>
      </c>
      <c r="I152" s="3">
        <f>IF($H152="A VISTA", C152 + CADASTROS!$B$3, IF($H152="1+1", C152 + CADASTROS!$B$4, IF(H152="1+2", C152 + CADASTROS!$B$5, IF(H152="1+3", C152 + CADASTROS!$B$6, ""))))</f>
        <v>45325</v>
      </c>
      <c r="J152" s="8">
        <f t="shared" si="8"/>
        <v>1942.3333333333333</v>
      </c>
      <c r="K152" s="3">
        <f>IF($L152&lt;&gt;"", IF($H152="A VISTA", "", IF($H152="1+1", $C152 + CADASTROS!$C$4, IF($H152="1+2", $C152 + CADASTROS!$C$5, IF($H152="1+3", $C152 + CADASTROS!$E$4, "")))), "")</f>
        <v>45354</v>
      </c>
      <c r="L152" s="8">
        <f t="shared" si="9"/>
        <v>1942.3333333333333</v>
      </c>
      <c r="M152" s="3">
        <f>IF($N152&lt;&gt;"", IF($H152="A VISTA", "", IF($H152="1+1", $C152 + CADASTROS!$C$4, IF($H152="1+2", $C152 + CADASTROS!$D$5, IF($H152="1+3", $C152 + CADASTROS!$D$6, "")))), "")</f>
        <v>45369</v>
      </c>
      <c r="N152" s="8">
        <f t="shared" si="10"/>
        <v>1942.3333333333337</v>
      </c>
      <c r="O152" s="3" t="str">
        <f>IF($P152&lt;&gt;"", IF($H152="A VISTA", "", IF($H152="1+1", $C152 + CADASTROS!$C$4, IF($H152="1+2", $C152 + CADASTROS!$C$5, IF($H152="1+3", $C152 + CADASTROS!$E$6, "")))), "")</f>
        <v/>
      </c>
      <c r="P152" s="8" t="str">
        <f t="shared" si="11"/>
        <v/>
      </c>
    </row>
    <row r="153" spans="1:16">
      <c r="A153" s="2" t="s">
        <v>289</v>
      </c>
      <c r="B153" s="6" t="s">
        <v>13</v>
      </c>
      <c r="C153" s="7">
        <v>45502</v>
      </c>
      <c r="D153" s="7" t="s">
        <v>63</v>
      </c>
      <c r="E153" s="4" t="s">
        <v>111</v>
      </c>
      <c r="F153" s="4" t="s">
        <v>120</v>
      </c>
      <c r="G153" s="8">
        <v>2016</v>
      </c>
      <c r="H153" s="8" t="s">
        <v>126</v>
      </c>
      <c r="I153" s="3">
        <f>IF($H153="A VISTA", C153 + CADASTROS!$B$3, IF($H153="1+1", C153 + CADASTROS!$B$4, IF(H153="1+2", C153 + CADASTROS!$B$5, IF(H153="1+3", C153 + CADASTROS!$B$6, ""))))</f>
        <v>45503</v>
      </c>
      <c r="J153" s="8">
        <f t="shared" si="8"/>
        <v>2016</v>
      </c>
      <c r="K153" s="3" t="str">
        <f>IF($L153&lt;&gt;"", IF($H153="A VISTA", "", IF($H153="1+1", $C153 + CADASTROS!$C$4, IF($H153="1+2", $C153 + CADASTROS!$C$5, IF($H153="1+3", $C153 + CADASTROS!$E$4, "")))), "")</f>
        <v/>
      </c>
      <c r="L153" s="8" t="str">
        <f t="shared" si="9"/>
        <v/>
      </c>
      <c r="M153" s="3" t="str">
        <f>IF($N153&lt;&gt;"", IF($H153="A VISTA", "", IF($H153="1+1", $C153 + CADASTROS!$C$4, IF($H153="1+2", $C153 + CADASTROS!$D$5, IF($H153="1+3", $C153 + CADASTROS!$D$6, "")))), "")</f>
        <v/>
      </c>
      <c r="N153" s="8" t="str">
        <f t="shared" si="10"/>
        <v/>
      </c>
      <c r="O153" s="3" t="str">
        <f>IF($P153&lt;&gt;"", IF($H153="A VISTA", "", IF($H153="1+1", $C153 + CADASTROS!$C$4, IF($H153="1+2", $C153 + CADASTROS!$C$5, IF($H153="1+3", $C153 + CADASTROS!$E$6, "")))), "")</f>
        <v/>
      </c>
      <c r="P153" s="8" t="str">
        <f t="shared" si="11"/>
        <v/>
      </c>
    </row>
    <row r="154" spans="1:16">
      <c r="A154" s="2" t="s">
        <v>290</v>
      </c>
      <c r="B154" s="6" t="s">
        <v>26</v>
      </c>
      <c r="C154" s="7">
        <v>45311</v>
      </c>
      <c r="D154" s="7" t="s">
        <v>75</v>
      </c>
      <c r="E154" s="4" t="s">
        <v>112</v>
      </c>
      <c r="F154" s="4" t="s">
        <v>123</v>
      </c>
      <c r="G154" s="8">
        <v>1311</v>
      </c>
      <c r="H154" s="8" t="s">
        <v>126</v>
      </c>
      <c r="I154" s="3">
        <f>IF($H154="A VISTA", C154 + CADASTROS!$B$3, IF($H154="1+1", C154 + CADASTROS!$B$4, IF(H154="1+2", C154 + CADASTROS!$B$5, IF(H154="1+3", C154 + CADASTROS!$B$6, ""))))</f>
        <v>45312</v>
      </c>
      <c r="J154" s="8">
        <f t="shared" si="8"/>
        <v>1311</v>
      </c>
      <c r="K154" s="3" t="str">
        <f>IF($L154&lt;&gt;"", IF($H154="A VISTA", "", IF($H154="1+1", $C154 + CADASTROS!$C$4, IF($H154="1+2", $C154 + CADASTROS!$C$5, IF($H154="1+3", $C154 + CADASTROS!$E$4, "")))), "")</f>
        <v/>
      </c>
      <c r="L154" s="8" t="str">
        <f t="shared" si="9"/>
        <v/>
      </c>
      <c r="M154" s="3" t="str">
        <f>IF($N154&lt;&gt;"", IF($H154="A VISTA", "", IF($H154="1+1", $C154 + CADASTROS!$C$4, IF($H154="1+2", $C154 + CADASTROS!$D$5, IF($H154="1+3", $C154 + CADASTROS!$D$6, "")))), "")</f>
        <v/>
      </c>
      <c r="N154" s="8" t="str">
        <f t="shared" si="10"/>
        <v/>
      </c>
      <c r="O154" s="3" t="str">
        <f>IF($P154&lt;&gt;"", IF($H154="A VISTA", "", IF($H154="1+1", $C154 + CADASTROS!$C$4, IF($H154="1+2", $C154 + CADASTROS!$C$5, IF($H154="1+3", $C154 + CADASTROS!$E$6, "")))), "")</f>
        <v/>
      </c>
      <c r="P154" s="8" t="str">
        <f t="shared" si="11"/>
        <v/>
      </c>
    </row>
    <row r="155" spans="1:16">
      <c r="A155" s="2" t="s">
        <v>291</v>
      </c>
      <c r="B155" s="6" t="s">
        <v>19</v>
      </c>
      <c r="C155" s="7">
        <v>45201</v>
      </c>
      <c r="D155" s="7" t="s">
        <v>68</v>
      </c>
      <c r="E155" s="4" t="s">
        <v>111</v>
      </c>
      <c r="F155" s="4" t="s">
        <v>118</v>
      </c>
      <c r="G155" s="8">
        <v>6775</v>
      </c>
      <c r="H155" s="8" t="s">
        <v>126</v>
      </c>
      <c r="I155" s="3">
        <f>IF($H155="A VISTA", C155 + CADASTROS!$B$3, IF($H155="1+1", C155 + CADASTROS!$B$4, IF(H155="1+2", C155 + CADASTROS!$B$5, IF(H155="1+3", C155 + CADASTROS!$B$6, ""))))</f>
        <v>45202</v>
      </c>
      <c r="J155" s="8">
        <f t="shared" si="8"/>
        <v>6775</v>
      </c>
      <c r="K155" s="3" t="str">
        <f>IF($L155&lt;&gt;"", IF($H155="A VISTA", "", IF($H155="1+1", $C155 + CADASTROS!$C$4, IF($H155="1+2", $C155 + CADASTROS!$C$5, IF($H155="1+3", $C155 + CADASTROS!$E$4, "")))), "")</f>
        <v/>
      </c>
      <c r="L155" s="8" t="str">
        <f t="shared" si="9"/>
        <v/>
      </c>
      <c r="M155" s="3" t="str">
        <f>IF($N155&lt;&gt;"", IF($H155="A VISTA", "", IF($H155="1+1", $C155 + CADASTROS!$C$4, IF($H155="1+2", $C155 + CADASTROS!$D$5, IF($H155="1+3", $C155 + CADASTROS!$D$6, "")))), "")</f>
        <v/>
      </c>
      <c r="N155" s="8" t="str">
        <f t="shared" si="10"/>
        <v/>
      </c>
      <c r="O155" s="3" t="str">
        <f>IF($P155&lt;&gt;"", IF($H155="A VISTA", "", IF($H155="1+1", $C155 + CADASTROS!$C$4, IF($H155="1+2", $C155 + CADASTROS!$C$5, IF($H155="1+3", $C155 + CADASTROS!$E$6, "")))), "")</f>
        <v/>
      </c>
      <c r="P155" s="8" t="str">
        <f t="shared" si="11"/>
        <v/>
      </c>
    </row>
    <row r="156" spans="1:16">
      <c r="A156" s="2" t="s">
        <v>292</v>
      </c>
      <c r="B156" s="6" t="s">
        <v>48</v>
      </c>
      <c r="C156" s="7">
        <v>45066</v>
      </c>
      <c r="D156" s="7" t="s">
        <v>97</v>
      </c>
      <c r="E156" s="4" t="s">
        <v>112</v>
      </c>
      <c r="F156" s="4" t="s">
        <v>123</v>
      </c>
      <c r="G156" s="8">
        <v>3480</v>
      </c>
      <c r="H156" s="8" t="s">
        <v>126</v>
      </c>
      <c r="I156" s="3">
        <f>IF($H156="A VISTA", C156 + CADASTROS!$B$3, IF($H156="1+1", C156 + CADASTROS!$B$4, IF(H156="1+2", C156 + CADASTROS!$B$5, IF(H156="1+3", C156 + CADASTROS!$B$6, ""))))</f>
        <v>45067</v>
      </c>
      <c r="J156" s="8">
        <f t="shared" si="8"/>
        <v>3480</v>
      </c>
      <c r="K156" s="3" t="str">
        <f>IF($L156&lt;&gt;"", IF($H156="A VISTA", "", IF($H156="1+1", $C156 + CADASTROS!$C$4, IF($H156="1+2", $C156 + CADASTROS!$C$5, IF($H156="1+3", $C156 + CADASTROS!$E$4, "")))), "")</f>
        <v/>
      </c>
      <c r="L156" s="8" t="str">
        <f t="shared" si="9"/>
        <v/>
      </c>
      <c r="M156" s="3" t="str">
        <f>IF($N156&lt;&gt;"", IF($H156="A VISTA", "", IF($H156="1+1", $C156 + CADASTROS!$C$4, IF($H156="1+2", $C156 + CADASTROS!$D$5, IF($H156="1+3", $C156 + CADASTROS!$D$6, "")))), "")</f>
        <v/>
      </c>
      <c r="N156" s="8" t="str">
        <f t="shared" si="10"/>
        <v/>
      </c>
      <c r="O156" s="3" t="str">
        <f>IF($P156&lt;&gt;"", IF($H156="A VISTA", "", IF($H156="1+1", $C156 + CADASTROS!$C$4, IF($H156="1+2", $C156 + CADASTROS!$C$5, IF($H156="1+3", $C156 + CADASTROS!$E$6, "")))), "")</f>
        <v/>
      </c>
      <c r="P156" s="8" t="str">
        <f t="shared" si="11"/>
        <v/>
      </c>
    </row>
    <row r="157" spans="1:16">
      <c r="A157" s="2" t="s">
        <v>293</v>
      </c>
      <c r="B157" s="6" t="s">
        <v>37</v>
      </c>
      <c r="C157" s="7">
        <v>45362</v>
      </c>
      <c r="D157" s="7" t="s">
        <v>86</v>
      </c>
      <c r="E157" s="4" t="s">
        <v>112</v>
      </c>
      <c r="F157" s="4" t="s">
        <v>123</v>
      </c>
      <c r="G157" s="8">
        <v>8798</v>
      </c>
      <c r="H157" s="8" t="s">
        <v>126</v>
      </c>
      <c r="I157" s="3">
        <f>IF($H157="A VISTA", C157 + CADASTROS!$B$3, IF($H157="1+1", C157 + CADASTROS!$B$4, IF(H157="1+2", C157 + CADASTROS!$B$5, IF(H157="1+3", C157 + CADASTROS!$B$6, ""))))</f>
        <v>45363</v>
      </c>
      <c r="J157" s="8">
        <f t="shared" si="8"/>
        <v>8798</v>
      </c>
      <c r="K157" s="3" t="str">
        <f>IF($L157&lt;&gt;"", IF($H157="A VISTA", "", IF($H157="1+1", $C157 + CADASTROS!$C$4, IF($H157="1+2", $C157 + CADASTROS!$C$5, IF($H157="1+3", $C157 + CADASTROS!$E$4, "")))), "")</f>
        <v/>
      </c>
      <c r="L157" s="8" t="str">
        <f t="shared" si="9"/>
        <v/>
      </c>
      <c r="M157" s="3" t="str">
        <f>IF($N157&lt;&gt;"", IF($H157="A VISTA", "", IF($H157="1+1", $C157 + CADASTROS!$C$4, IF($H157="1+2", $C157 + CADASTROS!$D$5, IF($H157="1+3", $C157 + CADASTROS!$D$6, "")))), "")</f>
        <v/>
      </c>
      <c r="N157" s="8" t="str">
        <f t="shared" si="10"/>
        <v/>
      </c>
      <c r="O157" s="3" t="str">
        <f>IF($P157&lt;&gt;"", IF($H157="A VISTA", "", IF($H157="1+1", $C157 + CADASTROS!$C$4, IF($H157="1+2", $C157 + CADASTROS!$C$5, IF($H157="1+3", $C157 + CADASTROS!$E$6, "")))), "")</f>
        <v/>
      </c>
      <c r="P157" s="8" t="str">
        <f t="shared" si="11"/>
        <v/>
      </c>
    </row>
    <row r="158" spans="1:16">
      <c r="A158" s="2" t="s">
        <v>294</v>
      </c>
      <c r="B158" s="6" t="s">
        <v>45</v>
      </c>
      <c r="C158" s="7">
        <v>45363</v>
      </c>
      <c r="D158" s="7" t="s">
        <v>94</v>
      </c>
      <c r="E158" s="4" t="s">
        <v>110</v>
      </c>
      <c r="F158" s="4" t="s">
        <v>113</v>
      </c>
      <c r="G158" s="8">
        <v>6614</v>
      </c>
      <c r="H158" s="8" t="s">
        <v>136</v>
      </c>
      <c r="I158" s="3">
        <f>IF($H158="A VISTA", C158 + CADASTROS!$B$3, IF($H158="1+1", C158 + CADASTROS!$B$4, IF(H158="1+2", C158 + CADASTROS!$B$5, IF(H158="1+3", C158 + CADASTROS!$B$6, ""))))</f>
        <v>45364</v>
      </c>
      <c r="J158" s="8">
        <f t="shared" si="8"/>
        <v>1653.5</v>
      </c>
      <c r="K158" s="3">
        <f>IF($L158&lt;&gt;"", IF($H158="A VISTA", "", IF($H158="1+1", $C158 + CADASTROS!$C$4, IF($H158="1+2", $C158 + CADASTROS!$C$5, IF($H158="1+3", $C158 + CADASTROS!$E$4, "")))), "")</f>
        <v>45363</v>
      </c>
      <c r="L158" s="8">
        <f t="shared" si="9"/>
        <v>1653.5</v>
      </c>
      <c r="M158" s="3">
        <f>IF($N158&lt;&gt;"", IF($H158="A VISTA", "", IF($H158="1+1", $C158 + CADASTROS!$C$4, IF($H158="1+2", $C158 + CADASTROS!$D$5, IF($H158="1+3", $C158 + CADASTROS!$D$6, "")))), "")</f>
        <v>45408</v>
      </c>
      <c r="N158" s="8">
        <f t="shared" si="10"/>
        <v>1653.5</v>
      </c>
      <c r="O158" s="3">
        <f>IF($P158&lt;&gt;"", IF($H158="A VISTA", "", IF($H158="1+1", $C158 + CADASTROS!$C$4, IF($H158="1+2", $C158 + CADASTROS!$C$5, IF($H158="1+3", $C158 + CADASTROS!$E$6, "")))), "")</f>
        <v>45423</v>
      </c>
      <c r="P158" s="8">
        <f t="shared" si="11"/>
        <v>1653.5</v>
      </c>
    </row>
    <row r="159" spans="1:16">
      <c r="A159" s="2" t="s">
        <v>295</v>
      </c>
      <c r="B159" s="6" t="s">
        <v>56</v>
      </c>
      <c r="C159" s="7">
        <v>45087</v>
      </c>
      <c r="D159" s="7" t="s">
        <v>105</v>
      </c>
      <c r="E159" s="4" t="s">
        <v>110</v>
      </c>
      <c r="F159" s="4" t="s">
        <v>113</v>
      </c>
      <c r="G159" s="8">
        <v>6729</v>
      </c>
      <c r="H159" s="8" t="s">
        <v>137</v>
      </c>
      <c r="I159" s="3">
        <f>IF($H159="A VISTA", C159 + CADASTROS!$B$3, IF($H159="1+1", C159 + CADASTROS!$B$4, IF(H159="1+2", C159 + CADASTROS!$B$5, IF(H159="1+3", C159 + CADASTROS!$B$6, ""))))</f>
        <v>45088</v>
      </c>
      <c r="J159" s="8">
        <f t="shared" si="8"/>
        <v>2243</v>
      </c>
      <c r="K159" s="3">
        <f>IF($L159&lt;&gt;"", IF($H159="A VISTA", "", IF($H159="1+1", $C159 + CADASTROS!$C$4, IF($H159="1+2", $C159 + CADASTROS!$C$5, IF($H159="1+3", $C159 + CADASTROS!$E$4, "")))), "")</f>
        <v>45117</v>
      </c>
      <c r="L159" s="8">
        <f t="shared" si="9"/>
        <v>2243</v>
      </c>
      <c r="M159" s="3">
        <f>IF($N159&lt;&gt;"", IF($H159="A VISTA", "", IF($H159="1+1", $C159 + CADASTROS!$C$4, IF($H159="1+2", $C159 + CADASTROS!$D$5, IF($H159="1+3", $C159 + CADASTROS!$D$6, "")))), "")</f>
        <v>45132</v>
      </c>
      <c r="N159" s="8">
        <f t="shared" si="10"/>
        <v>2243</v>
      </c>
      <c r="O159" s="3" t="str">
        <f>IF($P159&lt;&gt;"", IF($H159="A VISTA", "", IF($H159="1+1", $C159 + CADASTROS!$C$4, IF($H159="1+2", $C159 + CADASTROS!$C$5, IF($H159="1+3", $C159 + CADASTROS!$E$6, "")))), "")</f>
        <v/>
      </c>
      <c r="P159" s="8" t="str">
        <f t="shared" si="11"/>
        <v/>
      </c>
    </row>
    <row r="160" spans="1:16">
      <c r="A160" s="2" t="s">
        <v>296</v>
      </c>
      <c r="B160" s="6" t="s">
        <v>57</v>
      </c>
      <c r="C160" s="7">
        <v>45430</v>
      </c>
      <c r="D160" s="7" t="s">
        <v>106</v>
      </c>
      <c r="E160" s="4" t="s">
        <v>112</v>
      </c>
      <c r="F160" s="4" t="s">
        <v>122</v>
      </c>
      <c r="G160" s="8">
        <v>4572</v>
      </c>
      <c r="H160" s="8" t="s">
        <v>126</v>
      </c>
      <c r="I160" s="3">
        <f>IF($H160="A VISTA", C160 + CADASTROS!$B$3, IF($H160="1+1", C160 + CADASTROS!$B$4, IF(H160="1+2", C160 + CADASTROS!$B$5, IF(H160="1+3", C160 + CADASTROS!$B$6, ""))))</f>
        <v>45431</v>
      </c>
      <c r="J160" s="8">
        <f t="shared" si="8"/>
        <v>4572</v>
      </c>
      <c r="K160" s="3" t="str">
        <f>IF($L160&lt;&gt;"", IF($H160="A VISTA", "", IF($H160="1+1", $C160 + CADASTROS!$C$4, IF($H160="1+2", $C160 + CADASTROS!$C$5, IF($H160="1+3", $C160 + CADASTROS!$E$4, "")))), "")</f>
        <v/>
      </c>
      <c r="L160" s="8" t="str">
        <f t="shared" si="9"/>
        <v/>
      </c>
      <c r="M160" s="3" t="str">
        <f>IF($N160&lt;&gt;"", IF($H160="A VISTA", "", IF($H160="1+1", $C160 + CADASTROS!$C$4, IF($H160="1+2", $C160 + CADASTROS!$D$5, IF($H160="1+3", $C160 + CADASTROS!$D$6, "")))), "")</f>
        <v/>
      </c>
      <c r="N160" s="8" t="str">
        <f t="shared" si="10"/>
        <v/>
      </c>
      <c r="O160" s="3" t="str">
        <f>IF($P160&lt;&gt;"", IF($H160="A VISTA", "", IF($H160="1+1", $C160 + CADASTROS!$C$4, IF($H160="1+2", $C160 + CADASTROS!$C$5, IF($H160="1+3", $C160 + CADASTROS!$E$6, "")))), "")</f>
        <v/>
      </c>
      <c r="P160" s="8" t="str">
        <f t="shared" si="11"/>
        <v/>
      </c>
    </row>
    <row r="161" spans="1:16">
      <c r="A161" s="2" t="s">
        <v>297</v>
      </c>
      <c r="B161" s="6" t="s">
        <v>40</v>
      </c>
      <c r="C161" s="7">
        <v>45342</v>
      </c>
      <c r="D161" s="7" t="s">
        <v>89</v>
      </c>
      <c r="E161" s="4" t="s">
        <v>111</v>
      </c>
      <c r="F161" s="4" t="s">
        <v>121</v>
      </c>
      <c r="G161" s="8">
        <v>7623</v>
      </c>
      <c r="H161" s="8" t="s">
        <v>126</v>
      </c>
      <c r="I161" s="3">
        <f>IF($H161="A VISTA", C161 + CADASTROS!$B$3, IF($H161="1+1", C161 + CADASTROS!$B$4, IF(H161="1+2", C161 + CADASTROS!$B$5, IF(H161="1+3", C161 + CADASTROS!$B$6, ""))))</f>
        <v>45343</v>
      </c>
      <c r="J161" s="8">
        <f t="shared" si="8"/>
        <v>7623</v>
      </c>
      <c r="K161" s="3" t="str">
        <f>IF($L161&lt;&gt;"", IF($H161="A VISTA", "", IF($H161="1+1", $C161 + CADASTROS!$C$4, IF($H161="1+2", $C161 + CADASTROS!$C$5, IF($H161="1+3", $C161 + CADASTROS!$E$4, "")))), "")</f>
        <v/>
      </c>
      <c r="L161" s="8" t="str">
        <f t="shared" si="9"/>
        <v/>
      </c>
      <c r="M161" s="3" t="str">
        <f>IF($N161&lt;&gt;"", IF($H161="A VISTA", "", IF($H161="1+1", $C161 + CADASTROS!$C$4, IF($H161="1+2", $C161 + CADASTROS!$D$5, IF($H161="1+3", $C161 + CADASTROS!$D$6, "")))), "")</f>
        <v/>
      </c>
      <c r="N161" s="8" t="str">
        <f t="shared" si="10"/>
        <v/>
      </c>
      <c r="O161" s="3" t="str">
        <f>IF($P161&lt;&gt;"", IF($H161="A VISTA", "", IF($H161="1+1", $C161 + CADASTROS!$C$4, IF($H161="1+2", $C161 + CADASTROS!$C$5, IF($H161="1+3", $C161 + CADASTROS!$E$6, "")))), "")</f>
        <v/>
      </c>
      <c r="P161" s="8" t="str">
        <f t="shared" si="11"/>
        <v/>
      </c>
    </row>
    <row r="162" spans="1:16">
      <c r="A162" s="2" t="s">
        <v>298</v>
      </c>
      <c r="B162" s="6" t="s">
        <v>19</v>
      </c>
      <c r="C162" s="7">
        <v>45202</v>
      </c>
      <c r="D162" s="7" t="s">
        <v>68</v>
      </c>
      <c r="E162" s="4" t="s">
        <v>111</v>
      </c>
      <c r="F162" s="4" t="s">
        <v>118</v>
      </c>
      <c r="G162" s="8">
        <v>8345</v>
      </c>
      <c r="H162" s="8" t="s">
        <v>138</v>
      </c>
      <c r="I162" s="3">
        <f>IF($H162="A VISTA", C162 + CADASTROS!$B$3, IF($H162="1+1", C162 + CADASTROS!$B$4, IF(H162="1+2", C162 + CADASTROS!$B$5, IF(H162="1+3", C162 + CADASTROS!$B$6, ""))))</f>
        <v>45203</v>
      </c>
      <c r="J162" s="8">
        <f t="shared" si="8"/>
        <v>4172.5</v>
      </c>
      <c r="K162" s="3">
        <f>IF($L162&lt;&gt;"", IF($H162="A VISTA", "", IF($H162="1+1", $C162 + CADASTROS!$C$4, IF($H162="1+2", $C162 + CADASTROS!$C$5, IF($H162="1+3", $C162 + CADASTROS!$E$4, "")))), "")</f>
        <v>45232</v>
      </c>
      <c r="L162" s="8">
        <f t="shared" si="9"/>
        <v>4172.5</v>
      </c>
      <c r="M162" s="3" t="str">
        <f>IF($N162&lt;&gt;"", IF($H162="A VISTA", "", IF($H162="1+1", $C162 + CADASTROS!$C$4, IF($H162="1+2", $C162 + CADASTROS!$D$5, IF($H162="1+3", $C162 + CADASTROS!$D$6, "")))), "")</f>
        <v/>
      </c>
      <c r="N162" s="8" t="str">
        <f t="shared" si="10"/>
        <v/>
      </c>
      <c r="O162" s="3" t="str">
        <f>IF($P162&lt;&gt;"", IF($H162="A VISTA", "", IF($H162="1+1", $C162 + CADASTROS!$C$4, IF($H162="1+2", $C162 + CADASTROS!$C$5, IF($H162="1+3", $C162 + CADASTROS!$E$6, "")))), "")</f>
        <v/>
      </c>
      <c r="P162" s="8" t="str">
        <f t="shared" si="11"/>
        <v/>
      </c>
    </row>
    <row r="163" spans="1:16">
      <c r="A163" s="2" t="s">
        <v>299</v>
      </c>
      <c r="B163" s="6" t="s">
        <v>54</v>
      </c>
      <c r="C163" s="7">
        <v>45390</v>
      </c>
      <c r="D163" s="7" t="s">
        <v>103</v>
      </c>
      <c r="E163" s="4" t="s">
        <v>110</v>
      </c>
      <c r="F163" s="4" t="s">
        <v>124</v>
      </c>
      <c r="G163" s="8">
        <v>9714</v>
      </c>
      <c r="H163" s="8" t="s">
        <v>126</v>
      </c>
      <c r="I163" s="3">
        <f>IF($H163="A VISTA", C163 + CADASTROS!$B$3, IF($H163="1+1", C163 + CADASTROS!$B$4, IF(H163="1+2", C163 + CADASTROS!$B$5, IF(H163="1+3", C163 + CADASTROS!$B$6, ""))))</f>
        <v>45391</v>
      </c>
      <c r="J163" s="8">
        <f t="shared" si="8"/>
        <v>9714</v>
      </c>
      <c r="K163" s="3" t="str">
        <f>IF($L163&lt;&gt;"", IF($H163="A VISTA", "", IF($H163="1+1", $C163 + CADASTROS!$C$4, IF($H163="1+2", $C163 + CADASTROS!$C$5, IF($H163="1+3", $C163 + CADASTROS!$E$4, "")))), "")</f>
        <v/>
      </c>
      <c r="L163" s="8" t="str">
        <f t="shared" si="9"/>
        <v/>
      </c>
      <c r="M163" s="3" t="str">
        <f>IF($N163&lt;&gt;"", IF($H163="A VISTA", "", IF($H163="1+1", $C163 + CADASTROS!$C$4, IF($H163="1+2", $C163 + CADASTROS!$D$5, IF($H163="1+3", $C163 + CADASTROS!$D$6, "")))), "")</f>
        <v/>
      </c>
      <c r="N163" s="8" t="str">
        <f t="shared" si="10"/>
        <v/>
      </c>
      <c r="O163" s="3" t="str">
        <f>IF($P163&lt;&gt;"", IF($H163="A VISTA", "", IF($H163="1+1", $C163 + CADASTROS!$C$4, IF($H163="1+2", $C163 + CADASTROS!$C$5, IF($H163="1+3", $C163 + CADASTROS!$E$6, "")))), "")</f>
        <v/>
      </c>
      <c r="P163" s="8" t="str">
        <f t="shared" si="11"/>
        <v/>
      </c>
    </row>
    <row r="164" spans="1:16">
      <c r="A164" s="2" t="s">
        <v>300</v>
      </c>
      <c r="B164" s="6" t="s">
        <v>32</v>
      </c>
      <c r="C164" s="7">
        <v>45139</v>
      </c>
      <c r="D164" s="7" t="s">
        <v>81</v>
      </c>
      <c r="E164" s="4" t="s">
        <v>110</v>
      </c>
      <c r="F164" s="4" t="s">
        <v>124</v>
      </c>
      <c r="G164" s="8">
        <v>8895</v>
      </c>
      <c r="H164" s="8" t="s">
        <v>136</v>
      </c>
      <c r="I164" s="3">
        <f>IF($H164="A VISTA", C164 + CADASTROS!$B$3, IF($H164="1+1", C164 + CADASTROS!$B$4, IF(H164="1+2", C164 + CADASTROS!$B$5, IF(H164="1+3", C164 + CADASTROS!$B$6, ""))))</f>
        <v>45140</v>
      </c>
      <c r="J164" s="8">
        <f t="shared" si="8"/>
        <v>2223.75</v>
      </c>
      <c r="K164" s="3">
        <f>IF($L164&lt;&gt;"", IF($H164="A VISTA", "", IF($H164="1+1", $C164 + CADASTROS!$C$4, IF($H164="1+2", $C164 + CADASTROS!$C$5, IF($H164="1+3", $C164 + CADASTROS!$E$4, "")))), "")</f>
        <v>45139</v>
      </c>
      <c r="L164" s="8">
        <f t="shared" si="9"/>
        <v>2223.75</v>
      </c>
      <c r="M164" s="3">
        <f>IF($N164&lt;&gt;"", IF($H164="A VISTA", "", IF($H164="1+1", $C164 + CADASTROS!$C$4, IF($H164="1+2", $C164 + CADASTROS!$D$5, IF($H164="1+3", $C164 + CADASTROS!$D$6, "")))), "")</f>
        <v>45184</v>
      </c>
      <c r="N164" s="8">
        <f t="shared" si="10"/>
        <v>2223.75</v>
      </c>
      <c r="O164" s="3">
        <f>IF($P164&lt;&gt;"", IF($H164="A VISTA", "", IF($H164="1+1", $C164 + CADASTROS!$C$4, IF($H164="1+2", $C164 + CADASTROS!$C$5, IF($H164="1+3", $C164 + CADASTROS!$E$6, "")))), "")</f>
        <v>45199</v>
      </c>
      <c r="P164" s="8">
        <f t="shared" si="11"/>
        <v>2223.75</v>
      </c>
    </row>
    <row r="165" spans="1:16">
      <c r="A165" s="2" t="s">
        <v>301</v>
      </c>
      <c r="B165" s="6" t="s">
        <v>34</v>
      </c>
      <c r="C165" s="7">
        <v>45152</v>
      </c>
      <c r="D165" s="7" t="s">
        <v>83</v>
      </c>
      <c r="E165" s="4" t="s">
        <v>110</v>
      </c>
      <c r="F165" s="4" t="s">
        <v>113</v>
      </c>
      <c r="G165" s="8">
        <v>5276</v>
      </c>
      <c r="H165" s="8" t="s">
        <v>136</v>
      </c>
      <c r="I165" s="3">
        <f>IF($H165="A VISTA", C165 + CADASTROS!$B$3, IF($H165="1+1", C165 + CADASTROS!$B$4, IF(H165="1+2", C165 + CADASTROS!$B$5, IF(H165="1+3", C165 + CADASTROS!$B$6, ""))))</f>
        <v>45153</v>
      </c>
      <c r="J165" s="8">
        <f t="shared" si="8"/>
        <v>1319</v>
      </c>
      <c r="K165" s="3">
        <f>IF($L165&lt;&gt;"", IF($H165="A VISTA", "", IF($H165="1+1", $C165 + CADASTROS!$C$4, IF($H165="1+2", $C165 + CADASTROS!$C$5, IF($H165="1+3", $C165 + CADASTROS!$E$4, "")))), "")</f>
        <v>45152</v>
      </c>
      <c r="L165" s="8">
        <f t="shared" si="9"/>
        <v>1319</v>
      </c>
      <c r="M165" s="3">
        <f>IF($N165&lt;&gt;"", IF($H165="A VISTA", "", IF($H165="1+1", $C165 + CADASTROS!$C$4, IF($H165="1+2", $C165 + CADASTROS!$D$5, IF($H165="1+3", $C165 + CADASTROS!$D$6, "")))), "")</f>
        <v>45197</v>
      </c>
      <c r="N165" s="8">
        <f t="shared" si="10"/>
        <v>1319</v>
      </c>
      <c r="O165" s="3">
        <f>IF($P165&lt;&gt;"", IF($H165="A VISTA", "", IF($H165="1+1", $C165 + CADASTROS!$C$4, IF($H165="1+2", $C165 + CADASTROS!$C$5, IF($H165="1+3", $C165 + CADASTROS!$E$6, "")))), "")</f>
        <v>45212</v>
      </c>
      <c r="P165" s="8">
        <f t="shared" si="11"/>
        <v>1319</v>
      </c>
    </row>
    <row r="166" spans="1:16">
      <c r="A166" s="2" t="s">
        <v>302</v>
      </c>
      <c r="B166" s="6" t="s">
        <v>36</v>
      </c>
      <c r="C166" s="7">
        <v>45384</v>
      </c>
      <c r="D166" s="7" t="s">
        <v>85</v>
      </c>
      <c r="E166" s="4" t="s">
        <v>111</v>
      </c>
      <c r="F166" s="4" t="s">
        <v>120</v>
      </c>
      <c r="G166" s="8">
        <v>2495</v>
      </c>
      <c r="H166" s="8" t="s">
        <v>137</v>
      </c>
      <c r="I166" s="3">
        <f>IF($H166="A VISTA", C166 + CADASTROS!$B$3, IF($H166="1+1", C166 + CADASTROS!$B$4, IF(H166="1+2", C166 + CADASTROS!$B$5, IF(H166="1+3", C166 + CADASTROS!$B$6, ""))))</f>
        <v>45385</v>
      </c>
      <c r="J166" s="8">
        <f t="shared" si="8"/>
        <v>831.66666666666663</v>
      </c>
      <c r="K166" s="3">
        <f>IF($L166&lt;&gt;"", IF($H166="A VISTA", "", IF($H166="1+1", $C166 + CADASTROS!$C$4, IF($H166="1+2", $C166 + CADASTROS!$C$5, IF($H166="1+3", $C166 + CADASTROS!$E$4, "")))), "")</f>
        <v>45414</v>
      </c>
      <c r="L166" s="8">
        <f t="shared" si="9"/>
        <v>831.66666666666663</v>
      </c>
      <c r="M166" s="3">
        <f>IF($N166&lt;&gt;"", IF($H166="A VISTA", "", IF($H166="1+1", $C166 + CADASTROS!$C$4, IF($H166="1+2", $C166 + CADASTROS!$D$5, IF($H166="1+3", $C166 + CADASTROS!$D$6, "")))), "")</f>
        <v>45429</v>
      </c>
      <c r="N166" s="8">
        <f t="shared" si="10"/>
        <v>831.66666666666686</v>
      </c>
      <c r="O166" s="3" t="str">
        <f>IF($P166&lt;&gt;"", IF($H166="A VISTA", "", IF($H166="1+1", $C166 + CADASTROS!$C$4, IF($H166="1+2", $C166 + CADASTROS!$C$5, IF($H166="1+3", $C166 + CADASTROS!$E$6, "")))), "")</f>
        <v/>
      </c>
      <c r="P166" s="8" t="str">
        <f t="shared" si="11"/>
        <v/>
      </c>
    </row>
    <row r="167" spans="1:16">
      <c r="A167" s="2" t="s">
        <v>303</v>
      </c>
      <c r="B167" s="6" t="s">
        <v>32</v>
      </c>
      <c r="C167" s="7">
        <v>45206</v>
      </c>
      <c r="D167" s="7" t="s">
        <v>81</v>
      </c>
      <c r="E167" s="4" t="s">
        <v>110</v>
      </c>
      <c r="F167" s="4" t="s">
        <v>124</v>
      </c>
      <c r="G167" s="8">
        <v>4841</v>
      </c>
      <c r="H167" s="8" t="s">
        <v>126</v>
      </c>
      <c r="I167" s="3">
        <f>IF($H167="A VISTA", C167 + CADASTROS!$B$3, IF($H167="1+1", C167 + CADASTROS!$B$4, IF(H167="1+2", C167 + CADASTROS!$B$5, IF(H167="1+3", C167 + CADASTROS!$B$6, ""))))</f>
        <v>45207</v>
      </c>
      <c r="J167" s="8">
        <f t="shared" si="8"/>
        <v>4841</v>
      </c>
      <c r="K167" s="3" t="str">
        <f>IF($L167&lt;&gt;"", IF($H167="A VISTA", "", IF($H167="1+1", $C167 + CADASTROS!$C$4, IF($H167="1+2", $C167 + CADASTROS!$C$5, IF($H167="1+3", $C167 + CADASTROS!$E$4, "")))), "")</f>
        <v/>
      </c>
      <c r="L167" s="8" t="str">
        <f t="shared" si="9"/>
        <v/>
      </c>
      <c r="M167" s="3" t="str">
        <f>IF($N167&lt;&gt;"", IF($H167="A VISTA", "", IF($H167="1+1", $C167 + CADASTROS!$C$4, IF($H167="1+2", $C167 + CADASTROS!$D$5, IF($H167="1+3", $C167 + CADASTROS!$D$6, "")))), "")</f>
        <v/>
      </c>
      <c r="N167" s="8" t="str">
        <f t="shared" si="10"/>
        <v/>
      </c>
      <c r="O167" s="3" t="str">
        <f>IF($P167&lt;&gt;"", IF($H167="A VISTA", "", IF($H167="1+1", $C167 + CADASTROS!$C$4, IF($H167="1+2", $C167 + CADASTROS!$C$5, IF($H167="1+3", $C167 + CADASTROS!$E$6, "")))), "")</f>
        <v/>
      </c>
      <c r="P167" s="8" t="str">
        <f t="shared" si="11"/>
        <v/>
      </c>
    </row>
    <row r="168" spans="1:16">
      <c r="A168" s="2" t="s">
        <v>304</v>
      </c>
      <c r="B168" s="6" t="s">
        <v>20</v>
      </c>
      <c r="C168" s="7">
        <v>45247</v>
      </c>
      <c r="D168" s="7" t="s">
        <v>69</v>
      </c>
      <c r="E168" s="4" t="s">
        <v>111</v>
      </c>
      <c r="F168" s="4" t="s">
        <v>117</v>
      </c>
      <c r="G168" s="8">
        <v>2405</v>
      </c>
      <c r="H168" s="8" t="s">
        <v>136</v>
      </c>
      <c r="I168" s="3">
        <f>IF($H168="A VISTA", C168 + CADASTROS!$B$3, IF($H168="1+1", C168 + CADASTROS!$B$4, IF(H168="1+2", C168 + CADASTROS!$B$5, IF(H168="1+3", C168 + CADASTROS!$B$6, ""))))</f>
        <v>45248</v>
      </c>
      <c r="J168" s="8">
        <f t="shared" si="8"/>
        <v>601.25</v>
      </c>
      <c r="K168" s="3">
        <f>IF($L168&lt;&gt;"", IF($H168="A VISTA", "", IF($H168="1+1", $C168 + CADASTROS!$C$4, IF($H168="1+2", $C168 + CADASTROS!$C$5, IF($H168="1+3", $C168 + CADASTROS!$E$4, "")))), "")</f>
        <v>45247</v>
      </c>
      <c r="L168" s="8">
        <f t="shared" si="9"/>
        <v>601.25</v>
      </c>
      <c r="M168" s="3">
        <f>IF($N168&lt;&gt;"", IF($H168="A VISTA", "", IF($H168="1+1", $C168 + CADASTROS!$C$4, IF($H168="1+2", $C168 + CADASTROS!$D$5, IF($H168="1+3", $C168 + CADASTROS!$D$6, "")))), "")</f>
        <v>45292</v>
      </c>
      <c r="N168" s="8">
        <f t="shared" si="10"/>
        <v>601.25</v>
      </c>
      <c r="O168" s="3">
        <f>IF($P168&lt;&gt;"", IF($H168="A VISTA", "", IF($H168="1+1", $C168 + CADASTROS!$C$4, IF($H168="1+2", $C168 + CADASTROS!$C$5, IF($H168="1+3", $C168 + CADASTROS!$E$6, "")))), "")</f>
        <v>45307</v>
      </c>
      <c r="P168" s="8">
        <f t="shared" si="11"/>
        <v>601.25</v>
      </c>
    </row>
    <row r="169" spans="1:16">
      <c r="A169" s="2" t="s">
        <v>305</v>
      </c>
      <c r="B169" s="6" t="s">
        <v>50</v>
      </c>
      <c r="C169" s="7">
        <v>45346</v>
      </c>
      <c r="D169" s="7" t="s">
        <v>99</v>
      </c>
      <c r="E169" s="4" t="s">
        <v>110</v>
      </c>
      <c r="F169" s="4" t="s">
        <v>114</v>
      </c>
      <c r="G169" s="8">
        <v>2708</v>
      </c>
      <c r="H169" s="8" t="s">
        <v>137</v>
      </c>
      <c r="I169" s="3">
        <f>IF($H169="A VISTA", C169 + CADASTROS!$B$3, IF($H169="1+1", C169 + CADASTROS!$B$4, IF(H169="1+2", C169 + CADASTROS!$B$5, IF(H169="1+3", C169 + CADASTROS!$B$6, ""))))</f>
        <v>45347</v>
      </c>
      <c r="J169" s="8">
        <f t="shared" si="8"/>
        <v>902.66666666666663</v>
      </c>
      <c r="K169" s="3">
        <f>IF($L169&lt;&gt;"", IF($H169="A VISTA", "", IF($H169="1+1", $C169 + CADASTROS!$C$4, IF($H169="1+2", $C169 + CADASTROS!$C$5, IF($H169="1+3", $C169 + CADASTROS!$E$4, "")))), "")</f>
        <v>45376</v>
      </c>
      <c r="L169" s="8">
        <f t="shared" si="9"/>
        <v>902.66666666666663</v>
      </c>
      <c r="M169" s="3">
        <f>IF($N169&lt;&gt;"", IF($H169="A VISTA", "", IF($H169="1+1", $C169 + CADASTROS!$C$4, IF($H169="1+2", $C169 + CADASTROS!$D$5, IF($H169="1+3", $C169 + CADASTROS!$D$6, "")))), "")</f>
        <v>45391</v>
      </c>
      <c r="N169" s="8">
        <f t="shared" si="10"/>
        <v>902.66666666666686</v>
      </c>
      <c r="O169" s="3" t="str">
        <f>IF($P169&lt;&gt;"", IF($H169="A VISTA", "", IF($H169="1+1", $C169 + CADASTROS!$C$4, IF($H169="1+2", $C169 + CADASTROS!$C$5, IF($H169="1+3", $C169 + CADASTROS!$E$6, "")))), "")</f>
        <v/>
      </c>
      <c r="P169" s="8" t="str">
        <f t="shared" si="11"/>
        <v/>
      </c>
    </row>
    <row r="170" spans="1:16">
      <c r="A170" s="2" t="s">
        <v>306</v>
      </c>
      <c r="B170" s="6" t="s">
        <v>59</v>
      </c>
      <c r="C170" s="7">
        <v>45249</v>
      </c>
      <c r="D170" s="7" t="s">
        <v>108</v>
      </c>
      <c r="E170" s="4" t="s">
        <v>111</v>
      </c>
      <c r="F170" s="4" t="s">
        <v>121</v>
      </c>
      <c r="G170" s="8">
        <v>5056</v>
      </c>
      <c r="H170" s="8" t="s">
        <v>137</v>
      </c>
      <c r="I170" s="3">
        <f>IF($H170="A VISTA", C170 + CADASTROS!$B$3, IF($H170="1+1", C170 + CADASTROS!$B$4, IF(H170="1+2", C170 + CADASTROS!$B$5, IF(H170="1+3", C170 + CADASTROS!$B$6, ""))))</f>
        <v>45250</v>
      </c>
      <c r="J170" s="8">
        <f t="shared" si="8"/>
        <v>1685.3333333333333</v>
      </c>
      <c r="K170" s="3">
        <f>IF($L170&lt;&gt;"", IF($H170="A VISTA", "", IF($H170="1+1", $C170 + CADASTROS!$C$4, IF($H170="1+2", $C170 + CADASTROS!$C$5, IF($H170="1+3", $C170 + CADASTROS!$E$4, "")))), "")</f>
        <v>45279</v>
      </c>
      <c r="L170" s="8">
        <f t="shared" si="9"/>
        <v>1685.3333333333333</v>
      </c>
      <c r="M170" s="3">
        <f>IF($N170&lt;&gt;"", IF($H170="A VISTA", "", IF($H170="1+1", $C170 + CADASTROS!$C$4, IF($H170="1+2", $C170 + CADASTROS!$D$5, IF($H170="1+3", $C170 + CADASTROS!$D$6, "")))), "")</f>
        <v>45294</v>
      </c>
      <c r="N170" s="8">
        <f t="shared" si="10"/>
        <v>1685.3333333333337</v>
      </c>
      <c r="O170" s="3" t="str">
        <f>IF($P170&lt;&gt;"", IF($H170="A VISTA", "", IF($H170="1+1", $C170 + CADASTROS!$C$4, IF($H170="1+2", $C170 + CADASTROS!$C$5, IF($H170="1+3", $C170 + CADASTROS!$E$6, "")))), "")</f>
        <v/>
      </c>
      <c r="P170" s="8" t="str">
        <f t="shared" si="11"/>
        <v/>
      </c>
    </row>
    <row r="171" spans="1:16">
      <c r="A171" s="2" t="s">
        <v>307</v>
      </c>
      <c r="B171" s="6" t="s">
        <v>43</v>
      </c>
      <c r="C171" s="7">
        <v>45110</v>
      </c>
      <c r="D171" s="7" t="s">
        <v>92</v>
      </c>
      <c r="E171" s="4" t="s">
        <v>110</v>
      </c>
      <c r="F171" s="4" t="s">
        <v>124</v>
      </c>
      <c r="G171" s="8">
        <v>8323</v>
      </c>
      <c r="H171" s="8" t="s">
        <v>138</v>
      </c>
      <c r="I171" s="3">
        <f>IF($H171="A VISTA", C171 + CADASTROS!$B$3, IF($H171="1+1", C171 + CADASTROS!$B$4, IF(H171="1+2", C171 + CADASTROS!$B$5, IF(H171="1+3", C171 + CADASTROS!$B$6, ""))))</f>
        <v>45111</v>
      </c>
      <c r="J171" s="8">
        <f t="shared" si="8"/>
        <v>4161.5</v>
      </c>
      <c r="K171" s="3">
        <f>IF($L171&lt;&gt;"", IF($H171="A VISTA", "", IF($H171="1+1", $C171 + CADASTROS!$C$4, IF($H171="1+2", $C171 + CADASTROS!$C$5, IF($H171="1+3", $C171 + CADASTROS!$E$4, "")))), "")</f>
        <v>45140</v>
      </c>
      <c r="L171" s="8">
        <f t="shared" si="9"/>
        <v>4161.5</v>
      </c>
      <c r="M171" s="3" t="str">
        <f>IF($N171&lt;&gt;"", IF($H171="A VISTA", "", IF($H171="1+1", $C171 + CADASTROS!$C$4, IF($H171="1+2", $C171 + CADASTROS!$D$5, IF($H171="1+3", $C171 + CADASTROS!$D$6, "")))), "")</f>
        <v/>
      </c>
      <c r="N171" s="8" t="str">
        <f t="shared" si="10"/>
        <v/>
      </c>
      <c r="O171" s="3" t="str">
        <f>IF($P171&lt;&gt;"", IF($H171="A VISTA", "", IF($H171="1+1", $C171 + CADASTROS!$C$4, IF($H171="1+2", $C171 + CADASTROS!$C$5, IF($H171="1+3", $C171 + CADASTROS!$E$6, "")))), "")</f>
        <v/>
      </c>
      <c r="P171" s="8" t="str">
        <f t="shared" si="11"/>
        <v/>
      </c>
    </row>
    <row r="172" spans="1:16">
      <c r="A172" s="2" t="s">
        <v>308</v>
      </c>
      <c r="B172" s="6" t="s">
        <v>39</v>
      </c>
      <c r="C172" s="7">
        <v>45202</v>
      </c>
      <c r="D172" s="7" t="s">
        <v>88</v>
      </c>
      <c r="E172" s="4" t="s">
        <v>110</v>
      </c>
      <c r="F172" s="4" t="s">
        <v>114</v>
      </c>
      <c r="G172" s="8">
        <v>4870</v>
      </c>
      <c r="H172" s="8" t="s">
        <v>126</v>
      </c>
      <c r="I172" s="3">
        <f>IF($H172="A VISTA", C172 + CADASTROS!$B$3, IF($H172="1+1", C172 + CADASTROS!$B$4, IF(H172="1+2", C172 + CADASTROS!$B$5, IF(H172="1+3", C172 + CADASTROS!$B$6, ""))))</f>
        <v>45203</v>
      </c>
      <c r="J172" s="8">
        <f t="shared" si="8"/>
        <v>4870</v>
      </c>
      <c r="K172" s="3" t="str">
        <f>IF($L172&lt;&gt;"", IF($H172="A VISTA", "", IF($H172="1+1", $C172 + CADASTROS!$C$4, IF($H172="1+2", $C172 + CADASTROS!$C$5, IF($H172="1+3", $C172 + CADASTROS!$E$4, "")))), "")</f>
        <v/>
      </c>
      <c r="L172" s="8" t="str">
        <f t="shared" si="9"/>
        <v/>
      </c>
      <c r="M172" s="3" t="str">
        <f>IF($N172&lt;&gt;"", IF($H172="A VISTA", "", IF($H172="1+1", $C172 + CADASTROS!$C$4, IF($H172="1+2", $C172 + CADASTROS!$D$5, IF($H172="1+3", $C172 + CADASTROS!$D$6, "")))), "")</f>
        <v/>
      </c>
      <c r="N172" s="8" t="str">
        <f t="shared" si="10"/>
        <v/>
      </c>
      <c r="O172" s="3" t="str">
        <f>IF($P172&lt;&gt;"", IF($H172="A VISTA", "", IF($H172="1+1", $C172 + CADASTROS!$C$4, IF($H172="1+2", $C172 + CADASTROS!$C$5, IF($H172="1+3", $C172 + CADASTROS!$E$6, "")))), "")</f>
        <v/>
      </c>
      <c r="P172" s="8" t="str">
        <f t="shared" si="11"/>
        <v/>
      </c>
    </row>
    <row r="173" spans="1:16">
      <c r="A173" s="2" t="s">
        <v>309</v>
      </c>
      <c r="B173" s="6" t="s">
        <v>27</v>
      </c>
      <c r="C173" s="7">
        <v>45429</v>
      </c>
      <c r="D173" s="7" t="s">
        <v>76</v>
      </c>
      <c r="E173" s="4" t="s">
        <v>110</v>
      </c>
      <c r="F173" s="4" t="s">
        <v>125</v>
      </c>
      <c r="G173" s="8">
        <v>5610</v>
      </c>
      <c r="H173" s="8" t="s">
        <v>137</v>
      </c>
      <c r="I173" s="3">
        <f>IF($H173="A VISTA", C173 + CADASTROS!$B$3, IF($H173="1+1", C173 + CADASTROS!$B$4, IF(H173="1+2", C173 + CADASTROS!$B$5, IF(H173="1+3", C173 + CADASTROS!$B$6, ""))))</f>
        <v>45430</v>
      </c>
      <c r="J173" s="8">
        <f t="shared" si="8"/>
        <v>1870</v>
      </c>
      <c r="K173" s="3">
        <f>IF($L173&lt;&gt;"", IF($H173="A VISTA", "", IF($H173="1+1", $C173 + CADASTROS!$C$4, IF($H173="1+2", $C173 + CADASTROS!$C$5, IF($H173="1+3", $C173 + CADASTROS!$E$4, "")))), "")</f>
        <v>45459</v>
      </c>
      <c r="L173" s="8">
        <f t="shared" si="9"/>
        <v>1870</v>
      </c>
      <c r="M173" s="3">
        <f>IF($N173&lt;&gt;"", IF($H173="A VISTA", "", IF($H173="1+1", $C173 + CADASTROS!$C$4, IF($H173="1+2", $C173 + CADASTROS!$D$5, IF($H173="1+3", $C173 + CADASTROS!$D$6, "")))), "")</f>
        <v>45474</v>
      </c>
      <c r="N173" s="8">
        <f t="shared" si="10"/>
        <v>1870</v>
      </c>
      <c r="O173" s="3" t="str">
        <f>IF($P173&lt;&gt;"", IF($H173="A VISTA", "", IF($H173="1+1", $C173 + CADASTROS!$C$4, IF($H173="1+2", $C173 + CADASTROS!$C$5, IF($H173="1+3", $C173 + CADASTROS!$E$6, "")))), "")</f>
        <v/>
      </c>
      <c r="P173" s="8" t="str">
        <f t="shared" si="11"/>
        <v/>
      </c>
    </row>
    <row r="174" spans="1:16">
      <c r="A174" s="2" t="s">
        <v>310</v>
      </c>
      <c r="B174" s="6" t="s">
        <v>19</v>
      </c>
      <c r="C174" s="7">
        <v>45344</v>
      </c>
      <c r="D174" s="7" t="s">
        <v>68</v>
      </c>
      <c r="E174" s="4" t="s">
        <v>111</v>
      </c>
      <c r="F174" s="4" t="s">
        <v>118</v>
      </c>
      <c r="G174" s="8">
        <v>4186</v>
      </c>
      <c r="H174" s="8" t="s">
        <v>137</v>
      </c>
      <c r="I174" s="3">
        <f>IF($H174="A VISTA", C174 + CADASTROS!$B$3, IF($H174="1+1", C174 + CADASTROS!$B$4, IF(H174="1+2", C174 + CADASTROS!$B$5, IF(H174="1+3", C174 + CADASTROS!$B$6, ""))))</f>
        <v>45345</v>
      </c>
      <c r="J174" s="8">
        <f t="shared" si="8"/>
        <v>1395.3333333333333</v>
      </c>
      <c r="K174" s="3">
        <f>IF($L174&lt;&gt;"", IF($H174="A VISTA", "", IF($H174="1+1", $C174 + CADASTROS!$C$4, IF($H174="1+2", $C174 + CADASTROS!$C$5, IF($H174="1+3", $C174 + CADASTROS!$E$4, "")))), "")</f>
        <v>45374</v>
      </c>
      <c r="L174" s="8">
        <f t="shared" si="9"/>
        <v>1395.3333333333333</v>
      </c>
      <c r="M174" s="3">
        <f>IF($N174&lt;&gt;"", IF($H174="A VISTA", "", IF($H174="1+1", $C174 + CADASTROS!$C$4, IF($H174="1+2", $C174 + CADASTROS!$D$5, IF($H174="1+3", $C174 + CADASTROS!$D$6, "")))), "")</f>
        <v>45389</v>
      </c>
      <c r="N174" s="8">
        <f t="shared" si="10"/>
        <v>1395.3333333333337</v>
      </c>
      <c r="O174" s="3" t="str">
        <f>IF($P174&lt;&gt;"", IF($H174="A VISTA", "", IF($H174="1+1", $C174 + CADASTROS!$C$4, IF($H174="1+2", $C174 + CADASTROS!$C$5, IF($H174="1+3", $C174 + CADASTROS!$E$6, "")))), "")</f>
        <v/>
      </c>
      <c r="P174" s="8" t="str">
        <f t="shared" si="11"/>
        <v/>
      </c>
    </row>
    <row r="175" spans="1:16">
      <c r="A175" s="2" t="s">
        <v>311</v>
      </c>
      <c r="B175" s="6" t="s">
        <v>56</v>
      </c>
      <c r="C175" s="7">
        <v>45324</v>
      </c>
      <c r="D175" s="7" t="s">
        <v>105</v>
      </c>
      <c r="E175" s="4" t="s">
        <v>110</v>
      </c>
      <c r="F175" s="4" t="s">
        <v>113</v>
      </c>
      <c r="G175" s="8">
        <v>2499</v>
      </c>
      <c r="H175" s="8" t="s">
        <v>126</v>
      </c>
      <c r="I175" s="3">
        <f>IF($H175="A VISTA", C175 + CADASTROS!$B$3, IF($H175="1+1", C175 + CADASTROS!$B$4, IF(H175="1+2", C175 + CADASTROS!$B$5, IF(H175="1+3", C175 + CADASTROS!$B$6, ""))))</f>
        <v>45325</v>
      </c>
      <c r="J175" s="8">
        <f t="shared" si="8"/>
        <v>2499</v>
      </c>
      <c r="K175" s="3" t="str">
        <f>IF($L175&lt;&gt;"", IF($H175="A VISTA", "", IF($H175="1+1", $C175 + CADASTROS!$C$4, IF($H175="1+2", $C175 + CADASTROS!$C$5, IF($H175="1+3", $C175 + CADASTROS!$E$4, "")))), "")</f>
        <v/>
      </c>
      <c r="L175" s="8" t="str">
        <f t="shared" si="9"/>
        <v/>
      </c>
      <c r="M175" s="3" t="str">
        <f>IF($N175&lt;&gt;"", IF($H175="A VISTA", "", IF($H175="1+1", $C175 + CADASTROS!$C$4, IF($H175="1+2", $C175 + CADASTROS!$D$5, IF($H175="1+3", $C175 + CADASTROS!$D$6, "")))), "")</f>
        <v/>
      </c>
      <c r="N175" s="8" t="str">
        <f t="shared" si="10"/>
        <v/>
      </c>
      <c r="O175" s="3" t="str">
        <f>IF($P175&lt;&gt;"", IF($H175="A VISTA", "", IF($H175="1+1", $C175 + CADASTROS!$C$4, IF($H175="1+2", $C175 + CADASTROS!$C$5, IF($H175="1+3", $C175 + CADASTROS!$E$6, "")))), "")</f>
        <v/>
      </c>
      <c r="P175" s="8" t="str">
        <f t="shared" si="11"/>
        <v/>
      </c>
    </row>
    <row r="176" spans="1:16">
      <c r="A176" s="2" t="s">
        <v>312</v>
      </c>
      <c r="B176" s="6" t="s">
        <v>30</v>
      </c>
      <c r="C176" s="7">
        <v>45135</v>
      </c>
      <c r="D176" s="7" t="s">
        <v>79</v>
      </c>
      <c r="E176" s="4" t="s">
        <v>111</v>
      </c>
      <c r="F176" s="4" t="s">
        <v>118</v>
      </c>
      <c r="G176" s="8">
        <v>3053</v>
      </c>
      <c r="H176" s="8" t="s">
        <v>138</v>
      </c>
      <c r="I176" s="3">
        <f>IF($H176="A VISTA", C176 + CADASTROS!$B$3, IF($H176="1+1", C176 + CADASTROS!$B$4, IF(H176="1+2", C176 + CADASTROS!$B$5, IF(H176="1+3", C176 + CADASTROS!$B$6, ""))))</f>
        <v>45136</v>
      </c>
      <c r="J176" s="8">
        <f t="shared" si="8"/>
        <v>1526.5</v>
      </c>
      <c r="K176" s="3">
        <f>IF($L176&lt;&gt;"", IF($H176="A VISTA", "", IF($H176="1+1", $C176 + CADASTROS!$C$4, IF($H176="1+2", $C176 + CADASTROS!$C$5, IF($H176="1+3", $C176 + CADASTROS!$E$4, "")))), "")</f>
        <v>45165</v>
      </c>
      <c r="L176" s="8">
        <f t="shared" si="9"/>
        <v>1526.5</v>
      </c>
      <c r="M176" s="3" t="str">
        <f>IF($N176&lt;&gt;"", IF($H176="A VISTA", "", IF($H176="1+1", $C176 + CADASTROS!$C$4, IF($H176="1+2", $C176 + CADASTROS!$D$5, IF($H176="1+3", $C176 + CADASTROS!$D$6, "")))), "")</f>
        <v/>
      </c>
      <c r="N176" s="8" t="str">
        <f t="shared" si="10"/>
        <v/>
      </c>
      <c r="O176" s="3" t="str">
        <f>IF($P176&lt;&gt;"", IF($H176="A VISTA", "", IF($H176="1+1", $C176 + CADASTROS!$C$4, IF($H176="1+2", $C176 + CADASTROS!$C$5, IF($H176="1+3", $C176 + CADASTROS!$E$6, "")))), "")</f>
        <v/>
      </c>
      <c r="P176" s="8" t="str">
        <f t="shared" si="11"/>
        <v/>
      </c>
    </row>
    <row r="177" spans="1:16">
      <c r="A177" s="2" t="s">
        <v>313</v>
      </c>
      <c r="B177" s="6" t="s">
        <v>20</v>
      </c>
      <c r="C177" s="7">
        <v>45192</v>
      </c>
      <c r="D177" s="7" t="s">
        <v>69</v>
      </c>
      <c r="E177" s="4" t="s">
        <v>111</v>
      </c>
      <c r="F177" s="4" t="s">
        <v>117</v>
      </c>
      <c r="G177" s="8">
        <v>2786</v>
      </c>
      <c r="H177" s="8" t="s">
        <v>136</v>
      </c>
      <c r="I177" s="3">
        <f>IF($H177="A VISTA", C177 + CADASTROS!$B$3, IF($H177="1+1", C177 + CADASTROS!$B$4, IF(H177="1+2", C177 + CADASTROS!$B$5, IF(H177="1+3", C177 + CADASTROS!$B$6, ""))))</f>
        <v>45193</v>
      </c>
      <c r="J177" s="8">
        <f t="shared" si="8"/>
        <v>696.5</v>
      </c>
      <c r="K177" s="3">
        <f>IF($L177&lt;&gt;"", IF($H177="A VISTA", "", IF($H177="1+1", $C177 + CADASTROS!$C$4, IF($H177="1+2", $C177 + CADASTROS!$C$5, IF($H177="1+3", $C177 + CADASTROS!$E$4, "")))), "")</f>
        <v>45192</v>
      </c>
      <c r="L177" s="8">
        <f t="shared" si="9"/>
        <v>696.5</v>
      </c>
      <c r="M177" s="3">
        <f>IF($N177&lt;&gt;"", IF($H177="A VISTA", "", IF($H177="1+1", $C177 + CADASTROS!$C$4, IF($H177="1+2", $C177 + CADASTROS!$D$5, IF($H177="1+3", $C177 + CADASTROS!$D$6, "")))), "")</f>
        <v>45237</v>
      </c>
      <c r="N177" s="8">
        <f t="shared" si="10"/>
        <v>696.5</v>
      </c>
      <c r="O177" s="3">
        <f>IF($P177&lt;&gt;"", IF($H177="A VISTA", "", IF($H177="1+1", $C177 + CADASTROS!$C$4, IF($H177="1+2", $C177 + CADASTROS!$C$5, IF($H177="1+3", $C177 + CADASTROS!$E$6, "")))), "")</f>
        <v>45252</v>
      </c>
      <c r="P177" s="8">
        <f t="shared" si="11"/>
        <v>696.5</v>
      </c>
    </row>
    <row r="178" spans="1:16">
      <c r="A178" s="2" t="s">
        <v>314</v>
      </c>
      <c r="B178" s="6" t="s">
        <v>32</v>
      </c>
      <c r="C178" s="7">
        <v>45202</v>
      </c>
      <c r="D178" s="7" t="s">
        <v>81</v>
      </c>
      <c r="E178" s="4" t="s">
        <v>110</v>
      </c>
      <c r="F178" s="4" t="s">
        <v>124</v>
      </c>
      <c r="G178" s="8">
        <v>5235</v>
      </c>
      <c r="H178" s="8" t="s">
        <v>136</v>
      </c>
      <c r="I178" s="3">
        <f>IF($H178="A VISTA", C178 + CADASTROS!$B$3, IF($H178="1+1", C178 + CADASTROS!$B$4, IF(H178="1+2", C178 + CADASTROS!$B$5, IF(H178="1+3", C178 + CADASTROS!$B$6, ""))))</f>
        <v>45203</v>
      </c>
      <c r="J178" s="8">
        <f t="shared" si="8"/>
        <v>1308.75</v>
      </c>
      <c r="K178" s="3">
        <f>IF($L178&lt;&gt;"", IF($H178="A VISTA", "", IF($H178="1+1", $C178 + CADASTROS!$C$4, IF($H178="1+2", $C178 + CADASTROS!$C$5, IF($H178="1+3", $C178 + CADASTROS!$E$4, "")))), "")</f>
        <v>45202</v>
      </c>
      <c r="L178" s="8">
        <f t="shared" si="9"/>
        <v>1308.75</v>
      </c>
      <c r="M178" s="3">
        <f>IF($N178&lt;&gt;"", IF($H178="A VISTA", "", IF($H178="1+1", $C178 + CADASTROS!$C$4, IF($H178="1+2", $C178 + CADASTROS!$D$5, IF($H178="1+3", $C178 + CADASTROS!$D$6, "")))), "")</f>
        <v>45247</v>
      </c>
      <c r="N178" s="8">
        <f t="shared" si="10"/>
        <v>1308.75</v>
      </c>
      <c r="O178" s="3">
        <f>IF($P178&lt;&gt;"", IF($H178="A VISTA", "", IF($H178="1+1", $C178 + CADASTROS!$C$4, IF($H178="1+2", $C178 + CADASTROS!$C$5, IF($H178="1+3", $C178 + CADASTROS!$E$6, "")))), "")</f>
        <v>45262</v>
      </c>
      <c r="P178" s="8">
        <f t="shared" si="11"/>
        <v>1308.75</v>
      </c>
    </row>
    <row r="179" spans="1:16">
      <c r="A179" s="2" t="s">
        <v>315</v>
      </c>
      <c r="B179" s="6" t="s">
        <v>19</v>
      </c>
      <c r="C179" s="7">
        <v>45356</v>
      </c>
      <c r="D179" s="7" t="s">
        <v>68</v>
      </c>
      <c r="E179" s="4" t="s">
        <v>111</v>
      </c>
      <c r="F179" s="4" t="s">
        <v>118</v>
      </c>
      <c r="G179" s="8">
        <v>7659</v>
      </c>
      <c r="H179" s="8" t="s">
        <v>136</v>
      </c>
      <c r="I179" s="3">
        <f>IF($H179="A VISTA", C179 + CADASTROS!$B$3, IF($H179="1+1", C179 + CADASTROS!$B$4, IF(H179="1+2", C179 + CADASTROS!$B$5, IF(H179="1+3", C179 + CADASTROS!$B$6, ""))))</f>
        <v>45357</v>
      </c>
      <c r="J179" s="8">
        <f t="shared" si="8"/>
        <v>1914.75</v>
      </c>
      <c r="K179" s="3">
        <f>IF($L179&lt;&gt;"", IF($H179="A VISTA", "", IF($H179="1+1", $C179 + CADASTROS!$C$4, IF($H179="1+2", $C179 + CADASTROS!$C$5, IF($H179="1+3", $C179 + CADASTROS!$E$4, "")))), "")</f>
        <v>45356</v>
      </c>
      <c r="L179" s="8">
        <f t="shared" si="9"/>
        <v>1914.75</v>
      </c>
      <c r="M179" s="3">
        <f>IF($N179&lt;&gt;"", IF($H179="A VISTA", "", IF($H179="1+1", $C179 + CADASTROS!$C$4, IF($H179="1+2", $C179 + CADASTROS!$D$5, IF($H179="1+3", $C179 + CADASTROS!$D$6, "")))), "")</f>
        <v>45401</v>
      </c>
      <c r="N179" s="8">
        <f t="shared" si="10"/>
        <v>1914.75</v>
      </c>
      <c r="O179" s="3">
        <f>IF($P179&lt;&gt;"", IF($H179="A VISTA", "", IF($H179="1+1", $C179 + CADASTROS!$C$4, IF($H179="1+2", $C179 + CADASTROS!$C$5, IF($H179="1+3", $C179 + CADASTROS!$E$6, "")))), "")</f>
        <v>45416</v>
      </c>
      <c r="P179" s="8">
        <f t="shared" si="11"/>
        <v>1914.75</v>
      </c>
    </row>
    <row r="180" spans="1:16">
      <c r="A180" s="2" t="s">
        <v>316</v>
      </c>
      <c r="B180" s="6" t="s">
        <v>12</v>
      </c>
      <c r="C180" s="7">
        <v>45381</v>
      </c>
      <c r="D180" s="7" t="s">
        <v>62</v>
      </c>
      <c r="E180" s="4" t="s">
        <v>112</v>
      </c>
      <c r="F180" s="4" t="s">
        <v>122</v>
      </c>
      <c r="G180" s="8">
        <v>592</v>
      </c>
      <c r="H180" s="8" t="s">
        <v>126</v>
      </c>
      <c r="I180" s="3">
        <f>IF($H180="A VISTA", C180 + CADASTROS!$B$3, IF($H180="1+1", C180 + CADASTROS!$B$4, IF(H180="1+2", C180 + CADASTROS!$B$5, IF(H180="1+3", C180 + CADASTROS!$B$6, ""))))</f>
        <v>45382</v>
      </c>
      <c r="J180" s="8">
        <f t="shared" si="8"/>
        <v>592</v>
      </c>
      <c r="K180" s="3" t="str">
        <f>IF($L180&lt;&gt;"", IF($H180="A VISTA", "", IF($H180="1+1", $C180 + CADASTROS!$C$4, IF($H180="1+2", $C180 + CADASTROS!$C$5, IF($H180="1+3", $C180 + CADASTROS!$E$4, "")))), "")</f>
        <v/>
      </c>
      <c r="L180" s="8" t="str">
        <f t="shared" si="9"/>
        <v/>
      </c>
      <c r="M180" s="3" t="str">
        <f>IF($N180&lt;&gt;"", IF($H180="A VISTA", "", IF($H180="1+1", $C180 + CADASTROS!$C$4, IF($H180="1+2", $C180 + CADASTROS!$D$5, IF($H180="1+3", $C180 + CADASTROS!$D$6, "")))), "")</f>
        <v/>
      </c>
      <c r="N180" s="8" t="str">
        <f t="shared" si="10"/>
        <v/>
      </c>
      <c r="O180" s="3" t="str">
        <f>IF($P180&lt;&gt;"", IF($H180="A VISTA", "", IF($H180="1+1", $C180 + CADASTROS!$C$4, IF($H180="1+2", $C180 + CADASTROS!$C$5, IF($H180="1+3", $C180 + CADASTROS!$E$6, "")))), "")</f>
        <v/>
      </c>
      <c r="P180" s="8" t="str">
        <f t="shared" si="11"/>
        <v/>
      </c>
    </row>
    <row r="181" spans="1:16">
      <c r="A181" s="2" t="s">
        <v>317</v>
      </c>
      <c r="B181" s="6" t="s">
        <v>52</v>
      </c>
      <c r="C181" s="7">
        <v>45066</v>
      </c>
      <c r="D181" s="7" t="s">
        <v>101</v>
      </c>
      <c r="E181" s="4" t="s">
        <v>111</v>
      </c>
      <c r="F181" s="4" t="s">
        <v>118</v>
      </c>
      <c r="G181" s="8">
        <v>6838</v>
      </c>
      <c r="H181" s="8" t="s">
        <v>126</v>
      </c>
      <c r="I181" s="3">
        <f>IF($H181="A VISTA", C181 + CADASTROS!$B$3, IF($H181="1+1", C181 + CADASTROS!$B$4, IF(H181="1+2", C181 + CADASTROS!$B$5, IF(H181="1+3", C181 + CADASTROS!$B$6, ""))))</f>
        <v>45067</v>
      </c>
      <c r="J181" s="8">
        <f t="shared" si="8"/>
        <v>6838</v>
      </c>
      <c r="K181" s="3" t="str">
        <f>IF($L181&lt;&gt;"", IF($H181="A VISTA", "", IF($H181="1+1", $C181 + CADASTROS!$C$4, IF($H181="1+2", $C181 + CADASTROS!$C$5, IF($H181="1+3", $C181 + CADASTROS!$E$4, "")))), "")</f>
        <v/>
      </c>
      <c r="L181" s="8" t="str">
        <f t="shared" si="9"/>
        <v/>
      </c>
      <c r="M181" s="3" t="str">
        <f>IF($N181&lt;&gt;"", IF($H181="A VISTA", "", IF($H181="1+1", $C181 + CADASTROS!$C$4, IF($H181="1+2", $C181 + CADASTROS!$D$5, IF($H181="1+3", $C181 + CADASTROS!$D$6, "")))), "")</f>
        <v/>
      </c>
      <c r="N181" s="8" t="str">
        <f t="shared" si="10"/>
        <v/>
      </c>
      <c r="O181" s="3" t="str">
        <f>IF($P181&lt;&gt;"", IF($H181="A VISTA", "", IF($H181="1+1", $C181 + CADASTROS!$C$4, IF($H181="1+2", $C181 + CADASTROS!$C$5, IF($H181="1+3", $C181 + CADASTROS!$E$6, "")))), "")</f>
        <v/>
      </c>
      <c r="P181" s="8" t="str">
        <f t="shared" si="11"/>
        <v/>
      </c>
    </row>
    <row r="182" spans="1:16">
      <c r="A182" s="2" t="s">
        <v>318</v>
      </c>
      <c r="B182" s="6" t="s">
        <v>60</v>
      </c>
      <c r="C182" s="7">
        <v>45349</v>
      </c>
      <c r="D182" s="7" t="s">
        <v>109</v>
      </c>
      <c r="E182" s="4" t="s">
        <v>111</v>
      </c>
      <c r="F182" s="4" t="s">
        <v>118</v>
      </c>
      <c r="G182" s="8">
        <v>7867</v>
      </c>
      <c r="H182" s="8" t="s">
        <v>137</v>
      </c>
      <c r="I182" s="3">
        <f>IF($H182="A VISTA", C182 + CADASTROS!$B$3, IF($H182="1+1", C182 + CADASTROS!$B$4, IF(H182="1+2", C182 + CADASTROS!$B$5, IF(H182="1+3", C182 + CADASTROS!$B$6, ""))))</f>
        <v>45350</v>
      </c>
      <c r="J182" s="8">
        <f t="shared" si="8"/>
        <v>2622.3333333333335</v>
      </c>
      <c r="K182" s="3">
        <f>IF($L182&lt;&gt;"", IF($H182="A VISTA", "", IF($H182="1+1", $C182 + CADASTROS!$C$4, IF($H182="1+2", $C182 + CADASTROS!$C$5, IF($H182="1+3", $C182 + CADASTROS!$E$4, "")))), "")</f>
        <v>45379</v>
      </c>
      <c r="L182" s="8">
        <f t="shared" si="9"/>
        <v>2622.3333333333335</v>
      </c>
      <c r="M182" s="3">
        <f>IF($N182&lt;&gt;"", IF($H182="A VISTA", "", IF($H182="1+1", $C182 + CADASTROS!$C$4, IF($H182="1+2", $C182 + CADASTROS!$D$5, IF($H182="1+3", $C182 + CADASTROS!$D$6, "")))), "")</f>
        <v>45394</v>
      </c>
      <c r="N182" s="8">
        <f t="shared" si="10"/>
        <v>2622.3333333333326</v>
      </c>
      <c r="O182" s="3" t="str">
        <f>IF($P182&lt;&gt;"", IF($H182="A VISTA", "", IF($H182="1+1", $C182 + CADASTROS!$C$4, IF($H182="1+2", $C182 + CADASTROS!$C$5, IF($H182="1+3", $C182 + CADASTROS!$E$6, "")))), "")</f>
        <v/>
      </c>
      <c r="P182" s="8" t="str">
        <f t="shared" si="11"/>
        <v/>
      </c>
    </row>
    <row r="183" spans="1:16">
      <c r="A183" s="2" t="s">
        <v>319</v>
      </c>
      <c r="B183" s="6" t="s">
        <v>23</v>
      </c>
      <c r="C183" s="7">
        <v>45382</v>
      </c>
      <c r="D183" s="7" t="s">
        <v>72</v>
      </c>
      <c r="E183" s="4" t="s">
        <v>110</v>
      </c>
      <c r="F183" s="4" t="s">
        <v>113</v>
      </c>
      <c r="G183" s="8">
        <v>7106</v>
      </c>
      <c r="H183" s="8" t="s">
        <v>137</v>
      </c>
      <c r="I183" s="3">
        <f>IF($H183="A VISTA", C183 + CADASTROS!$B$3, IF($H183="1+1", C183 + CADASTROS!$B$4, IF(H183="1+2", C183 + CADASTROS!$B$5, IF(H183="1+3", C183 + CADASTROS!$B$6, ""))))</f>
        <v>45383</v>
      </c>
      <c r="J183" s="8">
        <f t="shared" si="8"/>
        <v>2368.6666666666665</v>
      </c>
      <c r="K183" s="3">
        <f>IF($L183&lt;&gt;"", IF($H183="A VISTA", "", IF($H183="1+1", $C183 + CADASTROS!$C$4, IF($H183="1+2", $C183 + CADASTROS!$C$5, IF($H183="1+3", $C183 + CADASTROS!$E$4, "")))), "")</f>
        <v>45412</v>
      </c>
      <c r="L183" s="8">
        <f t="shared" si="9"/>
        <v>2368.6666666666665</v>
      </c>
      <c r="M183" s="3">
        <f>IF($N183&lt;&gt;"", IF($H183="A VISTA", "", IF($H183="1+1", $C183 + CADASTROS!$C$4, IF($H183="1+2", $C183 + CADASTROS!$D$5, IF($H183="1+3", $C183 + CADASTROS!$D$6, "")))), "")</f>
        <v>45427</v>
      </c>
      <c r="N183" s="8">
        <f t="shared" si="10"/>
        <v>2368.6666666666674</v>
      </c>
      <c r="O183" s="3" t="str">
        <f>IF($P183&lt;&gt;"", IF($H183="A VISTA", "", IF($H183="1+1", $C183 + CADASTROS!$C$4, IF($H183="1+2", $C183 + CADASTROS!$C$5, IF($H183="1+3", $C183 + CADASTROS!$E$6, "")))), "")</f>
        <v/>
      </c>
      <c r="P183" s="8" t="str">
        <f t="shared" si="11"/>
        <v/>
      </c>
    </row>
    <row r="184" spans="1:16">
      <c r="A184" s="2" t="s">
        <v>320</v>
      </c>
      <c r="B184" s="6" t="s">
        <v>54</v>
      </c>
      <c r="C184" s="7">
        <v>45156</v>
      </c>
      <c r="D184" s="7" t="s">
        <v>103</v>
      </c>
      <c r="E184" s="4" t="s">
        <v>110</v>
      </c>
      <c r="F184" s="4" t="s">
        <v>124</v>
      </c>
      <c r="G184" s="8">
        <v>6679</v>
      </c>
      <c r="H184" s="8" t="s">
        <v>137</v>
      </c>
      <c r="I184" s="3">
        <f>IF($H184="A VISTA", C184 + CADASTROS!$B$3, IF($H184="1+1", C184 + CADASTROS!$B$4, IF(H184="1+2", C184 + CADASTROS!$B$5, IF(H184="1+3", C184 + CADASTROS!$B$6, ""))))</f>
        <v>45157</v>
      </c>
      <c r="J184" s="8">
        <f t="shared" si="8"/>
        <v>2226.3333333333335</v>
      </c>
      <c r="K184" s="3">
        <f>IF($L184&lt;&gt;"", IF($H184="A VISTA", "", IF($H184="1+1", $C184 + CADASTROS!$C$4, IF($H184="1+2", $C184 + CADASTROS!$C$5, IF($H184="1+3", $C184 + CADASTROS!$E$4, "")))), "")</f>
        <v>45186</v>
      </c>
      <c r="L184" s="8">
        <f t="shared" si="9"/>
        <v>2226.3333333333335</v>
      </c>
      <c r="M184" s="3">
        <f>IF($N184&lt;&gt;"", IF($H184="A VISTA", "", IF($H184="1+1", $C184 + CADASTROS!$C$4, IF($H184="1+2", $C184 + CADASTROS!$D$5, IF($H184="1+3", $C184 + CADASTROS!$D$6, "")))), "")</f>
        <v>45201</v>
      </c>
      <c r="N184" s="8">
        <f t="shared" si="10"/>
        <v>2226.3333333333326</v>
      </c>
      <c r="O184" s="3" t="str">
        <f>IF($P184&lt;&gt;"", IF($H184="A VISTA", "", IF($H184="1+1", $C184 + CADASTROS!$C$4, IF($H184="1+2", $C184 + CADASTROS!$C$5, IF($H184="1+3", $C184 + CADASTROS!$E$6, "")))), "")</f>
        <v/>
      </c>
      <c r="P184" s="8" t="str">
        <f t="shared" si="11"/>
        <v/>
      </c>
    </row>
    <row r="185" spans="1:16">
      <c r="A185" s="2" t="s">
        <v>321</v>
      </c>
      <c r="B185" s="6" t="s">
        <v>49</v>
      </c>
      <c r="C185" s="7">
        <v>45235</v>
      </c>
      <c r="D185" s="7" t="s">
        <v>98</v>
      </c>
      <c r="E185" s="4" t="s">
        <v>110</v>
      </c>
      <c r="F185" s="4" t="s">
        <v>125</v>
      </c>
      <c r="G185" s="8">
        <v>401</v>
      </c>
      <c r="H185" s="8" t="s">
        <v>126</v>
      </c>
      <c r="I185" s="3">
        <f>IF($H185="A VISTA", C185 + CADASTROS!$B$3, IF($H185="1+1", C185 + CADASTROS!$B$4, IF(H185="1+2", C185 + CADASTROS!$B$5, IF(H185="1+3", C185 + CADASTROS!$B$6, ""))))</f>
        <v>45236</v>
      </c>
      <c r="J185" s="8">
        <f t="shared" si="8"/>
        <v>401</v>
      </c>
      <c r="K185" s="3" t="str">
        <f>IF($L185&lt;&gt;"", IF($H185="A VISTA", "", IF($H185="1+1", $C185 + CADASTROS!$C$4, IF($H185="1+2", $C185 + CADASTROS!$C$5, IF($H185="1+3", $C185 + CADASTROS!$E$4, "")))), "")</f>
        <v/>
      </c>
      <c r="L185" s="8" t="str">
        <f t="shared" si="9"/>
        <v/>
      </c>
      <c r="M185" s="3" t="str">
        <f>IF($N185&lt;&gt;"", IF($H185="A VISTA", "", IF($H185="1+1", $C185 + CADASTROS!$C$4, IF($H185="1+2", $C185 + CADASTROS!$D$5, IF($H185="1+3", $C185 + CADASTROS!$D$6, "")))), "")</f>
        <v/>
      </c>
      <c r="N185" s="8" t="str">
        <f t="shared" si="10"/>
        <v/>
      </c>
      <c r="O185" s="3" t="str">
        <f>IF($P185&lt;&gt;"", IF($H185="A VISTA", "", IF($H185="1+1", $C185 + CADASTROS!$C$4, IF($H185="1+2", $C185 + CADASTROS!$C$5, IF($H185="1+3", $C185 + CADASTROS!$E$6, "")))), "")</f>
        <v/>
      </c>
      <c r="P185" s="8" t="str">
        <f t="shared" si="11"/>
        <v/>
      </c>
    </row>
    <row r="186" spans="1:16">
      <c r="A186" s="2" t="s">
        <v>322</v>
      </c>
      <c r="B186" s="6" t="s">
        <v>31</v>
      </c>
      <c r="C186" s="7">
        <v>45261</v>
      </c>
      <c r="D186" s="7" t="s">
        <v>80</v>
      </c>
      <c r="E186" s="4" t="s">
        <v>111</v>
      </c>
      <c r="F186" s="4" t="s">
        <v>117</v>
      </c>
      <c r="G186" s="8">
        <v>9190</v>
      </c>
      <c r="H186" s="8" t="s">
        <v>138</v>
      </c>
      <c r="I186" s="3">
        <f>IF($H186="A VISTA", C186 + CADASTROS!$B$3, IF($H186="1+1", C186 + CADASTROS!$B$4, IF(H186="1+2", C186 + CADASTROS!$B$5, IF(H186="1+3", C186 + CADASTROS!$B$6, ""))))</f>
        <v>45262</v>
      </c>
      <c r="J186" s="8">
        <f t="shared" si="8"/>
        <v>4595</v>
      </c>
      <c r="K186" s="3">
        <f>IF($L186&lt;&gt;"", IF($H186="A VISTA", "", IF($H186="1+1", $C186 + CADASTROS!$C$4, IF($H186="1+2", $C186 + CADASTROS!$C$5, IF($H186="1+3", $C186 + CADASTROS!$E$4, "")))), "")</f>
        <v>45291</v>
      </c>
      <c r="L186" s="8">
        <f t="shared" si="9"/>
        <v>4595</v>
      </c>
      <c r="M186" s="3" t="str">
        <f>IF($N186&lt;&gt;"", IF($H186="A VISTA", "", IF($H186="1+1", $C186 + CADASTROS!$C$4, IF($H186="1+2", $C186 + CADASTROS!$D$5, IF($H186="1+3", $C186 + CADASTROS!$D$6, "")))), "")</f>
        <v/>
      </c>
      <c r="N186" s="8" t="str">
        <f t="shared" si="10"/>
        <v/>
      </c>
      <c r="O186" s="3" t="str">
        <f>IF($P186&lt;&gt;"", IF($H186="A VISTA", "", IF($H186="1+1", $C186 + CADASTROS!$C$4, IF($H186="1+2", $C186 + CADASTROS!$C$5, IF($H186="1+3", $C186 + CADASTROS!$E$6, "")))), "")</f>
        <v/>
      </c>
      <c r="P186" s="8" t="str">
        <f t="shared" si="11"/>
        <v/>
      </c>
    </row>
    <row r="187" spans="1:16">
      <c r="A187" s="2" t="s">
        <v>323</v>
      </c>
      <c r="B187" s="6" t="s">
        <v>26</v>
      </c>
      <c r="C187" s="7">
        <v>45226</v>
      </c>
      <c r="D187" s="7" t="s">
        <v>75</v>
      </c>
      <c r="E187" s="4" t="s">
        <v>112</v>
      </c>
      <c r="F187" s="4" t="s">
        <v>123</v>
      </c>
      <c r="G187" s="8">
        <v>6129</v>
      </c>
      <c r="H187" s="8" t="s">
        <v>126</v>
      </c>
      <c r="I187" s="3">
        <f>IF($H187="A VISTA", C187 + CADASTROS!$B$3, IF($H187="1+1", C187 + CADASTROS!$B$4, IF(H187="1+2", C187 + CADASTROS!$B$5, IF(H187="1+3", C187 + CADASTROS!$B$6, ""))))</f>
        <v>45227</v>
      </c>
      <c r="J187" s="8">
        <f t="shared" si="8"/>
        <v>6129</v>
      </c>
      <c r="K187" s="3" t="str">
        <f>IF($L187&lt;&gt;"", IF($H187="A VISTA", "", IF($H187="1+1", $C187 + CADASTROS!$C$4, IF($H187="1+2", $C187 + CADASTROS!$C$5, IF($H187="1+3", $C187 + CADASTROS!$E$4, "")))), "")</f>
        <v/>
      </c>
      <c r="L187" s="8" t="str">
        <f t="shared" si="9"/>
        <v/>
      </c>
      <c r="M187" s="3" t="str">
        <f>IF($N187&lt;&gt;"", IF($H187="A VISTA", "", IF($H187="1+1", $C187 + CADASTROS!$C$4, IF($H187="1+2", $C187 + CADASTROS!$D$5, IF($H187="1+3", $C187 + CADASTROS!$D$6, "")))), "")</f>
        <v/>
      </c>
      <c r="N187" s="8" t="str">
        <f t="shared" si="10"/>
        <v/>
      </c>
      <c r="O187" s="3" t="str">
        <f>IF($P187&lt;&gt;"", IF($H187="A VISTA", "", IF($H187="1+1", $C187 + CADASTROS!$C$4, IF($H187="1+2", $C187 + CADASTROS!$C$5, IF($H187="1+3", $C187 + CADASTROS!$E$6, "")))), "")</f>
        <v/>
      </c>
      <c r="P187" s="8" t="str">
        <f t="shared" si="11"/>
        <v/>
      </c>
    </row>
    <row r="188" spans="1:16">
      <c r="A188" s="2" t="s">
        <v>324</v>
      </c>
      <c r="B188" s="6" t="s">
        <v>25</v>
      </c>
      <c r="C188" s="7">
        <v>45172</v>
      </c>
      <c r="D188" s="7" t="s">
        <v>74</v>
      </c>
      <c r="E188" s="4" t="s">
        <v>111</v>
      </c>
      <c r="F188" s="4" t="s">
        <v>120</v>
      </c>
      <c r="G188" s="8">
        <v>4180</v>
      </c>
      <c r="H188" s="8" t="s">
        <v>137</v>
      </c>
      <c r="I188" s="3">
        <f>IF($H188="A VISTA", C188 + CADASTROS!$B$3, IF($H188="1+1", C188 + CADASTROS!$B$4, IF(H188="1+2", C188 + CADASTROS!$B$5, IF(H188="1+3", C188 + CADASTROS!$B$6, ""))))</f>
        <v>45173</v>
      </c>
      <c r="J188" s="8">
        <f t="shared" si="8"/>
        <v>1393.3333333333333</v>
      </c>
      <c r="K188" s="3">
        <f>IF($L188&lt;&gt;"", IF($H188="A VISTA", "", IF($H188="1+1", $C188 + CADASTROS!$C$4, IF($H188="1+2", $C188 + CADASTROS!$C$5, IF($H188="1+3", $C188 + CADASTROS!$E$4, "")))), "")</f>
        <v>45202</v>
      </c>
      <c r="L188" s="8">
        <f t="shared" si="9"/>
        <v>1393.3333333333333</v>
      </c>
      <c r="M188" s="3">
        <f>IF($N188&lt;&gt;"", IF($H188="A VISTA", "", IF($H188="1+1", $C188 + CADASTROS!$C$4, IF($H188="1+2", $C188 + CADASTROS!$D$5, IF($H188="1+3", $C188 + CADASTROS!$D$6, "")))), "")</f>
        <v>45217</v>
      </c>
      <c r="N188" s="8">
        <f t="shared" si="10"/>
        <v>1393.3333333333337</v>
      </c>
      <c r="O188" s="3" t="str">
        <f>IF($P188&lt;&gt;"", IF($H188="A VISTA", "", IF($H188="1+1", $C188 + CADASTROS!$C$4, IF($H188="1+2", $C188 + CADASTROS!$C$5, IF($H188="1+3", $C188 + CADASTROS!$E$6, "")))), "")</f>
        <v/>
      </c>
      <c r="P188" s="8" t="str">
        <f t="shared" si="11"/>
        <v/>
      </c>
    </row>
    <row r="189" spans="1:16">
      <c r="A189" s="2" t="s">
        <v>325</v>
      </c>
      <c r="B189" s="6" t="s">
        <v>53</v>
      </c>
      <c r="C189" s="7">
        <v>45278</v>
      </c>
      <c r="D189" s="7" t="s">
        <v>102</v>
      </c>
      <c r="E189" s="4" t="s">
        <v>111</v>
      </c>
      <c r="F189" s="4" t="s">
        <v>117</v>
      </c>
      <c r="G189" s="8">
        <v>9950</v>
      </c>
      <c r="H189" s="8" t="s">
        <v>126</v>
      </c>
      <c r="I189" s="3">
        <f>IF($H189="A VISTA", C189 + CADASTROS!$B$3, IF($H189="1+1", C189 + CADASTROS!$B$4, IF(H189="1+2", C189 + CADASTROS!$B$5, IF(H189="1+3", C189 + CADASTROS!$B$6, ""))))</f>
        <v>45279</v>
      </c>
      <c r="J189" s="8">
        <f t="shared" si="8"/>
        <v>9950</v>
      </c>
      <c r="K189" s="3" t="str">
        <f>IF($L189&lt;&gt;"", IF($H189="A VISTA", "", IF($H189="1+1", $C189 + CADASTROS!$C$4, IF($H189="1+2", $C189 + CADASTROS!$C$5, IF($H189="1+3", $C189 + CADASTROS!$E$4, "")))), "")</f>
        <v/>
      </c>
      <c r="L189" s="8" t="str">
        <f t="shared" si="9"/>
        <v/>
      </c>
      <c r="M189" s="3" t="str">
        <f>IF($N189&lt;&gt;"", IF($H189="A VISTA", "", IF($H189="1+1", $C189 + CADASTROS!$C$4, IF($H189="1+2", $C189 + CADASTROS!$D$5, IF($H189="1+3", $C189 + CADASTROS!$D$6, "")))), "")</f>
        <v/>
      </c>
      <c r="N189" s="8" t="str">
        <f t="shared" si="10"/>
        <v/>
      </c>
      <c r="O189" s="3" t="str">
        <f>IF($P189&lt;&gt;"", IF($H189="A VISTA", "", IF($H189="1+1", $C189 + CADASTROS!$C$4, IF($H189="1+2", $C189 + CADASTROS!$C$5, IF($H189="1+3", $C189 + CADASTROS!$E$6, "")))), "")</f>
        <v/>
      </c>
      <c r="P189" s="8" t="str">
        <f t="shared" si="11"/>
        <v/>
      </c>
    </row>
    <row r="190" spans="1:16">
      <c r="A190" s="2" t="s">
        <v>326</v>
      </c>
      <c r="B190" s="6" t="s">
        <v>28</v>
      </c>
      <c r="C190" s="7">
        <v>45366</v>
      </c>
      <c r="D190" s="7" t="s">
        <v>77</v>
      </c>
      <c r="E190" s="4" t="s">
        <v>110</v>
      </c>
      <c r="F190" s="4" t="s">
        <v>114</v>
      </c>
      <c r="G190" s="8">
        <v>5802</v>
      </c>
      <c r="H190" s="8" t="s">
        <v>126</v>
      </c>
      <c r="I190" s="3">
        <f>IF($H190="A VISTA", C190 + CADASTROS!$B$3, IF($H190="1+1", C190 + CADASTROS!$B$4, IF(H190="1+2", C190 + CADASTROS!$B$5, IF(H190="1+3", C190 + CADASTROS!$B$6, ""))))</f>
        <v>45367</v>
      </c>
      <c r="J190" s="8">
        <f t="shared" si="8"/>
        <v>5802</v>
      </c>
      <c r="K190" s="3" t="str">
        <f>IF($L190&lt;&gt;"", IF($H190="A VISTA", "", IF($H190="1+1", $C190 + CADASTROS!$C$4, IF($H190="1+2", $C190 + CADASTROS!$C$5, IF($H190="1+3", $C190 + CADASTROS!$E$4, "")))), "")</f>
        <v/>
      </c>
      <c r="L190" s="8" t="str">
        <f t="shared" si="9"/>
        <v/>
      </c>
      <c r="M190" s="3" t="str">
        <f>IF($N190&lt;&gt;"", IF($H190="A VISTA", "", IF($H190="1+1", $C190 + CADASTROS!$C$4, IF($H190="1+2", $C190 + CADASTROS!$D$5, IF($H190="1+3", $C190 + CADASTROS!$D$6, "")))), "")</f>
        <v/>
      </c>
      <c r="N190" s="8" t="str">
        <f t="shared" si="10"/>
        <v/>
      </c>
      <c r="O190" s="3" t="str">
        <f>IF($P190&lt;&gt;"", IF($H190="A VISTA", "", IF($H190="1+1", $C190 + CADASTROS!$C$4, IF($H190="1+2", $C190 + CADASTROS!$C$5, IF($H190="1+3", $C190 + CADASTROS!$E$6, "")))), "")</f>
        <v/>
      </c>
      <c r="P190" s="8" t="str">
        <f t="shared" si="11"/>
        <v/>
      </c>
    </row>
    <row r="191" spans="1:16">
      <c r="A191" s="2" t="s">
        <v>327</v>
      </c>
      <c r="B191" s="6" t="s">
        <v>47</v>
      </c>
      <c r="C191" s="7">
        <v>45370</v>
      </c>
      <c r="D191" s="7" t="s">
        <v>96</v>
      </c>
      <c r="E191" s="4" t="s">
        <v>111</v>
      </c>
      <c r="F191" s="4" t="s">
        <v>120</v>
      </c>
      <c r="G191" s="8">
        <v>9484</v>
      </c>
      <c r="H191" s="8" t="s">
        <v>126</v>
      </c>
      <c r="I191" s="3">
        <f>IF($H191="A VISTA", C191 + CADASTROS!$B$3, IF($H191="1+1", C191 + CADASTROS!$B$4, IF(H191="1+2", C191 + CADASTROS!$B$5, IF(H191="1+3", C191 + CADASTROS!$B$6, ""))))</f>
        <v>45371</v>
      </c>
      <c r="J191" s="8">
        <f t="shared" si="8"/>
        <v>9484</v>
      </c>
      <c r="K191" s="3" t="str">
        <f>IF($L191&lt;&gt;"", IF($H191="A VISTA", "", IF($H191="1+1", $C191 + CADASTROS!$C$4, IF($H191="1+2", $C191 + CADASTROS!$C$5, IF($H191="1+3", $C191 + CADASTROS!$E$4, "")))), "")</f>
        <v/>
      </c>
      <c r="L191" s="8" t="str">
        <f t="shared" si="9"/>
        <v/>
      </c>
      <c r="M191" s="3" t="str">
        <f>IF($N191&lt;&gt;"", IF($H191="A VISTA", "", IF($H191="1+1", $C191 + CADASTROS!$C$4, IF($H191="1+2", $C191 + CADASTROS!$D$5, IF($H191="1+3", $C191 + CADASTROS!$D$6, "")))), "")</f>
        <v/>
      </c>
      <c r="N191" s="8" t="str">
        <f t="shared" si="10"/>
        <v/>
      </c>
      <c r="O191" s="3" t="str">
        <f>IF($P191&lt;&gt;"", IF($H191="A VISTA", "", IF($H191="1+1", $C191 + CADASTROS!$C$4, IF($H191="1+2", $C191 + CADASTROS!$C$5, IF($H191="1+3", $C191 + CADASTROS!$E$6, "")))), "")</f>
        <v/>
      </c>
      <c r="P191" s="8" t="str">
        <f t="shared" si="11"/>
        <v/>
      </c>
    </row>
    <row r="192" spans="1:16">
      <c r="A192" s="2" t="s">
        <v>328</v>
      </c>
      <c r="B192" s="6" t="s">
        <v>49</v>
      </c>
      <c r="C192" s="7">
        <v>45410</v>
      </c>
      <c r="D192" s="7" t="s">
        <v>98</v>
      </c>
      <c r="E192" s="4" t="s">
        <v>110</v>
      </c>
      <c r="F192" s="4" t="s">
        <v>125</v>
      </c>
      <c r="G192" s="8">
        <v>2504</v>
      </c>
      <c r="H192" s="8" t="s">
        <v>136</v>
      </c>
      <c r="I192" s="3">
        <f>IF($H192="A VISTA", C192 + CADASTROS!$B$3, IF($H192="1+1", C192 + CADASTROS!$B$4, IF(H192="1+2", C192 + CADASTROS!$B$5, IF(H192="1+3", C192 + CADASTROS!$B$6, ""))))</f>
        <v>45411</v>
      </c>
      <c r="J192" s="8">
        <f t="shared" si="8"/>
        <v>626</v>
      </c>
      <c r="K192" s="3">
        <f>IF($L192&lt;&gt;"", IF($H192="A VISTA", "", IF($H192="1+1", $C192 + CADASTROS!$C$4, IF($H192="1+2", $C192 + CADASTROS!$C$5, IF($H192="1+3", $C192 + CADASTROS!$E$4, "")))), "")</f>
        <v>45410</v>
      </c>
      <c r="L192" s="8">
        <f t="shared" si="9"/>
        <v>626</v>
      </c>
      <c r="M192" s="3">
        <f>IF($N192&lt;&gt;"", IF($H192="A VISTA", "", IF($H192="1+1", $C192 + CADASTROS!$C$4, IF($H192="1+2", $C192 + CADASTROS!$D$5, IF($H192="1+3", $C192 + CADASTROS!$D$6, "")))), "")</f>
        <v>45455</v>
      </c>
      <c r="N192" s="8">
        <f t="shared" si="10"/>
        <v>626</v>
      </c>
      <c r="O192" s="3">
        <f>IF($P192&lt;&gt;"", IF($H192="A VISTA", "", IF($H192="1+1", $C192 + CADASTROS!$C$4, IF($H192="1+2", $C192 + CADASTROS!$C$5, IF($H192="1+3", $C192 + CADASTROS!$E$6, "")))), "")</f>
        <v>45470</v>
      </c>
      <c r="P192" s="8">
        <f t="shared" si="11"/>
        <v>626</v>
      </c>
    </row>
    <row r="193" spans="1:16">
      <c r="A193" s="2" t="s">
        <v>329</v>
      </c>
      <c r="B193" s="6" t="s">
        <v>44</v>
      </c>
      <c r="C193" s="7">
        <v>45187</v>
      </c>
      <c r="D193" s="7" t="s">
        <v>93</v>
      </c>
      <c r="E193" s="4" t="s">
        <v>111</v>
      </c>
      <c r="F193" s="4" t="s">
        <v>119</v>
      </c>
      <c r="G193" s="8">
        <v>8677</v>
      </c>
      <c r="H193" s="8" t="s">
        <v>137</v>
      </c>
      <c r="I193" s="3">
        <f>IF($H193="A VISTA", C193 + CADASTROS!$B$3, IF($H193="1+1", C193 + CADASTROS!$B$4, IF(H193="1+2", C193 + CADASTROS!$B$5, IF(H193="1+3", C193 + CADASTROS!$B$6, ""))))</f>
        <v>45188</v>
      </c>
      <c r="J193" s="8">
        <f t="shared" si="8"/>
        <v>2892.3333333333335</v>
      </c>
      <c r="K193" s="3">
        <f>IF($L193&lt;&gt;"", IF($H193="A VISTA", "", IF($H193="1+1", $C193 + CADASTROS!$C$4, IF($H193="1+2", $C193 + CADASTROS!$C$5, IF($H193="1+3", $C193 + CADASTROS!$E$4, "")))), "")</f>
        <v>45217</v>
      </c>
      <c r="L193" s="8">
        <f t="shared" si="9"/>
        <v>2892.3333333333335</v>
      </c>
      <c r="M193" s="3">
        <f>IF($N193&lt;&gt;"", IF($H193="A VISTA", "", IF($H193="1+1", $C193 + CADASTROS!$C$4, IF($H193="1+2", $C193 + CADASTROS!$D$5, IF($H193="1+3", $C193 + CADASTROS!$D$6, "")))), "")</f>
        <v>45232</v>
      </c>
      <c r="N193" s="8">
        <f t="shared" si="10"/>
        <v>2892.3333333333326</v>
      </c>
      <c r="O193" s="3" t="str">
        <f>IF($P193&lt;&gt;"", IF($H193="A VISTA", "", IF($H193="1+1", $C193 + CADASTROS!$C$4, IF($H193="1+2", $C193 + CADASTROS!$C$5, IF($H193="1+3", $C193 + CADASTROS!$E$6, "")))), "")</f>
        <v/>
      </c>
      <c r="P193" s="8" t="str">
        <f t="shared" si="11"/>
        <v/>
      </c>
    </row>
    <row r="194" spans="1:16">
      <c r="A194" s="2" t="s">
        <v>330</v>
      </c>
      <c r="B194" s="6" t="s">
        <v>41</v>
      </c>
      <c r="C194" s="7">
        <v>45318</v>
      </c>
      <c r="D194" s="7" t="s">
        <v>90</v>
      </c>
      <c r="E194" s="4" t="s">
        <v>111</v>
      </c>
      <c r="F194" s="4" t="s">
        <v>118</v>
      </c>
      <c r="G194" s="8">
        <v>1893</v>
      </c>
      <c r="H194" s="8" t="s">
        <v>126</v>
      </c>
      <c r="I194" s="3">
        <f>IF($H194="A VISTA", C194 + CADASTROS!$B$3, IF($H194="1+1", C194 + CADASTROS!$B$4, IF(H194="1+2", C194 + CADASTROS!$B$5, IF(H194="1+3", C194 + CADASTROS!$B$6, ""))))</f>
        <v>45319</v>
      </c>
      <c r="J194" s="8">
        <f t="shared" si="8"/>
        <v>1893</v>
      </c>
      <c r="K194" s="3" t="str">
        <f>IF($L194&lt;&gt;"", IF($H194="A VISTA", "", IF($H194="1+1", $C194 + CADASTROS!$C$4, IF($H194="1+2", $C194 + CADASTROS!$C$5, IF($H194="1+3", $C194 + CADASTROS!$E$4, "")))), "")</f>
        <v/>
      </c>
      <c r="L194" s="8" t="str">
        <f t="shared" si="9"/>
        <v/>
      </c>
      <c r="M194" s="3" t="str">
        <f>IF($N194&lt;&gt;"", IF($H194="A VISTA", "", IF($H194="1+1", $C194 + CADASTROS!$C$4, IF($H194="1+2", $C194 + CADASTROS!$D$5, IF($H194="1+3", $C194 + CADASTROS!$D$6, "")))), "")</f>
        <v/>
      </c>
      <c r="N194" s="8" t="str">
        <f t="shared" si="10"/>
        <v/>
      </c>
      <c r="O194" s="3" t="str">
        <f>IF($P194&lt;&gt;"", IF($H194="A VISTA", "", IF($H194="1+1", $C194 + CADASTROS!$C$4, IF($H194="1+2", $C194 + CADASTROS!$C$5, IF($H194="1+3", $C194 + CADASTROS!$E$6, "")))), "")</f>
        <v/>
      </c>
      <c r="P194" s="8" t="str">
        <f t="shared" si="11"/>
        <v/>
      </c>
    </row>
    <row r="195" spans="1:16">
      <c r="A195" s="2" t="s">
        <v>331</v>
      </c>
      <c r="B195" s="6" t="s">
        <v>18</v>
      </c>
      <c r="C195" s="7">
        <v>45417</v>
      </c>
      <c r="D195" s="7" t="s">
        <v>67</v>
      </c>
      <c r="E195" s="4" t="s">
        <v>111</v>
      </c>
      <c r="F195" s="4" t="s">
        <v>121</v>
      </c>
      <c r="G195" s="8">
        <v>8676</v>
      </c>
      <c r="H195" s="8" t="s">
        <v>126</v>
      </c>
      <c r="I195" s="3">
        <f>IF($H195="A VISTA", C195 + CADASTROS!$B$3, IF($H195="1+1", C195 + CADASTROS!$B$4, IF(H195="1+2", C195 + CADASTROS!$B$5, IF(H195="1+3", C195 + CADASTROS!$B$6, ""))))</f>
        <v>45418</v>
      </c>
      <c r="J195" s="8">
        <f t="shared" ref="J195:J258" si="12">IF($H195="A VISTA", $G195, IF($H195="1+1", $G195/2, IF($H195="1+2", $G195/3, IF($H195="1+3", $G195/4, ""))))</f>
        <v>8676</v>
      </c>
      <c r="K195" s="3" t="str">
        <f>IF($L195&lt;&gt;"", IF($H195="A VISTA", "", IF($H195="1+1", $C195 + CADASTROS!$C$4, IF($H195="1+2", $C195 + CADASTROS!$C$5, IF($H195="1+3", $C195 + CADASTROS!$E$4, "")))), "")</f>
        <v/>
      </c>
      <c r="L195" s="8" t="str">
        <f t="shared" ref="L195:L258" si="13">IF($H195="A VISTA", "", IF($H195="1+1", $G195-$J195, IF($H195="1+2", $G195/3, IF($H195="1+3", ($G195-$J195)/3, ""))))</f>
        <v/>
      </c>
      <c r="M195" s="3" t="str">
        <f>IF($N195&lt;&gt;"", IF($H195="A VISTA", "", IF($H195="1+1", $C195 + CADASTROS!$C$4, IF($H195="1+2", $C195 + CADASTROS!$D$5, IF($H195="1+3", $C195 + CADASTROS!$D$6, "")))), "")</f>
        <v/>
      </c>
      <c r="N195" s="8" t="str">
        <f t="shared" ref="N195:N258" si="14">IF($H195="A VISTA","",IF($H195="1+2",$G195-$J195-$L195,IF($H195="1+3",($G195-$J195-$L195)/2,"")))</f>
        <v/>
      </c>
      <c r="O195" s="3" t="str">
        <f>IF($P195&lt;&gt;"", IF($H195="A VISTA", "", IF($H195="1+1", $C195 + CADASTROS!$C$4, IF($H195="1+2", $C195 + CADASTROS!$C$5, IF($H195="1+3", $C195 + CADASTROS!$E$6, "")))), "")</f>
        <v/>
      </c>
      <c r="P195" s="8" t="str">
        <f t="shared" ref="P195:P258" si="15">IF($H195="A VISTA", "", IF($H195="1+3", $G195-$J195-$L195-$N195, ""))</f>
        <v/>
      </c>
    </row>
    <row r="196" spans="1:16">
      <c r="A196" s="2" t="s">
        <v>332</v>
      </c>
      <c r="B196" s="6" t="s">
        <v>12</v>
      </c>
      <c r="C196" s="7">
        <v>45478</v>
      </c>
      <c r="D196" s="7" t="s">
        <v>62</v>
      </c>
      <c r="E196" s="4" t="s">
        <v>112</v>
      </c>
      <c r="F196" s="4" t="s">
        <v>122</v>
      </c>
      <c r="G196" s="8">
        <v>5431</v>
      </c>
      <c r="H196" s="8" t="s">
        <v>126</v>
      </c>
      <c r="I196" s="3">
        <f>IF($H196="A VISTA", C196 + CADASTROS!$B$3, IF($H196="1+1", C196 + CADASTROS!$B$4, IF(H196="1+2", C196 + CADASTROS!$B$5, IF(H196="1+3", C196 + CADASTROS!$B$6, ""))))</f>
        <v>45479</v>
      </c>
      <c r="J196" s="8">
        <f t="shared" si="12"/>
        <v>5431</v>
      </c>
      <c r="K196" s="3" t="str">
        <f>IF($L196&lt;&gt;"", IF($H196="A VISTA", "", IF($H196="1+1", $C196 + CADASTROS!$C$4, IF($H196="1+2", $C196 + CADASTROS!$C$5, IF($H196="1+3", $C196 + CADASTROS!$E$4, "")))), "")</f>
        <v/>
      </c>
      <c r="L196" s="8" t="str">
        <f t="shared" si="13"/>
        <v/>
      </c>
      <c r="M196" s="3" t="str">
        <f>IF($N196&lt;&gt;"", IF($H196="A VISTA", "", IF($H196="1+1", $C196 + CADASTROS!$C$4, IF($H196="1+2", $C196 + CADASTROS!$D$5, IF($H196="1+3", $C196 + CADASTROS!$D$6, "")))), "")</f>
        <v/>
      </c>
      <c r="N196" s="8" t="str">
        <f t="shared" si="14"/>
        <v/>
      </c>
      <c r="O196" s="3" t="str">
        <f>IF($P196&lt;&gt;"", IF($H196="A VISTA", "", IF($H196="1+1", $C196 + CADASTROS!$C$4, IF($H196="1+2", $C196 + CADASTROS!$C$5, IF($H196="1+3", $C196 + CADASTROS!$E$6, "")))), "")</f>
        <v/>
      </c>
      <c r="P196" s="8" t="str">
        <f t="shared" si="15"/>
        <v/>
      </c>
    </row>
    <row r="197" spans="1:16">
      <c r="A197" s="2" t="s">
        <v>333</v>
      </c>
      <c r="B197" s="6" t="s">
        <v>39</v>
      </c>
      <c r="C197" s="7">
        <v>45145</v>
      </c>
      <c r="D197" s="7" t="s">
        <v>88</v>
      </c>
      <c r="E197" s="4" t="s">
        <v>110</v>
      </c>
      <c r="F197" s="4" t="s">
        <v>114</v>
      </c>
      <c r="G197" s="8">
        <v>1169</v>
      </c>
      <c r="H197" s="8" t="s">
        <v>126</v>
      </c>
      <c r="I197" s="3">
        <f>IF($H197="A VISTA", C197 + CADASTROS!$B$3, IF($H197="1+1", C197 + CADASTROS!$B$4, IF(H197="1+2", C197 + CADASTROS!$B$5, IF(H197="1+3", C197 + CADASTROS!$B$6, ""))))</f>
        <v>45146</v>
      </c>
      <c r="J197" s="8">
        <f t="shared" si="12"/>
        <v>1169</v>
      </c>
      <c r="K197" s="3" t="str">
        <f>IF($L197&lt;&gt;"", IF($H197="A VISTA", "", IF($H197="1+1", $C197 + CADASTROS!$C$4, IF($H197="1+2", $C197 + CADASTROS!$C$5, IF($H197="1+3", $C197 + CADASTROS!$E$4, "")))), "")</f>
        <v/>
      </c>
      <c r="L197" s="8" t="str">
        <f t="shared" si="13"/>
        <v/>
      </c>
      <c r="M197" s="3" t="str">
        <f>IF($N197&lt;&gt;"", IF($H197="A VISTA", "", IF($H197="1+1", $C197 + CADASTROS!$C$4, IF($H197="1+2", $C197 + CADASTROS!$D$5, IF($H197="1+3", $C197 + CADASTROS!$D$6, "")))), "")</f>
        <v/>
      </c>
      <c r="N197" s="8" t="str">
        <f t="shared" si="14"/>
        <v/>
      </c>
      <c r="O197" s="3" t="str">
        <f>IF($P197&lt;&gt;"", IF($H197="A VISTA", "", IF($H197="1+1", $C197 + CADASTROS!$C$4, IF($H197="1+2", $C197 + CADASTROS!$C$5, IF($H197="1+3", $C197 + CADASTROS!$E$6, "")))), "")</f>
        <v/>
      </c>
      <c r="P197" s="8" t="str">
        <f t="shared" si="15"/>
        <v/>
      </c>
    </row>
    <row r="198" spans="1:16">
      <c r="A198" s="2" t="s">
        <v>334</v>
      </c>
      <c r="B198" s="6" t="s">
        <v>53</v>
      </c>
      <c r="C198" s="7">
        <v>45477</v>
      </c>
      <c r="D198" s="7" t="s">
        <v>102</v>
      </c>
      <c r="E198" s="4" t="s">
        <v>111</v>
      </c>
      <c r="F198" s="4" t="s">
        <v>117</v>
      </c>
      <c r="G198" s="8">
        <v>7350</v>
      </c>
      <c r="H198" s="8" t="s">
        <v>136</v>
      </c>
      <c r="I198" s="3">
        <f>IF($H198="A VISTA", C198 + CADASTROS!$B$3, IF($H198="1+1", C198 + CADASTROS!$B$4, IF(H198="1+2", C198 + CADASTROS!$B$5, IF(H198="1+3", C198 + CADASTROS!$B$6, ""))))</f>
        <v>45478</v>
      </c>
      <c r="J198" s="8">
        <f t="shared" si="12"/>
        <v>1837.5</v>
      </c>
      <c r="K198" s="3">
        <f>IF($L198&lt;&gt;"", IF($H198="A VISTA", "", IF($H198="1+1", $C198 + CADASTROS!$C$4, IF($H198="1+2", $C198 + CADASTROS!$C$5, IF($H198="1+3", $C198 + CADASTROS!$E$4, "")))), "")</f>
        <v>45477</v>
      </c>
      <c r="L198" s="8">
        <f t="shared" si="13"/>
        <v>1837.5</v>
      </c>
      <c r="M198" s="3">
        <f>IF($N198&lt;&gt;"", IF($H198="A VISTA", "", IF($H198="1+1", $C198 + CADASTROS!$C$4, IF($H198="1+2", $C198 + CADASTROS!$D$5, IF($H198="1+3", $C198 + CADASTROS!$D$6, "")))), "")</f>
        <v>45522</v>
      </c>
      <c r="N198" s="8">
        <f t="shared" si="14"/>
        <v>1837.5</v>
      </c>
      <c r="O198" s="3">
        <f>IF($P198&lt;&gt;"", IF($H198="A VISTA", "", IF($H198="1+1", $C198 + CADASTROS!$C$4, IF($H198="1+2", $C198 + CADASTROS!$C$5, IF($H198="1+3", $C198 + CADASTROS!$E$6, "")))), "")</f>
        <v>45537</v>
      </c>
      <c r="P198" s="8">
        <f t="shared" si="15"/>
        <v>1837.5</v>
      </c>
    </row>
    <row r="199" spans="1:16">
      <c r="A199" s="2" t="s">
        <v>335</v>
      </c>
      <c r="B199" s="6" t="s">
        <v>34</v>
      </c>
      <c r="C199" s="7">
        <v>45342</v>
      </c>
      <c r="D199" s="7" t="s">
        <v>83</v>
      </c>
      <c r="E199" s="4" t="s">
        <v>110</v>
      </c>
      <c r="F199" s="4" t="s">
        <v>113</v>
      </c>
      <c r="G199" s="8">
        <v>2166</v>
      </c>
      <c r="H199" s="8" t="s">
        <v>137</v>
      </c>
      <c r="I199" s="3">
        <f>IF($H199="A VISTA", C199 + CADASTROS!$B$3, IF($H199="1+1", C199 + CADASTROS!$B$4, IF(H199="1+2", C199 + CADASTROS!$B$5, IF(H199="1+3", C199 + CADASTROS!$B$6, ""))))</f>
        <v>45343</v>
      </c>
      <c r="J199" s="8">
        <f t="shared" si="12"/>
        <v>722</v>
      </c>
      <c r="K199" s="3">
        <f>IF($L199&lt;&gt;"", IF($H199="A VISTA", "", IF($H199="1+1", $C199 + CADASTROS!$C$4, IF($H199="1+2", $C199 + CADASTROS!$C$5, IF($H199="1+3", $C199 + CADASTROS!$E$4, "")))), "")</f>
        <v>45372</v>
      </c>
      <c r="L199" s="8">
        <f t="shared" si="13"/>
        <v>722</v>
      </c>
      <c r="M199" s="3">
        <f>IF($N199&lt;&gt;"", IF($H199="A VISTA", "", IF($H199="1+1", $C199 + CADASTROS!$C$4, IF($H199="1+2", $C199 + CADASTROS!$D$5, IF($H199="1+3", $C199 + CADASTROS!$D$6, "")))), "")</f>
        <v>45387</v>
      </c>
      <c r="N199" s="8">
        <f t="shared" si="14"/>
        <v>722</v>
      </c>
      <c r="O199" s="3" t="str">
        <f>IF($P199&lt;&gt;"", IF($H199="A VISTA", "", IF($H199="1+1", $C199 + CADASTROS!$C$4, IF($H199="1+2", $C199 + CADASTROS!$C$5, IF($H199="1+3", $C199 + CADASTROS!$E$6, "")))), "")</f>
        <v/>
      </c>
      <c r="P199" s="8" t="str">
        <f t="shared" si="15"/>
        <v/>
      </c>
    </row>
    <row r="200" spans="1:16">
      <c r="A200" s="2" t="s">
        <v>336</v>
      </c>
      <c r="B200" s="6" t="s">
        <v>13</v>
      </c>
      <c r="C200" s="7">
        <v>45359</v>
      </c>
      <c r="D200" s="7" t="s">
        <v>63</v>
      </c>
      <c r="E200" s="4" t="s">
        <v>111</v>
      </c>
      <c r="F200" s="4" t="s">
        <v>120</v>
      </c>
      <c r="G200" s="8">
        <v>6253</v>
      </c>
      <c r="H200" s="8" t="s">
        <v>126</v>
      </c>
      <c r="I200" s="3">
        <f>IF($H200="A VISTA", C200 + CADASTROS!$B$3, IF($H200="1+1", C200 + CADASTROS!$B$4, IF(H200="1+2", C200 + CADASTROS!$B$5, IF(H200="1+3", C200 + CADASTROS!$B$6, ""))))</f>
        <v>45360</v>
      </c>
      <c r="J200" s="8">
        <f t="shared" si="12"/>
        <v>6253</v>
      </c>
      <c r="K200" s="3" t="str">
        <f>IF($L200&lt;&gt;"", IF($H200="A VISTA", "", IF($H200="1+1", $C200 + CADASTROS!$C$4, IF($H200="1+2", $C200 + CADASTROS!$C$5, IF($H200="1+3", $C200 + CADASTROS!$E$4, "")))), "")</f>
        <v/>
      </c>
      <c r="L200" s="8" t="str">
        <f t="shared" si="13"/>
        <v/>
      </c>
      <c r="M200" s="3" t="str">
        <f>IF($N200&lt;&gt;"", IF($H200="A VISTA", "", IF($H200="1+1", $C200 + CADASTROS!$C$4, IF($H200="1+2", $C200 + CADASTROS!$D$5, IF($H200="1+3", $C200 + CADASTROS!$D$6, "")))), "")</f>
        <v/>
      </c>
      <c r="N200" s="8" t="str">
        <f t="shared" si="14"/>
        <v/>
      </c>
      <c r="O200" s="3" t="str">
        <f>IF($P200&lt;&gt;"", IF($H200="A VISTA", "", IF($H200="1+1", $C200 + CADASTROS!$C$4, IF($H200="1+2", $C200 + CADASTROS!$C$5, IF($H200="1+3", $C200 + CADASTROS!$E$6, "")))), "")</f>
        <v/>
      </c>
      <c r="P200" s="8" t="str">
        <f t="shared" si="15"/>
        <v/>
      </c>
    </row>
    <row r="201" spans="1:16">
      <c r="A201" s="2" t="s">
        <v>337</v>
      </c>
      <c r="B201" s="6" t="s">
        <v>21</v>
      </c>
      <c r="C201" s="7">
        <v>45347</v>
      </c>
      <c r="D201" s="7" t="s">
        <v>70</v>
      </c>
      <c r="E201" s="4" t="s">
        <v>110</v>
      </c>
      <c r="F201" s="4" t="s">
        <v>124</v>
      </c>
      <c r="G201" s="8">
        <v>1990</v>
      </c>
      <c r="H201" s="8" t="s">
        <v>138</v>
      </c>
      <c r="I201" s="3">
        <f>IF($H201="A VISTA", C201 + CADASTROS!$B$3, IF($H201="1+1", C201 + CADASTROS!$B$4, IF(H201="1+2", C201 + CADASTROS!$B$5, IF(H201="1+3", C201 + CADASTROS!$B$6, ""))))</f>
        <v>45348</v>
      </c>
      <c r="J201" s="8">
        <f t="shared" si="12"/>
        <v>995</v>
      </c>
      <c r="K201" s="3">
        <f>IF($L201&lt;&gt;"", IF($H201="A VISTA", "", IF($H201="1+1", $C201 + CADASTROS!$C$4, IF($H201="1+2", $C201 + CADASTROS!$C$5, IF($H201="1+3", $C201 + CADASTROS!$E$4, "")))), "")</f>
        <v>45377</v>
      </c>
      <c r="L201" s="8">
        <f t="shared" si="13"/>
        <v>995</v>
      </c>
      <c r="M201" s="3" t="str">
        <f>IF($N201&lt;&gt;"", IF($H201="A VISTA", "", IF($H201="1+1", $C201 + CADASTROS!$C$4, IF($H201="1+2", $C201 + CADASTROS!$D$5, IF($H201="1+3", $C201 + CADASTROS!$D$6, "")))), "")</f>
        <v/>
      </c>
      <c r="N201" s="8" t="str">
        <f t="shared" si="14"/>
        <v/>
      </c>
      <c r="O201" s="3" t="str">
        <f>IF($P201&lt;&gt;"", IF($H201="A VISTA", "", IF($H201="1+1", $C201 + CADASTROS!$C$4, IF($H201="1+2", $C201 + CADASTROS!$C$5, IF($H201="1+3", $C201 + CADASTROS!$E$6, "")))), "")</f>
        <v/>
      </c>
      <c r="P201" s="8" t="str">
        <f t="shared" si="15"/>
        <v/>
      </c>
    </row>
    <row r="202" spans="1:16">
      <c r="A202" s="2" t="s">
        <v>338</v>
      </c>
      <c r="B202" s="6" t="s">
        <v>36</v>
      </c>
      <c r="C202" s="7">
        <v>45343</v>
      </c>
      <c r="D202" s="7" t="s">
        <v>85</v>
      </c>
      <c r="E202" s="4" t="s">
        <v>111</v>
      </c>
      <c r="F202" s="4" t="s">
        <v>120</v>
      </c>
      <c r="G202" s="8">
        <v>8804</v>
      </c>
      <c r="H202" s="8" t="s">
        <v>138</v>
      </c>
      <c r="I202" s="3">
        <f>IF($H202="A VISTA", C202 + CADASTROS!$B$3, IF($H202="1+1", C202 + CADASTROS!$B$4, IF(H202="1+2", C202 + CADASTROS!$B$5, IF(H202="1+3", C202 + CADASTROS!$B$6, ""))))</f>
        <v>45344</v>
      </c>
      <c r="J202" s="8">
        <f t="shared" si="12"/>
        <v>4402</v>
      </c>
      <c r="K202" s="3">
        <f>IF($L202&lt;&gt;"", IF($H202="A VISTA", "", IF($H202="1+1", $C202 + CADASTROS!$C$4, IF($H202="1+2", $C202 + CADASTROS!$C$5, IF($H202="1+3", $C202 + CADASTROS!$E$4, "")))), "")</f>
        <v>45373</v>
      </c>
      <c r="L202" s="8">
        <f t="shared" si="13"/>
        <v>4402</v>
      </c>
      <c r="M202" s="3" t="str">
        <f>IF($N202&lt;&gt;"", IF($H202="A VISTA", "", IF($H202="1+1", $C202 + CADASTROS!$C$4, IF($H202="1+2", $C202 + CADASTROS!$D$5, IF($H202="1+3", $C202 + CADASTROS!$D$6, "")))), "")</f>
        <v/>
      </c>
      <c r="N202" s="8" t="str">
        <f t="shared" si="14"/>
        <v/>
      </c>
      <c r="O202" s="3" t="str">
        <f>IF($P202&lt;&gt;"", IF($H202="A VISTA", "", IF($H202="1+1", $C202 + CADASTROS!$C$4, IF($H202="1+2", $C202 + CADASTROS!$C$5, IF($H202="1+3", $C202 + CADASTROS!$E$6, "")))), "")</f>
        <v/>
      </c>
      <c r="P202" s="8" t="str">
        <f t="shared" si="15"/>
        <v/>
      </c>
    </row>
    <row r="203" spans="1:16">
      <c r="A203" s="2" t="s">
        <v>339</v>
      </c>
      <c r="B203" s="6" t="s">
        <v>28</v>
      </c>
      <c r="C203" s="7">
        <v>45197</v>
      </c>
      <c r="D203" s="7" t="s">
        <v>77</v>
      </c>
      <c r="E203" s="4" t="s">
        <v>110</v>
      </c>
      <c r="F203" s="4" t="s">
        <v>114</v>
      </c>
      <c r="G203" s="8">
        <v>3706</v>
      </c>
      <c r="H203" s="8" t="s">
        <v>137</v>
      </c>
      <c r="I203" s="3">
        <f>IF($H203="A VISTA", C203 + CADASTROS!$B$3, IF($H203="1+1", C203 + CADASTROS!$B$4, IF(H203="1+2", C203 + CADASTROS!$B$5, IF(H203="1+3", C203 + CADASTROS!$B$6, ""))))</f>
        <v>45198</v>
      </c>
      <c r="J203" s="8">
        <f t="shared" si="12"/>
        <v>1235.3333333333333</v>
      </c>
      <c r="K203" s="3">
        <f>IF($L203&lt;&gt;"", IF($H203="A VISTA", "", IF($H203="1+1", $C203 + CADASTROS!$C$4, IF($H203="1+2", $C203 + CADASTROS!$C$5, IF($H203="1+3", $C203 + CADASTROS!$E$4, "")))), "")</f>
        <v>45227</v>
      </c>
      <c r="L203" s="8">
        <f t="shared" si="13"/>
        <v>1235.3333333333333</v>
      </c>
      <c r="M203" s="3">
        <f>IF($N203&lt;&gt;"", IF($H203="A VISTA", "", IF($H203="1+1", $C203 + CADASTROS!$C$4, IF($H203="1+2", $C203 + CADASTROS!$D$5, IF($H203="1+3", $C203 + CADASTROS!$D$6, "")))), "")</f>
        <v>45242</v>
      </c>
      <c r="N203" s="8">
        <f t="shared" si="14"/>
        <v>1235.3333333333337</v>
      </c>
      <c r="O203" s="3" t="str">
        <f>IF($P203&lt;&gt;"", IF($H203="A VISTA", "", IF($H203="1+1", $C203 + CADASTROS!$C$4, IF($H203="1+2", $C203 + CADASTROS!$C$5, IF($H203="1+3", $C203 + CADASTROS!$E$6, "")))), "")</f>
        <v/>
      </c>
      <c r="P203" s="8" t="str">
        <f t="shared" si="15"/>
        <v/>
      </c>
    </row>
    <row r="204" spans="1:16">
      <c r="A204" s="2" t="s">
        <v>340</v>
      </c>
      <c r="B204" s="6" t="s">
        <v>22</v>
      </c>
      <c r="C204" s="7">
        <v>45293</v>
      </c>
      <c r="D204" s="7" t="s">
        <v>71</v>
      </c>
      <c r="E204" s="4" t="s">
        <v>111</v>
      </c>
      <c r="F204" s="4" t="s">
        <v>119</v>
      </c>
      <c r="G204" s="8">
        <v>1276</v>
      </c>
      <c r="H204" s="8" t="s">
        <v>136</v>
      </c>
      <c r="I204" s="3">
        <f>IF($H204="A VISTA", C204 + CADASTROS!$B$3, IF($H204="1+1", C204 + CADASTROS!$B$4, IF(H204="1+2", C204 + CADASTROS!$B$5, IF(H204="1+3", C204 + CADASTROS!$B$6, ""))))</f>
        <v>45294</v>
      </c>
      <c r="J204" s="8">
        <f t="shared" si="12"/>
        <v>319</v>
      </c>
      <c r="K204" s="3">
        <f>IF($L204&lt;&gt;"", IF($H204="A VISTA", "", IF($H204="1+1", $C204 + CADASTROS!$C$4, IF($H204="1+2", $C204 + CADASTROS!$C$5, IF($H204="1+3", $C204 + CADASTROS!$E$4, "")))), "")</f>
        <v>45293</v>
      </c>
      <c r="L204" s="8">
        <f t="shared" si="13"/>
        <v>319</v>
      </c>
      <c r="M204" s="3">
        <f>IF($N204&lt;&gt;"", IF($H204="A VISTA", "", IF($H204="1+1", $C204 + CADASTROS!$C$4, IF($H204="1+2", $C204 + CADASTROS!$D$5, IF($H204="1+3", $C204 + CADASTROS!$D$6, "")))), "")</f>
        <v>45338</v>
      </c>
      <c r="N204" s="8">
        <f t="shared" si="14"/>
        <v>319</v>
      </c>
      <c r="O204" s="3">
        <f>IF($P204&lt;&gt;"", IF($H204="A VISTA", "", IF($H204="1+1", $C204 + CADASTROS!$C$4, IF($H204="1+2", $C204 + CADASTROS!$C$5, IF($H204="1+3", $C204 + CADASTROS!$E$6, "")))), "")</f>
        <v>45353</v>
      </c>
      <c r="P204" s="8">
        <f t="shared" si="15"/>
        <v>319</v>
      </c>
    </row>
    <row r="205" spans="1:16">
      <c r="A205" s="2" t="s">
        <v>341</v>
      </c>
      <c r="B205" s="6" t="s">
        <v>56</v>
      </c>
      <c r="C205" s="7">
        <v>45407</v>
      </c>
      <c r="D205" s="7" t="s">
        <v>105</v>
      </c>
      <c r="E205" s="4" t="s">
        <v>110</v>
      </c>
      <c r="F205" s="4" t="s">
        <v>113</v>
      </c>
      <c r="G205" s="8">
        <v>1849</v>
      </c>
      <c r="H205" s="8" t="s">
        <v>138</v>
      </c>
      <c r="I205" s="3">
        <f>IF($H205="A VISTA", C205 + CADASTROS!$B$3, IF($H205="1+1", C205 + CADASTROS!$B$4, IF(H205="1+2", C205 + CADASTROS!$B$5, IF(H205="1+3", C205 + CADASTROS!$B$6, ""))))</f>
        <v>45408</v>
      </c>
      <c r="J205" s="8">
        <f t="shared" si="12"/>
        <v>924.5</v>
      </c>
      <c r="K205" s="3">
        <f>IF($L205&lt;&gt;"", IF($H205="A VISTA", "", IF($H205="1+1", $C205 + CADASTROS!$C$4, IF($H205="1+2", $C205 + CADASTROS!$C$5, IF($H205="1+3", $C205 + CADASTROS!$E$4, "")))), "")</f>
        <v>45437</v>
      </c>
      <c r="L205" s="8">
        <f t="shared" si="13"/>
        <v>924.5</v>
      </c>
      <c r="M205" s="3" t="str">
        <f>IF($N205&lt;&gt;"", IF($H205="A VISTA", "", IF($H205="1+1", $C205 + CADASTROS!$C$4, IF($H205="1+2", $C205 + CADASTROS!$D$5, IF($H205="1+3", $C205 + CADASTROS!$D$6, "")))), "")</f>
        <v/>
      </c>
      <c r="N205" s="8" t="str">
        <f t="shared" si="14"/>
        <v/>
      </c>
      <c r="O205" s="3" t="str">
        <f>IF($P205&lt;&gt;"", IF($H205="A VISTA", "", IF($H205="1+1", $C205 + CADASTROS!$C$4, IF($H205="1+2", $C205 + CADASTROS!$C$5, IF($H205="1+3", $C205 + CADASTROS!$E$6, "")))), "")</f>
        <v/>
      </c>
      <c r="P205" s="8" t="str">
        <f t="shared" si="15"/>
        <v/>
      </c>
    </row>
    <row r="206" spans="1:16">
      <c r="A206" s="2" t="s">
        <v>342</v>
      </c>
      <c r="B206" s="6" t="s">
        <v>35</v>
      </c>
      <c r="C206" s="7">
        <v>45474</v>
      </c>
      <c r="D206" s="7" t="s">
        <v>84</v>
      </c>
      <c r="E206" s="4" t="s">
        <v>112</v>
      </c>
      <c r="F206" s="4" t="s">
        <v>122</v>
      </c>
      <c r="G206" s="8">
        <v>7586</v>
      </c>
      <c r="H206" s="8" t="s">
        <v>126</v>
      </c>
      <c r="I206" s="3">
        <f>IF($H206="A VISTA", C206 + CADASTROS!$B$3, IF($H206="1+1", C206 + CADASTROS!$B$4, IF(H206="1+2", C206 + CADASTROS!$B$5, IF(H206="1+3", C206 + CADASTROS!$B$6, ""))))</f>
        <v>45475</v>
      </c>
      <c r="J206" s="8">
        <f t="shared" si="12"/>
        <v>7586</v>
      </c>
      <c r="K206" s="3" t="str">
        <f>IF($L206&lt;&gt;"", IF($H206="A VISTA", "", IF($H206="1+1", $C206 + CADASTROS!$C$4, IF($H206="1+2", $C206 + CADASTROS!$C$5, IF($H206="1+3", $C206 + CADASTROS!$E$4, "")))), "")</f>
        <v/>
      </c>
      <c r="L206" s="8" t="str">
        <f t="shared" si="13"/>
        <v/>
      </c>
      <c r="M206" s="3" t="str">
        <f>IF($N206&lt;&gt;"", IF($H206="A VISTA", "", IF($H206="1+1", $C206 + CADASTROS!$C$4, IF($H206="1+2", $C206 + CADASTROS!$D$5, IF($H206="1+3", $C206 + CADASTROS!$D$6, "")))), "")</f>
        <v/>
      </c>
      <c r="N206" s="8" t="str">
        <f t="shared" si="14"/>
        <v/>
      </c>
      <c r="O206" s="3" t="str">
        <f>IF($P206&lt;&gt;"", IF($H206="A VISTA", "", IF($H206="1+1", $C206 + CADASTROS!$C$4, IF($H206="1+2", $C206 + CADASTROS!$C$5, IF($H206="1+3", $C206 + CADASTROS!$E$6, "")))), "")</f>
        <v/>
      </c>
      <c r="P206" s="8" t="str">
        <f t="shared" si="15"/>
        <v/>
      </c>
    </row>
    <row r="207" spans="1:16">
      <c r="A207" s="2" t="s">
        <v>343</v>
      </c>
      <c r="B207" s="6" t="s">
        <v>46</v>
      </c>
      <c r="C207" s="7">
        <v>45088</v>
      </c>
      <c r="D207" s="7" t="s">
        <v>95</v>
      </c>
      <c r="E207" s="4" t="s">
        <v>112</v>
      </c>
      <c r="F207" s="4" t="s">
        <v>122</v>
      </c>
      <c r="G207" s="8">
        <v>9322</v>
      </c>
      <c r="H207" s="8" t="s">
        <v>126</v>
      </c>
      <c r="I207" s="3">
        <f>IF($H207="A VISTA", C207 + CADASTROS!$B$3, IF($H207="1+1", C207 + CADASTROS!$B$4, IF(H207="1+2", C207 + CADASTROS!$B$5, IF(H207="1+3", C207 + CADASTROS!$B$6, ""))))</f>
        <v>45089</v>
      </c>
      <c r="J207" s="8">
        <f t="shared" si="12"/>
        <v>9322</v>
      </c>
      <c r="K207" s="3" t="str">
        <f>IF($L207&lt;&gt;"", IF($H207="A VISTA", "", IF($H207="1+1", $C207 + CADASTROS!$C$4, IF($H207="1+2", $C207 + CADASTROS!$C$5, IF($H207="1+3", $C207 + CADASTROS!$E$4, "")))), "")</f>
        <v/>
      </c>
      <c r="L207" s="8" t="str">
        <f t="shared" si="13"/>
        <v/>
      </c>
      <c r="M207" s="3" t="str">
        <f>IF($N207&lt;&gt;"", IF($H207="A VISTA", "", IF($H207="1+1", $C207 + CADASTROS!$C$4, IF($H207="1+2", $C207 + CADASTROS!$D$5, IF($H207="1+3", $C207 + CADASTROS!$D$6, "")))), "")</f>
        <v/>
      </c>
      <c r="N207" s="8" t="str">
        <f t="shared" si="14"/>
        <v/>
      </c>
      <c r="O207" s="3" t="str">
        <f>IF($P207&lt;&gt;"", IF($H207="A VISTA", "", IF($H207="1+1", $C207 + CADASTROS!$C$4, IF($H207="1+2", $C207 + CADASTROS!$C$5, IF($H207="1+3", $C207 + CADASTROS!$E$6, "")))), "")</f>
        <v/>
      </c>
      <c r="P207" s="8" t="str">
        <f t="shared" si="15"/>
        <v/>
      </c>
    </row>
    <row r="208" spans="1:16">
      <c r="A208" s="2" t="s">
        <v>344</v>
      </c>
      <c r="B208" s="6" t="s">
        <v>44</v>
      </c>
      <c r="C208" s="7">
        <v>45283</v>
      </c>
      <c r="D208" s="7" t="s">
        <v>93</v>
      </c>
      <c r="E208" s="4" t="s">
        <v>111</v>
      </c>
      <c r="F208" s="4" t="s">
        <v>119</v>
      </c>
      <c r="G208" s="8">
        <v>2547</v>
      </c>
      <c r="H208" s="8" t="s">
        <v>137</v>
      </c>
      <c r="I208" s="3">
        <f>IF($H208="A VISTA", C208 + CADASTROS!$B$3, IF($H208="1+1", C208 + CADASTROS!$B$4, IF(H208="1+2", C208 + CADASTROS!$B$5, IF(H208="1+3", C208 + CADASTROS!$B$6, ""))))</f>
        <v>45284</v>
      </c>
      <c r="J208" s="8">
        <f t="shared" si="12"/>
        <v>849</v>
      </c>
      <c r="K208" s="3">
        <f>IF($L208&lt;&gt;"", IF($H208="A VISTA", "", IF($H208="1+1", $C208 + CADASTROS!$C$4, IF($H208="1+2", $C208 + CADASTROS!$C$5, IF($H208="1+3", $C208 + CADASTROS!$E$4, "")))), "")</f>
        <v>45313</v>
      </c>
      <c r="L208" s="8">
        <f t="shared" si="13"/>
        <v>849</v>
      </c>
      <c r="M208" s="3">
        <f>IF($N208&lt;&gt;"", IF($H208="A VISTA", "", IF($H208="1+1", $C208 + CADASTROS!$C$4, IF($H208="1+2", $C208 + CADASTROS!$D$5, IF($H208="1+3", $C208 + CADASTROS!$D$6, "")))), "")</f>
        <v>45328</v>
      </c>
      <c r="N208" s="8">
        <f t="shared" si="14"/>
        <v>849</v>
      </c>
      <c r="O208" s="3" t="str">
        <f>IF($P208&lt;&gt;"", IF($H208="A VISTA", "", IF($H208="1+1", $C208 + CADASTROS!$C$4, IF($H208="1+2", $C208 + CADASTROS!$C$5, IF($H208="1+3", $C208 + CADASTROS!$E$6, "")))), "")</f>
        <v/>
      </c>
      <c r="P208" s="8" t="str">
        <f t="shared" si="15"/>
        <v/>
      </c>
    </row>
    <row r="209" spans="1:16">
      <c r="A209" s="2" t="s">
        <v>345</v>
      </c>
      <c r="B209" s="6" t="s">
        <v>40</v>
      </c>
      <c r="C209" s="7">
        <v>45436</v>
      </c>
      <c r="D209" s="7" t="s">
        <v>89</v>
      </c>
      <c r="E209" s="4" t="s">
        <v>111</v>
      </c>
      <c r="F209" s="4" t="s">
        <v>121</v>
      </c>
      <c r="G209" s="8">
        <v>2105</v>
      </c>
      <c r="H209" s="8" t="s">
        <v>126</v>
      </c>
      <c r="I209" s="3">
        <f>IF($H209="A VISTA", C209 + CADASTROS!$B$3, IF($H209="1+1", C209 + CADASTROS!$B$4, IF(H209="1+2", C209 + CADASTROS!$B$5, IF(H209="1+3", C209 + CADASTROS!$B$6, ""))))</f>
        <v>45437</v>
      </c>
      <c r="J209" s="8">
        <f t="shared" si="12"/>
        <v>2105</v>
      </c>
      <c r="K209" s="3" t="str">
        <f>IF($L209&lt;&gt;"", IF($H209="A VISTA", "", IF($H209="1+1", $C209 + CADASTROS!$C$4, IF($H209="1+2", $C209 + CADASTROS!$C$5, IF($H209="1+3", $C209 + CADASTROS!$E$4, "")))), "")</f>
        <v/>
      </c>
      <c r="L209" s="8" t="str">
        <f t="shared" si="13"/>
        <v/>
      </c>
      <c r="M209" s="3" t="str">
        <f>IF($N209&lt;&gt;"", IF($H209="A VISTA", "", IF($H209="1+1", $C209 + CADASTROS!$C$4, IF($H209="1+2", $C209 + CADASTROS!$D$5, IF($H209="1+3", $C209 + CADASTROS!$D$6, "")))), "")</f>
        <v/>
      </c>
      <c r="N209" s="8" t="str">
        <f t="shared" si="14"/>
        <v/>
      </c>
      <c r="O209" s="3" t="str">
        <f>IF($P209&lt;&gt;"", IF($H209="A VISTA", "", IF($H209="1+1", $C209 + CADASTROS!$C$4, IF($H209="1+2", $C209 + CADASTROS!$C$5, IF($H209="1+3", $C209 + CADASTROS!$E$6, "")))), "")</f>
        <v/>
      </c>
      <c r="P209" s="8" t="str">
        <f t="shared" si="15"/>
        <v/>
      </c>
    </row>
    <row r="210" spans="1:16">
      <c r="A210" s="2" t="s">
        <v>346</v>
      </c>
      <c r="B210" s="6" t="s">
        <v>18</v>
      </c>
      <c r="C210" s="7">
        <v>45160</v>
      </c>
      <c r="D210" s="7" t="s">
        <v>67</v>
      </c>
      <c r="E210" s="4" t="s">
        <v>111</v>
      </c>
      <c r="F210" s="4" t="s">
        <v>121</v>
      </c>
      <c r="G210" s="8">
        <v>9813</v>
      </c>
      <c r="H210" s="8" t="s">
        <v>138</v>
      </c>
      <c r="I210" s="3">
        <f>IF($H210="A VISTA", C210 + CADASTROS!$B$3, IF($H210="1+1", C210 + CADASTROS!$B$4, IF(H210="1+2", C210 + CADASTROS!$B$5, IF(H210="1+3", C210 + CADASTROS!$B$6, ""))))</f>
        <v>45161</v>
      </c>
      <c r="J210" s="8">
        <f t="shared" si="12"/>
        <v>4906.5</v>
      </c>
      <c r="K210" s="3">
        <f>IF($L210&lt;&gt;"", IF($H210="A VISTA", "", IF($H210="1+1", $C210 + CADASTROS!$C$4, IF($H210="1+2", $C210 + CADASTROS!$C$5, IF($H210="1+3", $C210 + CADASTROS!$E$4, "")))), "")</f>
        <v>45190</v>
      </c>
      <c r="L210" s="8">
        <f t="shared" si="13"/>
        <v>4906.5</v>
      </c>
      <c r="M210" s="3" t="str">
        <f>IF($N210&lt;&gt;"", IF($H210="A VISTA", "", IF($H210="1+1", $C210 + CADASTROS!$C$4, IF($H210="1+2", $C210 + CADASTROS!$D$5, IF($H210="1+3", $C210 + CADASTROS!$D$6, "")))), "")</f>
        <v/>
      </c>
      <c r="N210" s="8" t="str">
        <f t="shared" si="14"/>
        <v/>
      </c>
      <c r="O210" s="3" t="str">
        <f>IF($P210&lt;&gt;"", IF($H210="A VISTA", "", IF($H210="1+1", $C210 + CADASTROS!$C$4, IF($H210="1+2", $C210 + CADASTROS!$C$5, IF($H210="1+3", $C210 + CADASTROS!$E$6, "")))), "")</f>
        <v/>
      </c>
      <c r="P210" s="8" t="str">
        <f t="shared" si="15"/>
        <v/>
      </c>
    </row>
    <row r="211" spans="1:16">
      <c r="A211" s="2" t="s">
        <v>347</v>
      </c>
      <c r="B211" s="6" t="s">
        <v>50</v>
      </c>
      <c r="C211" s="7">
        <v>45391</v>
      </c>
      <c r="D211" s="7" t="s">
        <v>99</v>
      </c>
      <c r="E211" s="4" t="s">
        <v>110</v>
      </c>
      <c r="F211" s="4" t="s">
        <v>114</v>
      </c>
      <c r="G211" s="8">
        <v>9521</v>
      </c>
      <c r="H211" s="8" t="s">
        <v>126</v>
      </c>
      <c r="I211" s="3">
        <f>IF($H211="A VISTA", C211 + CADASTROS!$B$3, IF($H211="1+1", C211 + CADASTROS!$B$4, IF(H211="1+2", C211 + CADASTROS!$B$5, IF(H211="1+3", C211 + CADASTROS!$B$6, ""))))</f>
        <v>45392</v>
      </c>
      <c r="J211" s="8">
        <f t="shared" si="12"/>
        <v>9521</v>
      </c>
      <c r="K211" s="3" t="str">
        <f>IF($L211&lt;&gt;"", IF($H211="A VISTA", "", IF($H211="1+1", $C211 + CADASTROS!$C$4, IF($H211="1+2", $C211 + CADASTROS!$C$5, IF($H211="1+3", $C211 + CADASTROS!$E$4, "")))), "")</f>
        <v/>
      </c>
      <c r="L211" s="8" t="str">
        <f t="shared" si="13"/>
        <v/>
      </c>
      <c r="M211" s="3" t="str">
        <f>IF($N211&lt;&gt;"", IF($H211="A VISTA", "", IF($H211="1+1", $C211 + CADASTROS!$C$4, IF($H211="1+2", $C211 + CADASTROS!$D$5, IF($H211="1+3", $C211 + CADASTROS!$D$6, "")))), "")</f>
        <v/>
      </c>
      <c r="N211" s="8" t="str">
        <f t="shared" si="14"/>
        <v/>
      </c>
      <c r="O211" s="3" t="str">
        <f>IF($P211&lt;&gt;"", IF($H211="A VISTA", "", IF($H211="1+1", $C211 + CADASTROS!$C$4, IF($H211="1+2", $C211 + CADASTROS!$C$5, IF($H211="1+3", $C211 + CADASTROS!$E$6, "")))), "")</f>
        <v/>
      </c>
      <c r="P211" s="8" t="str">
        <f t="shared" si="15"/>
        <v/>
      </c>
    </row>
    <row r="212" spans="1:16">
      <c r="A212" s="2" t="s">
        <v>348</v>
      </c>
      <c r="B212" s="6" t="s">
        <v>36</v>
      </c>
      <c r="C212" s="7">
        <v>45371</v>
      </c>
      <c r="D212" s="7" t="s">
        <v>85</v>
      </c>
      <c r="E212" s="4" t="s">
        <v>111</v>
      </c>
      <c r="F212" s="4" t="s">
        <v>120</v>
      </c>
      <c r="G212" s="8">
        <v>5979</v>
      </c>
      <c r="H212" s="8" t="s">
        <v>126</v>
      </c>
      <c r="I212" s="3">
        <f>IF($H212="A VISTA", C212 + CADASTROS!$B$3, IF($H212="1+1", C212 + CADASTROS!$B$4, IF(H212="1+2", C212 + CADASTROS!$B$5, IF(H212="1+3", C212 + CADASTROS!$B$6, ""))))</f>
        <v>45372</v>
      </c>
      <c r="J212" s="8">
        <f t="shared" si="12"/>
        <v>5979</v>
      </c>
      <c r="K212" s="3" t="str">
        <f>IF($L212&lt;&gt;"", IF($H212="A VISTA", "", IF($H212="1+1", $C212 + CADASTROS!$C$4, IF($H212="1+2", $C212 + CADASTROS!$C$5, IF($H212="1+3", $C212 + CADASTROS!$E$4, "")))), "")</f>
        <v/>
      </c>
      <c r="L212" s="8" t="str">
        <f t="shared" si="13"/>
        <v/>
      </c>
      <c r="M212" s="3" t="str">
        <f>IF($N212&lt;&gt;"", IF($H212="A VISTA", "", IF($H212="1+1", $C212 + CADASTROS!$C$4, IF($H212="1+2", $C212 + CADASTROS!$D$5, IF($H212="1+3", $C212 + CADASTROS!$D$6, "")))), "")</f>
        <v/>
      </c>
      <c r="N212" s="8" t="str">
        <f t="shared" si="14"/>
        <v/>
      </c>
      <c r="O212" s="3" t="str">
        <f>IF($P212&lt;&gt;"", IF($H212="A VISTA", "", IF($H212="1+1", $C212 + CADASTROS!$C$4, IF($H212="1+2", $C212 + CADASTROS!$C$5, IF($H212="1+3", $C212 + CADASTROS!$E$6, "")))), "")</f>
        <v/>
      </c>
      <c r="P212" s="8" t="str">
        <f t="shared" si="15"/>
        <v/>
      </c>
    </row>
    <row r="213" spans="1:16">
      <c r="A213" s="2" t="s">
        <v>349</v>
      </c>
      <c r="B213" s="6" t="s">
        <v>40</v>
      </c>
      <c r="C213" s="7">
        <v>45404</v>
      </c>
      <c r="D213" s="7" t="s">
        <v>89</v>
      </c>
      <c r="E213" s="4" t="s">
        <v>111</v>
      </c>
      <c r="F213" s="4" t="s">
        <v>121</v>
      </c>
      <c r="G213" s="8">
        <v>4704</v>
      </c>
      <c r="H213" s="8" t="s">
        <v>137</v>
      </c>
      <c r="I213" s="3">
        <f>IF($H213="A VISTA", C213 + CADASTROS!$B$3, IF($H213="1+1", C213 + CADASTROS!$B$4, IF(H213="1+2", C213 + CADASTROS!$B$5, IF(H213="1+3", C213 + CADASTROS!$B$6, ""))))</f>
        <v>45405</v>
      </c>
      <c r="J213" s="8">
        <f t="shared" si="12"/>
        <v>1568</v>
      </c>
      <c r="K213" s="3">
        <f>IF($L213&lt;&gt;"", IF($H213="A VISTA", "", IF($H213="1+1", $C213 + CADASTROS!$C$4, IF($H213="1+2", $C213 + CADASTROS!$C$5, IF($H213="1+3", $C213 + CADASTROS!$E$4, "")))), "")</f>
        <v>45434</v>
      </c>
      <c r="L213" s="8">
        <f t="shared" si="13"/>
        <v>1568</v>
      </c>
      <c r="M213" s="3">
        <f>IF($N213&lt;&gt;"", IF($H213="A VISTA", "", IF($H213="1+1", $C213 + CADASTROS!$C$4, IF($H213="1+2", $C213 + CADASTROS!$D$5, IF($H213="1+3", $C213 + CADASTROS!$D$6, "")))), "")</f>
        <v>45449</v>
      </c>
      <c r="N213" s="8">
        <f t="shared" si="14"/>
        <v>1568</v>
      </c>
      <c r="O213" s="3" t="str">
        <f>IF($P213&lt;&gt;"", IF($H213="A VISTA", "", IF($H213="1+1", $C213 + CADASTROS!$C$4, IF($H213="1+2", $C213 + CADASTROS!$C$5, IF($H213="1+3", $C213 + CADASTROS!$E$6, "")))), "")</f>
        <v/>
      </c>
      <c r="P213" s="8" t="str">
        <f t="shared" si="15"/>
        <v/>
      </c>
    </row>
    <row r="214" spans="1:16">
      <c r="A214" s="2" t="s">
        <v>350</v>
      </c>
      <c r="B214" s="6" t="s">
        <v>28</v>
      </c>
      <c r="C214" s="7">
        <v>45141</v>
      </c>
      <c r="D214" s="7" t="s">
        <v>77</v>
      </c>
      <c r="E214" s="4" t="s">
        <v>110</v>
      </c>
      <c r="F214" s="4" t="s">
        <v>114</v>
      </c>
      <c r="G214" s="8">
        <v>2123</v>
      </c>
      <c r="H214" s="8" t="s">
        <v>137</v>
      </c>
      <c r="I214" s="3">
        <f>IF($H214="A VISTA", C214 + CADASTROS!$B$3, IF($H214="1+1", C214 + CADASTROS!$B$4, IF(H214="1+2", C214 + CADASTROS!$B$5, IF(H214="1+3", C214 + CADASTROS!$B$6, ""))))</f>
        <v>45142</v>
      </c>
      <c r="J214" s="8">
        <f t="shared" si="12"/>
        <v>707.66666666666663</v>
      </c>
      <c r="K214" s="3">
        <f>IF($L214&lt;&gt;"", IF($H214="A VISTA", "", IF($H214="1+1", $C214 + CADASTROS!$C$4, IF($H214="1+2", $C214 + CADASTROS!$C$5, IF($H214="1+3", $C214 + CADASTROS!$E$4, "")))), "")</f>
        <v>45171</v>
      </c>
      <c r="L214" s="8">
        <f t="shared" si="13"/>
        <v>707.66666666666663</v>
      </c>
      <c r="M214" s="3">
        <f>IF($N214&lt;&gt;"", IF($H214="A VISTA", "", IF($H214="1+1", $C214 + CADASTROS!$C$4, IF($H214="1+2", $C214 + CADASTROS!$D$5, IF($H214="1+3", $C214 + CADASTROS!$D$6, "")))), "")</f>
        <v>45186</v>
      </c>
      <c r="N214" s="8">
        <f t="shared" si="14"/>
        <v>707.66666666666686</v>
      </c>
      <c r="O214" s="3" t="str">
        <f>IF($P214&lt;&gt;"", IF($H214="A VISTA", "", IF($H214="1+1", $C214 + CADASTROS!$C$4, IF($H214="1+2", $C214 + CADASTROS!$C$5, IF($H214="1+3", $C214 + CADASTROS!$E$6, "")))), "")</f>
        <v/>
      </c>
      <c r="P214" s="8" t="str">
        <f t="shared" si="15"/>
        <v/>
      </c>
    </row>
    <row r="215" spans="1:16">
      <c r="A215" s="2" t="s">
        <v>351</v>
      </c>
      <c r="B215" s="6" t="s">
        <v>32</v>
      </c>
      <c r="C215" s="7">
        <v>45444</v>
      </c>
      <c r="D215" s="7" t="s">
        <v>81</v>
      </c>
      <c r="E215" s="4" t="s">
        <v>110</v>
      </c>
      <c r="F215" s="4" t="s">
        <v>124</v>
      </c>
      <c r="G215" s="8">
        <v>3341</v>
      </c>
      <c r="H215" s="8" t="s">
        <v>126</v>
      </c>
      <c r="I215" s="3">
        <f>IF($H215="A VISTA", C215 + CADASTROS!$B$3, IF($H215="1+1", C215 + CADASTROS!$B$4, IF(H215="1+2", C215 + CADASTROS!$B$5, IF(H215="1+3", C215 + CADASTROS!$B$6, ""))))</f>
        <v>45445</v>
      </c>
      <c r="J215" s="8">
        <f t="shared" si="12"/>
        <v>3341</v>
      </c>
      <c r="K215" s="3" t="str">
        <f>IF($L215&lt;&gt;"", IF($H215="A VISTA", "", IF($H215="1+1", $C215 + CADASTROS!$C$4, IF($H215="1+2", $C215 + CADASTROS!$C$5, IF($H215="1+3", $C215 + CADASTROS!$E$4, "")))), "")</f>
        <v/>
      </c>
      <c r="L215" s="8" t="str">
        <f t="shared" si="13"/>
        <v/>
      </c>
      <c r="M215" s="3" t="str">
        <f>IF($N215&lt;&gt;"", IF($H215="A VISTA", "", IF($H215="1+1", $C215 + CADASTROS!$C$4, IF($H215="1+2", $C215 + CADASTROS!$D$5, IF($H215="1+3", $C215 + CADASTROS!$D$6, "")))), "")</f>
        <v/>
      </c>
      <c r="N215" s="8" t="str">
        <f t="shared" si="14"/>
        <v/>
      </c>
      <c r="O215" s="3" t="str">
        <f>IF($P215&lt;&gt;"", IF($H215="A VISTA", "", IF($H215="1+1", $C215 + CADASTROS!$C$4, IF($H215="1+2", $C215 + CADASTROS!$C$5, IF($H215="1+3", $C215 + CADASTROS!$E$6, "")))), "")</f>
        <v/>
      </c>
      <c r="P215" s="8" t="str">
        <f t="shared" si="15"/>
        <v/>
      </c>
    </row>
    <row r="216" spans="1:16">
      <c r="A216" s="2" t="s">
        <v>352</v>
      </c>
      <c r="B216" s="6" t="s">
        <v>15</v>
      </c>
      <c r="C216" s="7">
        <v>45269</v>
      </c>
      <c r="D216" s="7" t="s">
        <v>64</v>
      </c>
      <c r="E216" s="4" t="s">
        <v>112</v>
      </c>
      <c r="F216" s="4" t="s">
        <v>123</v>
      </c>
      <c r="G216" s="8">
        <v>5561</v>
      </c>
      <c r="H216" s="8" t="s">
        <v>126</v>
      </c>
      <c r="I216" s="3">
        <f>IF($H216="A VISTA", C216 + CADASTROS!$B$3, IF($H216="1+1", C216 + CADASTROS!$B$4, IF(H216="1+2", C216 + CADASTROS!$B$5, IF(H216="1+3", C216 + CADASTROS!$B$6, ""))))</f>
        <v>45270</v>
      </c>
      <c r="J216" s="8">
        <f t="shared" si="12"/>
        <v>5561</v>
      </c>
      <c r="K216" s="3" t="str">
        <f>IF($L216&lt;&gt;"", IF($H216="A VISTA", "", IF($H216="1+1", $C216 + CADASTROS!$C$4, IF($H216="1+2", $C216 + CADASTROS!$C$5, IF($H216="1+3", $C216 + CADASTROS!$E$4, "")))), "")</f>
        <v/>
      </c>
      <c r="L216" s="8" t="str">
        <f t="shared" si="13"/>
        <v/>
      </c>
      <c r="M216" s="3" t="str">
        <f>IF($N216&lt;&gt;"", IF($H216="A VISTA", "", IF($H216="1+1", $C216 + CADASTROS!$C$4, IF($H216="1+2", $C216 + CADASTROS!$D$5, IF($H216="1+3", $C216 + CADASTROS!$D$6, "")))), "")</f>
        <v/>
      </c>
      <c r="N216" s="8" t="str">
        <f t="shared" si="14"/>
        <v/>
      </c>
      <c r="O216" s="3" t="str">
        <f>IF($P216&lt;&gt;"", IF($H216="A VISTA", "", IF($H216="1+1", $C216 + CADASTROS!$C$4, IF($H216="1+2", $C216 + CADASTROS!$C$5, IF($H216="1+3", $C216 + CADASTROS!$E$6, "")))), "")</f>
        <v/>
      </c>
      <c r="P216" s="8" t="str">
        <f t="shared" si="15"/>
        <v/>
      </c>
    </row>
    <row r="217" spans="1:16">
      <c r="A217" s="2" t="s">
        <v>353</v>
      </c>
      <c r="B217" s="6" t="s">
        <v>27</v>
      </c>
      <c r="C217" s="7">
        <v>45256</v>
      </c>
      <c r="D217" s="7" t="s">
        <v>76</v>
      </c>
      <c r="E217" s="4" t="s">
        <v>110</v>
      </c>
      <c r="F217" s="4" t="s">
        <v>125</v>
      </c>
      <c r="G217" s="8">
        <v>9010</v>
      </c>
      <c r="H217" s="8" t="s">
        <v>137</v>
      </c>
      <c r="I217" s="3">
        <f>IF($H217="A VISTA", C217 + CADASTROS!$B$3, IF($H217="1+1", C217 + CADASTROS!$B$4, IF(H217="1+2", C217 + CADASTROS!$B$5, IF(H217="1+3", C217 + CADASTROS!$B$6, ""))))</f>
        <v>45257</v>
      </c>
      <c r="J217" s="8">
        <f t="shared" si="12"/>
        <v>3003.3333333333335</v>
      </c>
      <c r="K217" s="3">
        <f>IF($L217&lt;&gt;"", IF($H217="A VISTA", "", IF($H217="1+1", $C217 + CADASTROS!$C$4, IF($H217="1+2", $C217 + CADASTROS!$C$5, IF($H217="1+3", $C217 + CADASTROS!$E$4, "")))), "")</f>
        <v>45286</v>
      </c>
      <c r="L217" s="8">
        <f t="shared" si="13"/>
        <v>3003.3333333333335</v>
      </c>
      <c r="M217" s="3">
        <f>IF($N217&lt;&gt;"", IF($H217="A VISTA", "", IF($H217="1+1", $C217 + CADASTROS!$C$4, IF($H217="1+2", $C217 + CADASTROS!$D$5, IF($H217="1+3", $C217 + CADASTROS!$D$6, "")))), "")</f>
        <v>45301</v>
      </c>
      <c r="N217" s="8">
        <f t="shared" si="14"/>
        <v>3003.3333333333326</v>
      </c>
      <c r="O217" s="3" t="str">
        <f>IF($P217&lt;&gt;"", IF($H217="A VISTA", "", IF($H217="1+1", $C217 + CADASTROS!$C$4, IF($H217="1+2", $C217 + CADASTROS!$C$5, IF($H217="1+3", $C217 + CADASTROS!$E$6, "")))), "")</f>
        <v/>
      </c>
      <c r="P217" s="8" t="str">
        <f t="shared" si="15"/>
        <v/>
      </c>
    </row>
    <row r="218" spans="1:16">
      <c r="A218" s="2" t="s">
        <v>354</v>
      </c>
      <c r="B218" s="6" t="s">
        <v>30</v>
      </c>
      <c r="C218" s="7">
        <v>45361</v>
      </c>
      <c r="D218" s="7" t="s">
        <v>79</v>
      </c>
      <c r="E218" s="4" t="s">
        <v>111</v>
      </c>
      <c r="F218" s="4" t="s">
        <v>118</v>
      </c>
      <c r="G218" s="8">
        <v>9426</v>
      </c>
      <c r="H218" s="8" t="s">
        <v>138</v>
      </c>
      <c r="I218" s="3">
        <f>IF($H218="A VISTA", C218 + CADASTROS!$B$3, IF($H218="1+1", C218 + CADASTROS!$B$4, IF(H218="1+2", C218 + CADASTROS!$B$5, IF(H218="1+3", C218 + CADASTROS!$B$6, ""))))</f>
        <v>45362</v>
      </c>
      <c r="J218" s="8">
        <f t="shared" si="12"/>
        <v>4713</v>
      </c>
      <c r="K218" s="3">
        <f>IF($L218&lt;&gt;"", IF($H218="A VISTA", "", IF($H218="1+1", $C218 + CADASTROS!$C$4, IF($H218="1+2", $C218 + CADASTROS!$C$5, IF($H218="1+3", $C218 + CADASTROS!$E$4, "")))), "")</f>
        <v>45391</v>
      </c>
      <c r="L218" s="8">
        <f t="shared" si="13"/>
        <v>4713</v>
      </c>
      <c r="M218" s="3" t="str">
        <f>IF($N218&lt;&gt;"", IF($H218="A VISTA", "", IF($H218="1+1", $C218 + CADASTROS!$C$4, IF($H218="1+2", $C218 + CADASTROS!$D$5, IF($H218="1+3", $C218 + CADASTROS!$D$6, "")))), "")</f>
        <v/>
      </c>
      <c r="N218" s="8" t="str">
        <f t="shared" si="14"/>
        <v/>
      </c>
      <c r="O218" s="3" t="str">
        <f>IF($P218&lt;&gt;"", IF($H218="A VISTA", "", IF($H218="1+1", $C218 + CADASTROS!$C$4, IF($H218="1+2", $C218 + CADASTROS!$C$5, IF($H218="1+3", $C218 + CADASTROS!$E$6, "")))), "")</f>
        <v/>
      </c>
      <c r="P218" s="8" t="str">
        <f t="shared" si="15"/>
        <v/>
      </c>
    </row>
    <row r="219" spans="1:16">
      <c r="A219" s="2" t="s">
        <v>355</v>
      </c>
      <c r="B219" s="6" t="s">
        <v>49</v>
      </c>
      <c r="C219" s="7">
        <v>45268</v>
      </c>
      <c r="D219" s="7" t="s">
        <v>98</v>
      </c>
      <c r="E219" s="4" t="s">
        <v>110</v>
      </c>
      <c r="F219" s="4" t="s">
        <v>125</v>
      </c>
      <c r="G219" s="8">
        <v>2215</v>
      </c>
      <c r="H219" s="8" t="s">
        <v>137</v>
      </c>
      <c r="I219" s="3">
        <f>IF($H219="A VISTA", C219 + CADASTROS!$B$3, IF($H219="1+1", C219 + CADASTROS!$B$4, IF(H219="1+2", C219 + CADASTROS!$B$5, IF(H219="1+3", C219 + CADASTROS!$B$6, ""))))</f>
        <v>45269</v>
      </c>
      <c r="J219" s="8">
        <f t="shared" si="12"/>
        <v>738.33333333333337</v>
      </c>
      <c r="K219" s="3">
        <f>IF($L219&lt;&gt;"", IF($H219="A VISTA", "", IF($H219="1+1", $C219 + CADASTROS!$C$4, IF($H219="1+2", $C219 + CADASTROS!$C$5, IF($H219="1+3", $C219 + CADASTROS!$E$4, "")))), "")</f>
        <v>45298</v>
      </c>
      <c r="L219" s="8">
        <f t="shared" si="13"/>
        <v>738.33333333333337</v>
      </c>
      <c r="M219" s="3">
        <f>IF($N219&lt;&gt;"", IF($H219="A VISTA", "", IF($H219="1+1", $C219 + CADASTROS!$C$4, IF($H219="1+2", $C219 + CADASTROS!$D$5, IF($H219="1+3", $C219 + CADASTROS!$D$6, "")))), "")</f>
        <v>45313</v>
      </c>
      <c r="N219" s="8">
        <f t="shared" si="14"/>
        <v>738.33333333333314</v>
      </c>
      <c r="O219" s="3" t="str">
        <f>IF($P219&lt;&gt;"", IF($H219="A VISTA", "", IF($H219="1+1", $C219 + CADASTROS!$C$4, IF($H219="1+2", $C219 + CADASTROS!$C$5, IF($H219="1+3", $C219 + CADASTROS!$E$6, "")))), "")</f>
        <v/>
      </c>
      <c r="P219" s="8" t="str">
        <f t="shared" si="15"/>
        <v/>
      </c>
    </row>
    <row r="220" spans="1:16">
      <c r="A220" s="2" t="s">
        <v>356</v>
      </c>
      <c r="B220" s="6" t="s">
        <v>39</v>
      </c>
      <c r="C220" s="7">
        <v>45334</v>
      </c>
      <c r="D220" s="7" t="s">
        <v>88</v>
      </c>
      <c r="E220" s="4" t="s">
        <v>110</v>
      </c>
      <c r="F220" s="4" t="s">
        <v>114</v>
      </c>
      <c r="G220" s="8">
        <v>3173</v>
      </c>
      <c r="H220" s="8" t="s">
        <v>138</v>
      </c>
      <c r="I220" s="3">
        <f>IF($H220="A VISTA", C220 + CADASTROS!$B$3, IF($H220="1+1", C220 + CADASTROS!$B$4, IF(H220="1+2", C220 + CADASTROS!$B$5, IF(H220="1+3", C220 + CADASTROS!$B$6, ""))))</f>
        <v>45335</v>
      </c>
      <c r="J220" s="8">
        <f t="shared" si="12"/>
        <v>1586.5</v>
      </c>
      <c r="K220" s="3">
        <f>IF($L220&lt;&gt;"", IF($H220="A VISTA", "", IF($H220="1+1", $C220 + CADASTROS!$C$4, IF($H220="1+2", $C220 + CADASTROS!$C$5, IF($H220="1+3", $C220 + CADASTROS!$E$4, "")))), "")</f>
        <v>45364</v>
      </c>
      <c r="L220" s="8">
        <f t="shared" si="13"/>
        <v>1586.5</v>
      </c>
      <c r="M220" s="3" t="str">
        <f>IF($N220&lt;&gt;"", IF($H220="A VISTA", "", IF($H220="1+1", $C220 + CADASTROS!$C$4, IF($H220="1+2", $C220 + CADASTROS!$D$5, IF($H220="1+3", $C220 + CADASTROS!$D$6, "")))), "")</f>
        <v/>
      </c>
      <c r="N220" s="8" t="str">
        <f t="shared" si="14"/>
        <v/>
      </c>
      <c r="O220" s="3" t="str">
        <f>IF($P220&lt;&gt;"", IF($H220="A VISTA", "", IF($H220="1+1", $C220 + CADASTROS!$C$4, IF($H220="1+2", $C220 + CADASTROS!$C$5, IF($H220="1+3", $C220 + CADASTROS!$E$6, "")))), "")</f>
        <v/>
      </c>
      <c r="P220" s="8" t="str">
        <f t="shared" si="15"/>
        <v/>
      </c>
    </row>
    <row r="221" spans="1:16">
      <c r="A221" s="2" t="s">
        <v>357</v>
      </c>
      <c r="B221" s="6" t="s">
        <v>45</v>
      </c>
      <c r="C221" s="7">
        <v>45498</v>
      </c>
      <c r="D221" s="7" t="s">
        <v>94</v>
      </c>
      <c r="E221" s="4" t="s">
        <v>110</v>
      </c>
      <c r="F221" s="4" t="s">
        <v>113</v>
      </c>
      <c r="G221" s="8">
        <v>6591</v>
      </c>
      <c r="H221" s="8" t="s">
        <v>126</v>
      </c>
      <c r="I221" s="3">
        <f>IF($H221="A VISTA", C221 + CADASTROS!$B$3, IF($H221="1+1", C221 + CADASTROS!$B$4, IF(H221="1+2", C221 + CADASTROS!$B$5, IF(H221="1+3", C221 + CADASTROS!$B$6, ""))))</f>
        <v>45499</v>
      </c>
      <c r="J221" s="8">
        <f t="shared" si="12"/>
        <v>6591</v>
      </c>
      <c r="K221" s="3" t="str">
        <f>IF($L221&lt;&gt;"", IF($H221="A VISTA", "", IF($H221="1+1", $C221 + CADASTROS!$C$4, IF($H221="1+2", $C221 + CADASTROS!$C$5, IF($H221="1+3", $C221 + CADASTROS!$E$4, "")))), "")</f>
        <v/>
      </c>
      <c r="L221" s="8" t="str">
        <f t="shared" si="13"/>
        <v/>
      </c>
      <c r="M221" s="3" t="str">
        <f>IF($N221&lt;&gt;"", IF($H221="A VISTA", "", IF($H221="1+1", $C221 + CADASTROS!$C$4, IF($H221="1+2", $C221 + CADASTROS!$D$5, IF($H221="1+3", $C221 + CADASTROS!$D$6, "")))), "")</f>
        <v/>
      </c>
      <c r="N221" s="8" t="str">
        <f t="shared" si="14"/>
        <v/>
      </c>
      <c r="O221" s="3" t="str">
        <f>IF($P221&lt;&gt;"", IF($H221="A VISTA", "", IF($H221="1+1", $C221 + CADASTROS!$C$4, IF($H221="1+2", $C221 + CADASTROS!$C$5, IF($H221="1+3", $C221 + CADASTROS!$E$6, "")))), "")</f>
        <v/>
      </c>
      <c r="P221" s="8" t="str">
        <f t="shared" si="15"/>
        <v/>
      </c>
    </row>
    <row r="222" spans="1:16">
      <c r="A222" s="2" t="s">
        <v>358</v>
      </c>
      <c r="B222" s="6" t="s">
        <v>15</v>
      </c>
      <c r="C222" s="7">
        <v>45517</v>
      </c>
      <c r="D222" s="7" t="s">
        <v>64</v>
      </c>
      <c r="E222" s="4" t="s">
        <v>112</v>
      </c>
      <c r="F222" s="4" t="s">
        <v>123</v>
      </c>
      <c r="G222" s="8">
        <v>9169</v>
      </c>
      <c r="H222" s="8" t="s">
        <v>126</v>
      </c>
      <c r="I222" s="3">
        <f>IF($H222="A VISTA", C222 + CADASTROS!$B$3, IF($H222="1+1", C222 + CADASTROS!$B$4, IF(H222="1+2", C222 + CADASTROS!$B$5, IF(H222="1+3", C222 + CADASTROS!$B$6, ""))))</f>
        <v>45518</v>
      </c>
      <c r="J222" s="8">
        <f t="shared" si="12"/>
        <v>9169</v>
      </c>
      <c r="K222" s="3" t="str">
        <f>IF($L222&lt;&gt;"", IF($H222="A VISTA", "", IF($H222="1+1", $C222 + CADASTROS!$C$4, IF($H222="1+2", $C222 + CADASTROS!$C$5, IF($H222="1+3", $C222 + CADASTROS!$E$4, "")))), "")</f>
        <v/>
      </c>
      <c r="L222" s="8" t="str">
        <f t="shared" si="13"/>
        <v/>
      </c>
      <c r="M222" s="3" t="str">
        <f>IF($N222&lt;&gt;"", IF($H222="A VISTA", "", IF($H222="1+1", $C222 + CADASTROS!$C$4, IF($H222="1+2", $C222 + CADASTROS!$D$5, IF($H222="1+3", $C222 + CADASTROS!$D$6, "")))), "")</f>
        <v/>
      </c>
      <c r="N222" s="8" t="str">
        <f t="shared" si="14"/>
        <v/>
      </c>
      <c r="O222" s="3" t="str">
        <f>IF($P222&lt;&gt;"", IF($H222="A VISTA", "", IF($H222="1+1", $C222 + CADASTROS!$C$4, IF($H222="1+2", $C222 + CADASTROS!$C$5, IF($H222="1+3", $C222 + CADASTROS!$E$6, "")))), "")</f>
        <v/>
      </c>
      <c r="P222" s="8" t="str">
        <f t="shared" si="15"/>
        <v/>
      </c>
    </row>
    <row r="223" spans="1:16">
      <c r="A223" s="2" t="s">
        <v>359</v>
      </c>
      <c r="B223" s="6" t="s">
        <v>18</v>
      </c>
      <c r="C223" s="7">
        <v>45380</v>
      </c>
      <c r="D223" s="7" t="s">
        <v>67</v>
      </c>
      <c r="E223" s="4" t="s">
        <v>111</v>
      </c>
      <c r="F223" s="4" t="s">
        <v>121</v>
      </c>
      <c r="G223" s="8">
        <v>6193</v>
      </c>
      <c r="H223" s="8" t="s">
        <v>138</v>
      </c>
      <c r="I223" s="3">
        <f>IF($H223="A VISTA", C223 + CADASTROS!$B$3, IF($H223="1+1", C223 + CADASTROS!$B$4, IF(H223="1+2", C223 + CADASTROS!$B$5, IF(H223="1+3", C223 + CADASTROS!$B$6, ""))))</f>
        <v>45381</v>
      </c>
      <c r="J223" s="8">
        <f t="shared" si="12"/>
        <v>3096.5</v>
      </c>
      <c r="K223" s="3">
        <f>IF($L223&lt;&gt;"", IF($H223="A VISTA", "", IF($H223="1+1", $C223 + CADASTROS!$C$4, IF($H223="1+2", $C223 + CADASTROS!$C$5, IF($H223="1+3", $C223 + CADASTROS!$E$4, "")))), "")</f>
        <v>45410</v>
      </c>
      <c r="L223" s="8">
        <f t="shared" si="13"/>
        <v>3096.5</v>
      </c>
      <c r="M223" s="3" t="str">
        <f>IF($N223&lt;&gt;"", IF($H223="A VISTA", "", IF($H223="1+1", $C223 + CADASTROS!$C$4, IF($H223="1+2", $C223 + CADASTROS!$D$5, IF($H223="1+3", $C223 + CADASTROS!$D$6, "")))), "")</f>
        <v/>
      </c>
      <c r="N223" s="8" t="str">
        <f t="shared" si="14"/>
        <v/>
      </c>
      <c r="O223" s="3" t="str">
        <f>IF($P223&lt;&gt;"", IF($H223="A VISTA", "", IF($H223="1+1", $C223 + CADASTROS!$C$4, IF($H223="1+2", $C223 + CADASTROS!$C$5, IF($H223="1+3", $C223 + CADASTROS!$E$6, "")))), "")</f>
        <v/>
      </c>
      <c r="P223" s="8" t="str">
        <f t="shared" si="15"/>
        <v/>
      </c>
    </row>
    <row r="224" spans="1:16">
      <c r="A224" s="2" t="s">
        <v>360</v>
      </c>
      <c r="B224" s="6" t="s">
        <v>59</v>
      </c>
      <c r="C224" s="7">
        <v>45352</v>
      </c>
      <c r="D224" s="7" t="s">
        <v>108</v>
      </c>
      <c r="E224" s="4" t="s">
        <v>111</v>
      </c>
      <c r="F224" s="4" t="s">
        <v>121</v>
      </c>
      <c r="G224" s="8">
        <v>7567</v>
      </c>
      <c r="H224" s="8" t="s">
        <v>137</v>
      </c>
      <c r="I224" s="3">
        <f>IF($H224="A VISTA", C224 + CADASTROS!$B$3, IF($H224="1+1", C224 + CADASTROS!$B$4, IF(H224="1+2", C224 + CADASTROS!$B$5, IF(H224="1+3", C224 + CADASTROS!$B$6, ""))))</f>
        <v>45353</v>
      </c>
      <c r="J224" s="8">
        <f t="shared" si="12"/>
        <v>2522.3333333333335</v>
      </c>
      <c r="K224" s="3">
        <f>IF($L224&lt;&gt;"", IF($H224="A VISTA", "", IF($H224="1+1", $C224 + CADASTROS!$C$4, IF($H224="1+2", $C224 + CADASTROS!$C$5, IF($H224="1+3", $C224 + CADASTROS!$E$4, "")))), "")</f>
        <v>45382</v>
      </c>
      <c r="L224" s="8">
        <f t="shared" si="13"/>
        <v>2522.3333333333335</v>
      </c>
      <c r="M224" s="3">
        <f>IF($N224&lt;&gt;"", IF($H224="A VISTA", "", IF($H224="1+1", $C224 + CADASTROS!$C$4, IF($H224="1+2", $C224 + CADASTROS!$D$5, IF($H224="1+3", $C224 + CADASTROS!$D$6, "")))), "")</f>
        <v>45397</v>
      </c>
      <c r="N224" s="8">
        <f t="shared" si="14"/>
        <v>2522.3333333333326</v>
      </c>
      <c r="O224" s="3" t="str">
        <f>IF($P224&lt;&gt;"", IF($H224="A VISTA", "", IF($H224="1+1", $C224 + CADASTROS!$C$4, IF($H224="1+2", $C224 + CADASTROS!$C$5, IF($H224="1+3", $C224 + CADASTROS!$E$6, "")))), "")</f>
        <v/>
      </c>
      <c r="P224" s="8" t="str">
        <f t="shared" si="15"/>
        <v/>
      </c>
    </row>
    <row r="225" spans="1:16">
      <c r="A225" s="2" t="s">
        <v>361</v>
      </c>
      <c r="B225" s="6" t="s">
        <v>38</v>
      </c>
      <c r="C225" s="7">
        <v>45430</v>
      </c>
      <c r="D225" s="7" t="s">
        <v>87</v>
      </c>
      <c r="E225" s="4" t="s">
        <v>110</v>
      </c>
      <c r="F225" s="4" t="s">
        <v>125</v>
      </c>
      <c r="G225" s="8">
        <v>874</v>
      </c>
      <c r="H225" s="8" t="s">
        <v>137</v>
      </c>
      <c r="I225" s="3">
        <f>IF($H225="A VISTA", C225 + CADASTROS!$B$3, IF($H225="1+1", C225 + CADASTROS!$B$4, IF(H225="1+2", C225 + CADASTROS!$B$5, IF(H225="1+3", C225 + CADASTROS!$B$6, ""))))</f>
        <v>45431</v>
      </c>
      <c r="J225" s="8">
        <f t="shared" si="12"/>
        <v>291.33333333333331</v>
      </c>
      <c r="K225" s="3">
        <f>IF($L225&lt;&gt;"", IF($H225="A VISTA", "", IF($H225="1+1", $C225 + CADASTROS!$C$4, IF($H225="1+2", $C225 + CADASTROS!$C$5, IF($H225="1+3", $C225 + CADASTROS!$E$4, "")))), "")</f>
        <v>45460</v>
      </c>
      <c r="L225" s="8">
        <f t="shared" si="13"/>
        <v>291.33333333333331</v>
      </c>
      <c r="M225" s="3">
        <f>IF($N225&lt;&gt;"", IF($H225="A VISTA", "", IF($H225="1+1", $C225 + CADASTROS!$C$4, IF($H225="1+2", $C225 + CADASTROS!$D$5, IF($H225="1+3", $C225 + CADASTROS!$D$6, "")))), "")</f>
        <v>45475</v>
      </c>
      <c r="N225" s="8">
        <f t="shared" si="14"/>
        <v>291.33333333333343</v>
      </c>
      <c r="O225" s="3" t="str">
        <f>IF($P225&lt;&gt;"", IF($H225="A VISTA", "", IF($H225="1+1", $C225 + CADASTROS!$C$4, IF($H225="1+2", $C225 + CADASTROS!$C$5, IF($H225="1+3", $C225 + CADASTROS!$E$6, "")))), "")</f>
        <v/>
      </c>
      <c r="P225" s="8" t="str">
        <f t="shared" si="15"/>
        <v/>
      </c>
    </row>
    <row r="226" spans="1:16">
      <c r="A226" s="2" t="s">
        <v>362</v>
      </c>
      <c r="B226" s="6" t="s">
        <v>45</v>
      </c>
      <c r="C226" s="7">
        <v>45441</v>
      </c>
      <c r="D226" s="7" t="s">
        <v>94</v>
      </c>
      <c r="E226" s="4" t="s">
        <v>110</v>
      </c>
      <c r="F226" s="4" t="s">
        <v>113</v>
      </c>
      <c r="G226" s="8">
        <v>8293</v>
      </c>
      <c r="H226" s="8" t="s">
        <v>138</v>
      </c>
      <c r="I226" s="3">
        <f>IF($H226="A VISTA", C226 + CADASTROS!$B$3, IF($H226="1+1", C226 + CADASTROS!$B$4, IF(H226="1+2", C226 + CADASTROS!$B$5, IF(H226="1+3", C226 + CADASTROS!$B$6, ""))))</f>
        <v>45442</v>
      </c>
      <c r="J226" s="8">
        <f t="shared" si="12"/>
        <v>4146.5</v>
      </c>
      <c r="K226" s="3">
        <f>IF($L226&lt;&gt;"", IF($H226="A VISTA", "", IF($H226="1+1", $C226 + CADASTROS!$C$4, IF($H226="1+2", $C226 + CADASTROS!$C$5, IF($H226="1+3", $C226 + CADASTROS!$E$4, "")))), "")</f>
        <v>45471</v>
      </c>
      <c r="L226" s="8">
        <f t="shared" si="13"/>
        <v>4146.5</v>
      </c>
      <c r="M226" s="3" t="str">
        <f>IF($N226&lt;&gt;"", IF($H226="A VISTA", "", IF($H226="1+1", $C226 + CADASTROS!$C$4, IF($H226="1+2", $C226 + CADASTROS!$D$5, IF($H226="1+3", $C226 + CADASTROS!$D$6, "")))), "")</f>
        <v/>
      </c>
      <c r="N226" s="8" t="str">
        <f t="shared" si="14"/>
        <v/>
      </c>
      <c r="O226" s="3" t="str">
        <f>IF($P226&lt;&gt;"", IF($H226="A VISTA", "", IF($H226="1+1", $C226 + CADASTROS!$C$4, IF($H226="1+2", $C226 + CADASTROS!$C$5, IF($H226="1+3", $C226 + CADASTROS!$E$6, "")))), "")</f>
        <v/>
      </c>
      <c r="P226" s="8" t="str">
        <f t="shared" si="15"/>
        <v/>
      </c>
    </row>
    <row r="227" spans="1:16">
      <c r="A227" s="2" t="s">
        <v>363</v>
      </c>
      <c r="B227" s="6" t="s">
        <v>28</v>
      </c>
      <c r="C227" s="7">
        <v>45459</v>
      </c>
      <c r="D227" s="7" t="s">
        <v>77</v>
      </c>
      <c r="E227" s="4" t="s">
        <v>110</v>
      </c>
      <c r="F227" s="4" t="s">
        <v>114</v>
      </c>
      <c r="G227" s="8">
        <v>6745</v>
      </c>
      <c r="H227" s="8" t="s">
        <v>137</v>
      </c>
      <c r="I227" s="3">
        <f>IF($H227="A VISTA", C227 + CADASTROS!$B$3, IF($H227="1+1", C227 + CADASTROS!$B$4, IF(H227="1+2", C227 + CADASTROS!$B$5, IF(H227="1+3", C227 + CADASTROS!$B$6, ""))))</f>
        <v>45460</v>
      </c>
      <c r="J227" s="8">
        <f t="shared" si="12"/>
        <v>2248.3333333333335</v>
      </c>
      <c r="K227" s="3">
        <f>IF($L227&lt;&gt;"", IF($H227="A VISTA", "", IF($H227="1+1", $C227 + CADASTROS!$C$4, IF($H227="1+2", $C227 + CADASTROS!$C$5, IF($H227="1+3", $C227 + CADASTROS!$E$4, "")))), "")</f>
        <v>45489</v>
      </c>
      <c r="L227" s="8">
        <f t="shared" si="13"/>
        <v>2248.3333333333335</v>
      </c>
      <c r="M227" s="3">
        <f>IF($N227&lt;&gt;"", IF($H227="A VISTA", "", IF($H227="1+1", $C227 + CADASTROS!$C$4, IF($H227="1+2", $C227 + CADASTROS!$D$5, IF($H227="1+3", $C227 + CADASTROS!$D$6, "")))), "")</f>
        <v>45504</v>
      </c>
      <c r="N227" s="8">
        <f t="shared" si="14"/>
        <v>2248.3333333333326</v>
      </c>
      <c r="O227" s="3" t="str">
        <f>IF($P227&lt;&gt;"", IF($H227="A VISTA", "", IF($H227="1+1", $C227 + CADASTROS!$C$4, IF($H227="1+2", $C227 + CADASTROS!$C$5, IF($H227="1+3", $C227 + CADASTROS!$E$6, "")))), "")</f>
        <v/>
      </c>
      <c r="P227" s="8" t="str">
        <f t="shared" si="15"/>
        <v/>
      </c>
    </row>
    <row r="228" spans="1:16">
      <c r="A228" s="2" t="s">
        <v>364</v>
      </c>
      <c r="B228" s="6" t="s">
        <v>16</v>
      </c>
      <c r="C228" s="7">
        <v>45439</v>
      </c>
      <c r="D228" s="7" t="s">
        <v>65</v>
      </c>
      <c r="E228" s="4" t="s">
        <v>110</v>
      </c>
      <c r="F228" s="4" t="s">
        <v>125</v>
      </c>
      <c r="G228" s="8">
        <v>3455</v>
      </c>
      <c r="H228" s="8" t="s">
        <v>136</v>
      </c>
      <c r="I228" s="3">
        <f>IF($H228="A VISTA", C228 + CADASTROS!$B$3, IF($H228="1+1", C228 + CADASTROS!$B$4, IF(H228="1+2", C228 + CADASTROS!$B$5, IF(H228="1+3", C228 + CADASTROS!$B$6, ""))))</f>
        <v>45440</v>
      </c>
      <c r="J228" s="8">
        <f t="shared" si="12"/>
        <v>863.75</v>
      </c>
      <c r="K228" s="3">
        <f>IF($L228&lt;&gt;"", IF($H228="A VISTA", "", IF($H228="1+1", $C228 + CADASTROS!$C$4, IF($H228="1+2", $C228 + CADASTROS!$C$5, IF($H228="1+3", $C228 + CADASTROS!$E$4, "")))), "")</f>
        <v>45439</v>
      </c>
      <c r="L228" s="8">
        <f t="shared" si="13"/>
        <v>863.75</v>
      </c>
      <c r="M228" s="3">
        <f>IF($N228&lt;&gt;"", IF($H228="A VISTA", "", IF($H228="1+1", $C228 + CADASTROS!$C$4, IF($H228="1+2", $C228 + CADASTROS!$D$5, IF($H228="1+3", $C228 + CADASTROS!$D$6, "")))), "")</f>
        <v>45484</v>
      </c>
      <c r="N228" s="8">
        <f t="shared" si="14"/>
        <v>863.75</v>
      </c>
      <c r="O228" s="3">
        <f>IF($P228&lt;&gt;"", IF($H228="A VISTA", "", IF($H228="1+1", $C228 + CADASTROS!$C$4, IF($H228="1+2", $C228 + CADASTROS!$C$5, IF($H228="1+3", $C228 + CADASTROS!$E$6, "")))), "")</f>
        <v>45499</v>
      </c>
      <c r="P228" s="8">
        <f t="shared" si="15"/>
        <v>863.75</v>
      </c>
    </row>
    <row r="229" spans="1:16">
      <c r="A229" s="2" t="s">
        <v>365</v>
      </c>
      <c r="B229" s="6" t="s">
        <v>47</v>
      </c>
      <c r="C229" s="7">
        <v>45211</v>
      </c>
      <c r="D229" s="7" t="s">
        <v>96</v>
      </c>
      <c r="E229" s="4" t="s">
        <v>111</v>
      </c>
      <c r="F229" s="4" t="s">
        <v>120</v>
      </c>
      <c r="G229" s="8">
        <v>7979</v>
      </c>
      <c r="H229" s="8" t="s">
        <v>137</v>
      </c>
      <c r="I229" s="3">
        <f>IF($H229="A VISTA", C229 + CADASTROS!$B$3, IF($H229="1+1", C229 + CADASTROS!$B$4, IF(H229="1+2", C229 + CADASTROS!$B$5, IF(H229="1+3", C229 + CADASTROS!$B$6, ""))))</f>
        <v>45212</v>
      </c>
      <c r="J229" s="8">
        <f t="shared" si="12"/>
        <v>2659.6666666666665</v>
      </c>
      <c r="K229" s="3">
        <f>IF($L229&lt;&gt;"", IF($H229="A VISTA", "", IF($H229="1+1", $C229 + CADASTROS!$C$4, IF($H229="1+2", $C229 + CADASTROS!$C$5, IF($H229="1+3", $C229 + CADASTROS!$E$4, "")))), "")</f>
        <v>45241</v>
      </c>
      <c r="L229" s="8">
        <f t="shared" si="13"/>
        <v>2659.6666666666665</v>
      </c>
      <c r="M229" s="3">
        <f>IF($N229&lt;&gt;"", IF($H229="A VISTA", "", IF($H229="1+1", $C229 + CADASTROS!$C$4, IF($H229="1+2", $C229 + CADASTROS!$D$5, IF($H229="1+3", $C229 + CADASTROS!$D$6, "")))), "")</f>
        <v>45256</v>
      </c>
      <c r="N229" s="8">
        <f t="shared" si="14"/>
        <v>2659.6666666666674</v>
      </c>
      <c r="O229" s="3" t="str">
        <f>IF($P229&lt;&gt;"", IF($H229="A VISTA", "", IF($H229="1+1", $C229 + CADASTROS!$C$4, IF($H229="1+2", $C229 + CADASTROS!$C$5, IF($H229="1+3", $C229 + CADASTROS!$E$6, "")))), "")</f>
        <v/>
      </c>
      <c r="P229" s="8" t="str">
        <f t="shared" si="15"/>
        <v/>
      </c>
    </row>
    <row r="230" spans="1:16">
      <c r="A230" s="2" t="s">
        <v>366</v>
      </c>
      <c r="B230" s="6" t="s">
        <v>20</v>
      </c>
      <c r="C230" s="7">
        <v>45106</v>
      </c>
      <c r="D230" s="7" t="s">
        <v>69</v>
      </c>
      <c r="E230" s="4" t="s">
        <v>111</v>
      </c>
      <c r="F230" s="4" t="s">
        <v>117</v>
      </c>
      <c r="G230" s="8">
        <v>8660</v>
      </c>
      <c r="H230" s="8" t="s">
        <v>126</v>
      </c>
      <c r="I230" s="3">
        <f>IF($H230="A VISTA", C230 + CADASTROS!$B$3, IF($H230="1+1", C230 + CADASTROS!$B$4, IF(H230="1+2", C230 + CADASTROS!$B$5, IF(H230="1+3", C230 + CADASTROS!$B$6, ""))))</f>
        <v>45107</v>
      </c>
      <c r="J230" s="8">
        <f t="shared" si="12"/>
        <v>8660</v>
      </c>
      <c r="K230" s="3" t="str">
        <f>IF($L230&lt;&gt;"", IF($H230="A VISTA", "", IF($H230="1+1", $C230 + CADASTROS!$C$4, IF($H230="1+2", $C230 + CADASTROS!$C$5, IF($H230="1+3", $C230 + CADASTROS!$E$4, "")))), "")</f>
        <v/>
      </c>
      <c r="L230" s="8" t="str">
        <f t="shared" si="13"/>
        <v/>
      </c>
      <c r="M230" s="3" t="str">
        <f>IF($N230&lt;&gt;"", IF($H230="A VISTA", "", IF($H230="1+1", $C230 + CADASTROS!$C$4, IF($H230="1+2", $C230 + CADASTROS!$D$5, IF($H230="1+3", $C230 + CADASTROS!$D$6, "")))), "")</f>
        <v/>
      </c>
      <c r="N230" s="8" t="str">
        <f t="shared" si="14"/>
        <v/>
      </c>
      <c r="O230" s="3" t="str">
        <f>IF($P230&lt;&gt;"", IF($H230="A VISTA", "", IF($H230="1+1", $C230 + CADASTROS!$C$4, IF($H230="1+2", $C230 + CADASTROS!$C$5, IF($H230="1+3", $C230 + CADASTROS!$E$6, "")))), "")</f>
        <v/>
      </c>
      <c r="P230" s="8" t="str">
        <f t="shared" si="15"/>
        <v/>
      </c>
    </row>
    <row r="231" spans="1:16">
      <c r="A231" s="2" t="s">
        <v>367</v>
      </c>
      <c r="B231" s="6" t="s">
        <v>60</v>
      </c>
      <c r="C231" s="7">
        <v>45133</v>
      </c>
      <c r="D231" s="7" t="s">
        <v>109</v>
      </c>
      <c r="E231" s="4" t="s">
        <v>111</v>
      </c>
      <c r="F231" s="4" t="s">
        <v>118</v>
      </c>
      <c r="G231" s="8">
        <v>7962</v>
      </c>
      <c r="H231" s="8" t="s">
        <v>137</v>
      </c>
      <c r="I231" s="3">
        <f>IF($H231="A VISTA", C231 + CADASTROS!$B$3, IF($H231="1+1", C231 + CADASTROS!$B$4, IF(H231="1+2", C231 + CADASTROS!$B$5, IF(H231="1+3", C231 + CADASTROS!$B$6, ""))))</f>
        <v>45134</v>
      </c>
      <c r="J231" s="8">
        <f t="shared" si="12"/>
        <v>2654</v>
      </c>
      <c r="K231" s="3">
        <f>IF($L231&lt;&gt;"", IF($H231="A VISTA", "", IF($H231="1+1", $C231 + CADASTROS!$C$4, IF($H231="1+2", $C231 + CADASTROS!$C$5, IF($H231="1+3", $C231 + CADASTROS!$E$4, "")))), "")</f>
        <v>45163</v>
      </c>
      <c r="L231" s="8">
        <f t="shared" si="13"/>
        <v>2654</v>
      </c>
      <c r="M231" s="3">
        <f>IF($N231&lt;&gt;"", IF($H231="A VISTA", "", IF($H231="1+1", $C231 + CADASTROS!$C$4, IF($H231="1+2", $C231 + CADASTROS!$D$5, IF($H231="1+3", $C231 + CADASTROS!$D$6, "")))), "")</f>
        <v>45178</v>
      </c>
      <c r="N231" s="8">
        <f t="shared" si="14"/>
        <v>2654</v>
      </c>
      <c r="O231" s="3" t="str">
        <f>IF($P231&lt;&gt;"", IF($H231="A VISTA", "", IF($H231="1+1", $C231 + CADASTROS!$C$4, IF($H231="1+2", $C231 + CADASTROS!$C$5, IF($H231="1+3", $C231 + CADASTROS!$E$6, "")))), "")</f>
        <v/>
      </c>
      <c r="P231" s="8" t="str">
        <f t="shared" si="15"/>
        <v/>
      </c>
    </row>
    <row r="232" spans="1:16">
      <c r="A232" s="2" t="s">
        <v>368</v>
      </c>
      <c r="B232" s="6" t="s">
        <v>58</v>
      </c>
      <c r="C232" s="7">
        <v>45148</v>
      </c>
      <c r="D232" s="7" t="s">
        <v>107</v>
      </c>
      <c r="E232" s="4" t="s">
        <v>111</v>
      </c>
      <c r="F232" s="4" t="s">
        <v>120</v>
      </c>
      <c r="G232" s="8">
        <v>9511</v>
      </c>
      <c r="H232" s="8" t="s">
        <v>126</v>
      </c>
      <c r="I232" s="3">
        <f>IF($H232="A VISTA", C232 + CADASTROS!$B$3, IF($H232="1+1", C232 + CADASTROS!$B$4, IF(H232="1+2", C232 + CADASTROS!$B$5, IF(H232="1+3", C232 + CADASTROS!$B$6, ""))))</f>
        <v>45149</v>
      </c>
      <c r="J232" s="8">
        <f t="shared" si="12"/>
        <v>9511</v>
      </c>
      <c r="K232" s="3" t="str">
        <f>IF($L232&lt;&gt;"", IF($H232="A VISTA", "", IF($H232="1+1", $C232 + CADASTROS!$C$4, IF($H232="1+2", $C232 + CADASTROS!$C$5, IF($H232="1+3", $C232 + CADASTROS!$E$4, "")))), "")</f>
        <v/>
      </c>
      <c r="L232" s="8" t="str">
        <f t="shared" si="13"/>
        <v/>
      </c>
      <c r="M232" s="3" t="str">
        <f>IF($N232&lt;&gt;"", IF($H232="A VISTA", "", IF($H232="1+1", $C232 + CADASTROS!$C$4, IF($H232="1+2", $C232 + CADASTROS!$D$5, IF($H232="1+3", $C232 + CADASTROS!$D$6, "")))), "")</f>
        <v/>
      </c>
      <c r="N232" s="8" t="str">
        <f t="shared" si="14"/>
        <v/>
      </c>
      <c r="O232" s="3" t="str">
        <f>IF($P232&lt;&gt;"", IF($H232="A VISTA", "", IF($H232="1+1", $C232 + CADASTROS!$C$4, IF($H232="1+2", $C232 + CADASTROS!$C$5, IF($H232="1+3", $C232 + CADASTROS!$E$6, "")))), "")</f>
        <v/>
      </c>
      <c r="P232" s="8" t="str">
        <f t="shared" si="15"/>
        <v/>
      </c>
    </row>
    <row r="233" spans="1:16">
      <c r="A233" s="2" t="s">
        <v>369</v>
      </c>
      <c r="B233" s="6" t="s">
        <v>46</v>
      </c>
      <c r="C233" s="7">
        <v>45179</v>
      </c>
      <c r="D233" s="7" t="s">
        <v>95</v>
      </c>
      <c r="E233" s="4" t="s">
        <v>112</v>
      </c>
      <c r="F233" s="4" t="s">
        <v>122</v>
      </c>
      <c r="G233" s="8">
        <v>8511</v>
      </c>
      <c r="H233" s="8" t="s">
        <v>126</v>
      </c>
      <c r="I233" s="3">
        <f>IF($H233="A VISTA", C233 + CADASTROS!$B$3, IF($H233="1+1", C233 + CADASTROS!$B$4, IF(H233="1+2", C233 + CADASTROS!$B$5, IF(H233="1+3", C233 + CADASTROS!$B$6, ""))))</f>
        <v>45180</v>
      </c>
      <c r="J233" s="8">
        <f t="shared" si="12"/>
        <v>8511</v>
      </c>
      <c r="K233" s="3" t="str">
        <f>IF($L233&lt;&gt;"", IF($H233="A VISTA", "", IF($H233="1+1", $C233 + CADASTROS!$C$4, IF($H233="1+2", $C233 + CADASTROS!$C$5, IF($H233="1+3", $C233 + CADASTROS!$E$4, "")))), "")</f>
        <v/>
      </c>
      <c r="L233" s="8" t="str">
        <f t="shared" si="13"/>
        <v/>
      </c>
      <c r="M233" s="3" t="str">
        <f>IF($N233&lt;&gt;"", IF($H233="A VISTA", "", IF($H233="1+1", $C233 + CADASTROS!$C$4, IF($H233="1+2", $C233 + CADASTROS!$D$5, IF($H233="1+3", $C233 + CADASTROS!$D$6, "")))), "")</f>
        <v/>
      </c>
      <c r="N233" s="8" t="str">
        <f t="shared" si="14"/>
        <v/>
      </c>
      <c r="O233" s="3" t="str">
        <f>IF($P233&lt;&gt;"", IF($H233="A VISTA", "", IF($H233="1+1", $C233 + CADASTROS!$C$4, IF($H233="1+2", $C233 + CADASTROS!$C$5, IF($H233="1+3", $C233 + CADASTROS!$E$6, "")))), "")</f>
        <v/>
      </c>
      <c r="P233" s="8" t="str">
        <f t="shared" si="15"/>
        <v/>
      </c>
    </row>
    <row r="234" spans="1:16">
      <c r="A234" s="2" t="s">
        <v>370</v>
      </c>
      <c r="B234" s="6" t="s">
        <v>19</v>
      </c>
      <c r="C234" s="7">
        <v>45436</v>
      </c>
      <c r="D234" s="7" t="s">
        <v>68</v>
      </c>
      <c r="E234" s="4" t="s">
        <v>111</v>
      </c>
      <c r="F234" s="4" t="s">
        <v>118</v>
      </c>
      <c r="G234" s="8">
        <v>8691</v>
      </c>
      <c r="H234" s="8" t="s">
        <v>136</v>
      </c>
      <c r="I234" s="3">
        <f>IF($H234="A VISTA", C234 + CADASTROS!$B$3, IF($H234="1+1", C234 + CADASTROS!$B$4, IF(H234="1+2", C234 + CADASTROS!$B$5, IF(H234="1+3", C234 + CADASTROS!$B$6, ""))))</f>
        <v>45437</v>
      </c>
      <c r="J234" s="8">
        <f t="shared" si="12"/>
        <v>2172.75</v>
      </c>
      <c r="K234" s="3">
        <f>IF($L234&lt;&gt;"", IF($H234="A VISTA", "", IF($H234="1+1", $C234 + CADASTROS!$C$4, IF($H234="1+2", $C234 + CADASTROS!$C$5, IF($H234="1+3", $C234 + CADASTROS!$E$4, "")))), "")</f>
        <v>45436</v>
      </c>
      <c r="L234" s="8">
        <f t="shared" si="13"/>
        <v>2172.75</v>
      </c>
      <c r="M234" s="3">
        <f>IF($N234&lt;&gt;"", IF($H234="A VISTA", "", IF($H234="1+1", $C234 + CADASTROS!$C$4, IF($H234="1+2", $C234 + CADASTROS!$D$5, IF($H234="1+3", $C234 + CADASTROS!$D$6, "")))), "")</f>
        <v>45481</v>
      </c>
      <c r="N234" s="8">
        <f t="shared" si="14"/>
        <v>2172.75</v>
      </c>
      <c r="O234" s="3">
        <f>IF($P234&lt;&gt;"", IF($H234="A VISTA", "", IF($H234="1+1", $C234 + CADASTROS!$C$4, IF($H234="1+2", $C234 + CADASTROS!$C$5, IF($H234="1+3", $C234 + CADASTROS!$E$6, "")))), "")</f>
        <v>45496</v>
      </c>
      <c r="P234" s="8">
        <f t="shared" si="15"/>
        <v>2172.75</v>
      </c>
    </row>
    <row r="235" spans="1:16">
      <c r="A235" s="2" t="s">
        <v>371</v>
      </c>
      <c r="B235" s="6" t="s">
        <v>31</v>
      </c>
      <c r="C235" s="7">
        <v>45356</v>
      </c>
      <c r="D235" s="7" t="s">
        <v>80</v>
      </c>
      <c r="E235" s="4" t="s">
        <v>111</v>
      </c>
      <c r="F235" s="4" t="s">
        <v>117</v>
      </c>
      <c r="G235" s="8">
        <v>7016</v>
      </c>
      <c r="H235" s="8" t="s">
        <v>136</v>
      </c>
      <c r="I235" s="3">
        <f>IF($H235="A VISTA", C235 + CADASTROS!$B$3, IF($H235="1+1", C235 + CADASTROS!$B$4, IF(H235="1+2", C235 + CADASTROS!$B$5, IF(H235="1+3", C235 + CADASTROS!$B$6, ""))))</f>
        <v>45357</v>
      </c>
      <c r="J235" s="8">
        <f t="shared" si="12"/>
        <v>1754</v>
      </c>
      <c r="K235" s="3">
        <f>IF($L235&lt;&gt;"", IF($H235="A VISTA", "", IF($H235="1+1", $C235 + CADASTROS!$C$4, IF($H235="1+2", $C235 + CADASTROS!$C$5, IF($H235="1+3", $C235 + CADASTROS!$E$4, "")))), "")</f>
        <v>45356</v>
      </c>
      <c r="L235" s="8">
        <f t="shared" si="13"/>
        <v>1754</v>
      </c>
      <c r="M235" s="3">
        <f>IF($N235&lt;&gt;"", IF($H235="A VISTA", "", IF($H235="1+1", $C235 + CADASTROS!$C$4, IF($H235="1+2", $C235 + CADASTROS!$D$5, IF($H235="1+3", $C235 + CADASTROS!$D$6, "")))), "")</f>
        <v>45401</v>
      </c>
      <c r="N235" s="8">
        <f t="shared" si="14"/>
        <v>1754</v>
      </c>
      <c r="O235" s="3">
        <f>IF($P235&lt;&gt;"", IF($H235="A VISTA", "", IF($H235="1+1", $C235 + CADASTROS!$C$4, IF($H235="1+2", $C235 + CADASTROS!$C$5, IF($H235="1+3", $C235 + CADASTROS!$E$6, "")))), "")</f>
        <v>45416</v>
      </c>
      <c r="P235" s="8">
        <f t="shared" si="15"/>
        <v>1754</v>
      </c>
    </row>
    <row r="236" spans="1:16">
      <c r="A236" s="2" t="s">
        <v>372</v>
      </c>
      <c r="B236" s="6" t="s">
        <v>58</v>
      </c>
      <c r="C236" s="7">
        <v>45115</v>
      </c>
      <c r="D236" s="7" t="s">
        <v>107</v>
      </c>
      <c r="E236" s="4" t="s">
        <v>111</v>
      </c>
      <c r="F236" s="4" t="s">
        <v>120</v>
      </c>
      <c r="G236" s="8">
        <v>2432</v>
      </c>
      <c r="H236" s="8" t="s">
        <v>126</v>
      </c>
      <c r="I236" s="3">
        <f>IF($H236="A VISTA", C236 + CADASTROS!$B$3, IF($H236="1+1", C236 + CADASTROS!$B$4, IF(H236="1+2", C236 + CADASTROS!$B$5, IF(H236="1+3", C236 + CADASTROS!$B$6, ""))))</f>
        <v>45116</v>
      </c>
      <c r="J236" s="8">
        <f t="shared" si="12"/>
        <v>2432</v>
      </c>
      <c r="K236" s="3" t="str">
        <f>IF($L236&lt;&gt;"", IF($H236="A VISTA", "", IF($H236="1+1", $C236 + CADASTROS!$C$4, IF($H236="1+2", $C236 + CADASTROS!$C$5, IF($H236="1+3", $C236 + CADASTROS!$E$4, "")))), "")</f>
        <v/>
      </c>
      <c r="L236" s="8" t="str">
        <f t="shared" si="13"/>
        <v/>
      </c>
      <c r="M236" s="3" t="str">
        <f>IF($N236&lt;&gt;"", IF($H236="A VISTA", "", IF($H236="1+1", $C236 + CADASTROS!$C$4, IF($H236="1+2", $C236 + CADASTROS!$D$5, IF($H236="1+3", $C236 + CADASTROS!$D$6, "")))), "")</f>
        <v/>
      </c>
      <c r="N236" s="8" t="str">
        <f t="shared" si="14"/>
        <v/>
      </c>
      <c r="O236" s="3" t="str">
        <f>IF($P236&lt;&gt;"", IF($H236="A VISTA", "", IF($H236="1+1", $C236 + CADASTROS!$C$4, IF($H236="1+2", $C236 + CADASTROS!$C$5, IF($H236="1+3", $C236 + CADASTROS!$E$6, "")))), "")</f>
        <v/>
      </c>
      <c r="P236" s="8" t="str">
        <f t="shared" si="15"/>
        <v/>
      </c>
    </row>
    <row r="237" spans="1:16">
      <c r="A237" s="2" t="s">
        <v>373</v>
      </c>
      <c r="B237" s="6" t="s">
        <v>30</v>
      </c>
      <c r="C237" s="7">
        <v>45120</v>
      </c>
      <c r="D237" s="7" t="s">
        <v>79</v>
      </c>
      <c r="E237" s="4" t="s">
        <v>111</v>
      </c>
      <c r="F237" s="4" t="s">
        <v>118</v>
      </c>
      <c r="G237" s="8">
        <v>7988</v>
      </c>
      <c r="H237" s="8" t="s">
        <v>136</v>
      </c>
      <c r="I237" s="3">
        <f>IF($H237="A VISTA", C237 + CADASTROS!$B$3, IF($H237="1+1", C237 + CADASTROS!$B$4, IF(H237="1+2", C237 + CADASTROS!$B$5, IF(H237="1+3", C237 + CADASTROS!$B$6, ""))))</f>
        <v>45121</v>
      </c>
      <c r="J237" s="8">
        <f t="shared" si="12"/>
        <v>1997</v>
      </c>
      <c r="K237" s="3">
        <f>IF($L237&lt;&gt;"", IF($H237="A VISTA", "", IF($H237="1+1", $C237 + CADASTROS!$C$4, IF($H237="1+2", $C237 + CADASTROS!$C$5, IF($H237="1+3", $C237 + CADASTROS!$E$4, "")))), "")</f>
        <v>45120</v>
      </c>
      <c r="L237" s="8">
        <f t="shared" si="13"/>
        <v>1997</v>
      </c>
      <c r="M237" s="3">
        <f>IF($N237&lt;&gt;"", IF($H237="A VISTA", "", IF($H237="1+1", $C237 + CADASTROS!$C$4, IF($H237="1+2", $C237 + CADASTROS!$D$5, IF($H237="1+3", $C237 + CADASTROS!$D$6, "")))), "")</f>
        <v>45165</v>
      </c>
      <c r="N237" s="8">
        <f t="shared" si="14"/>
        <v>1997</v>
      </c>
      <c r="O237" s="3">
        <f>IF($P237&lt;&gt;"", IF($H237="A VISTA", "", IF($H237="1+1", $C237 + CADASTROS!$C$4, IF($H237="1+2", $C237 + CADASTROS!$C$5, IF($H237="1+3", $C237 + CADASTROS!$E$6, "")))), "")</f>
        <v>45180</v>
      </c>
      <c r="P237" s="8">
        <f t="shared" si="15"/>
        <v>1997</v>
      </c>
    </row>
    <row r="238" spans="1:16">
      <c r="A238" s="2" t="s">
        <v>374</v>
      </c>
      <c r="B238" s="6" t="s">
        <v>28</v>
      </c>
      <c r="C238" s="7">
        <v>45374</v>
      </c>
      <c r="D238" s="7" t="s">
        <v>77</v>
      </c>
      <c r="E238" s="4" t="s">
        <v>110</v>
      </c>
      <c r="F238" s="4" t="s">
        <v>114</v>
      </c>
      <c r="G238" s="8">
        <v>5810</v>
      </c>
      <c r="H238" s="8" t="s">
        <v>137</v>
      </c>
      <c r="I238" s="3">
        <f>IF($H238="A VISTA", C238 + CADASTROS!$B$3, IF($H238="1+1", C238 + CADASTROS!$B$4, IF(H238="1+2", C238 + CADASTROS!$B$5, IF(H238="1+3", C238 + CADASTROS!$B$6, ""))))</f>
        <v>45375</v>
      </c>
      <c r="J238" s="8">
        <f t="shared" si="12"/>
        <v>1936.6666666666667</v>
      </c>
      <c r="K238" s="3">
        <f>IF($L238&lt;&gt;"", IF($H238="A VISTA", "", IF($H238="1+1", $C238 + CADASTROS!$C$4, IF($H238="1+2", $C238 + CADASTROS!$C$5, IF($H238="1+3", $C238 + CADASTROS!$E$4, "")))), "")</f>
        <v>45404</v>
      </c>
      <c r="L238" s="8">
        <f t="shared" si="13"/>
        <v>1936.6666666666667</v>
      </c>
      <c r="M238" s="3">
        <f>IF($N238&lt;&gt;"", IF($H238="A VISTA", "", IF($H238="1+1", $C238 + CADASTROS!$C$4, IF($H238="1+2", $C238 + CADASTROS!$D$5, IF($H238="1+3", $C238 + CADASTROS!$D$6, "")))), "")</f>
        <v>45419</v>
      </c>
      <c r="N238" s="8">
        <f t="shared" si="14"/>
        <v>1936.6666666666663</v>
      </c>
      <c r="O238" s="3" t="str">
        <f>IF($P238&lt;&gt;"", IF($H238="A VISTA", "", IF($H238="1+1", $C238 + CADASTROS!$C$4, IF($H238="1+2", $C238 + CADASTROS!$C$5, IF($H238="1+3", $C238 + CADASTROS!$E$6, "")))), "")</f>
        <v/>
      </c>
      <c r="P238" s="8" t="str">
        <f t="shared" si="15"/>
        <v/>
      </c>
    </row>
    <row r="239" spans="1:16">
      <c r="A239" s="2" t="s">
        <v>375</v>
      </c>
      <c r="B239" s="6" t="s">
        <v>58</v>
      </c>
      <c r="C239" s="7">
        <v>45055</v>
      </c>
      <c r="D239" s="7" t="s">
        <v>107</v>
      </c>
      <c r="E239" s="4" t="s">
        <v>111</v>
      </c>
      <c r="F239" s="4" t="s">
        <v>120</v>
      </c>
      <c r="G239" s="8">
        <v>4750</v>
      </c>
      <c r="H239" s="8" t="s">
        <v>126</v>
      </c>
      <c r="I239" s="3">
        <f>IF($H239="A VISTA", C239 + CADASTROS!$B$3, IF($H239="1+1", C239 + CADASTROS!$B$4, IF(H239="1+2", C239 + CADASTROS!$B$5, IF(H239="1+3", C239 + CADASTROS!$B$6, ""))))</f>
        <v>45056</v>
      </c>
      <c r="J239" s="8">
        <f t="shared" si="12"/>
        <v>4750</v>
      </c>
      <c r="K239" s="3" t="str">
        <f>IF($L239&lt;&gt;"", IF($H239="A VISTA", "", IF($H239="1+1", $C239 + CADASTROS!$C$4, IF($H239="1+2", $C239 + CADASTROS!$C$5, IF($H239="1+3", $C239 + CADASTROS!$E$4, "")))), "")</f>
        <v/>
      </c>
      <c r="L239" s="8" t="str">
        <f t="shared" si="13"/>
        <v/>
      </c>
      <c r="M239" s="3" t="str">
        <f>IF($N239&lt;&gt;"", IF($H239="A VISTA", "", IF($H239="1+1", $C239 + CADASTROS!$C$4, IF($H239="1+2", $C239 + CADASTROS!$D$5, IF($H239="1+3", $C239 + CADASTROS!$D$6, "")))), "")</f>
        <v/>
      </c>
      <c r="N239" s="8" t="str">
        <f t="shared" si="14"/>
        <v/>
      </c>
      <c r="O239" s="3" t="str">
        <f>IF($P239&lt;&gt;"", IF($H239="A VISTA", "", IF($H239="1+1", $C239 + CADASTROS!$C$4, IF($H239="1+2", $C239 + CADASTROS!$C$5, IF($H239="1+3", $C239 + CADASTROS!$E$6, "")))), "")</f>
        <v/>
      </c>
      <c r="P239" s="8" t="str">
        <f t="shared" si="15"/>
        <v/>
      </c>
    </row>
    <row r="240" spans="1:16">
      <c r="A240" s="2" t="s">
        <v>376</v>
      </c>
      <c r="B240" s="6" t="s">
        <v>54</v>
      </c>
      <c r="C240" s="7">
        <v>45167</v>
      </c>
      <c r="D240" s="7" t="s">
        <v>103</v>
      </c>
      <c r="E240" s="4" t="s">
        <v>110</v>
      </c>
      <c r="F240" s="4" t="s">
        <v>124</v>
      </c>
      <c r="G240" s="8">
        <v>5572</v>
      </c>
      <c r="H240" s="8" t="s">
        <v>138</v>
      </c>
      <c r="I240" s="3">
        <f>IF($H240="A VISTA", C240 + CADASTROS!$B$3, IF($H240="1+1", C240 + CADASTROS!$B$4, IF(H240="1+2", C240 + CADASTROS!$B$5, IF(H240="1+3", C240 + CADASTROS!$B$6, ""))))</f>
        <v>45168</v>
      </c>
      <c r="J240" s="8">
        <f t="shared" si="12"/>
        <v>2786</v>
      </c>
      <c r="K240" s="3">
        <f>IF($L240&lt;&gt;"", IF($H240="A VISTA", "", IF($H240="1+1", $C240 + CADASTROS!$C$4, IF($H240="1+2", $C240 + CADASTROS!$C$5, IF($H240="1+3", $C240 + CADASTROS!$E$4, "")))), "")</f>
        <v>45197</v>
      </c>
      <c r="L240" s="8">
        <f t="shared" si="13"/>
        <v>2786</v>
      </c>
      <c r="M240" s="3" t="str">
        <f>IF($N240&lt;&gt;"", IF($H240="A VISTA", "", IF($H240="1+1", $C240 + CADASTROS!$C$4, IF($H240="1+2", $C240 + CADASTROS!$D$5, IF($H240="1+3", $C240 + CADASTROS!$D$6, "")))), "")</f>
        <v/>
      </c>
      <c r="N240" s="8" t="str">
        <f t="shared" si="14"/>
        <v/>
      </c>
      <c r="O240" s="3" t="str">
        <f>IF($P240&lt;&gt;"", IF($H240="A VISTA", "", IF($H240="1+1", $C240 + CADASTROS!$C$4, IF($H240="1+2", $C240 + CADASTROS!$C$5, IF($H240="1+3", $C240 + CADASTROS!$E$6, "")))), "")</f>
        <v/>
      </c>
      <c r="P240" s="8" t="str">
        <f t="shared" si="15"/>
        <v/>
      </c>
    </row>
    <row r="241" spans="1:16">
      <c r="A241" s="2" t="s">
        <v>377</v>
      </c>
      <c r="B241" s="6" t="s">
        <v>19</v>
      </c>
      <c r="C241" s="7">
        <v>45284</v>
      </c>
      <c r="D241" s="7" t="s">
        <v>68</v>
      </c>
      <c r="E241" s="4" t="s">
        <v>111</v>
      </c>
      <c r="F241" s="4" t="s">
        <v>118</v>
      </c>
      <c r="G241" s="8">
        <v>2758</v>
      </c>
      <c r="H241" s="8" t="s">
        <v>138</v>
      </c>
      <c r="I241" s="3">
        <f>IF($H241="A VISTA", C241 + CADASTROS!$B$3, IF($H241="1+1", C241 + CADASTROS!$B$4, IF(H241="1+2", C241 + CADASTROS!$B$5, IF(H241="1+3", C241 + CADASTROS!$B$6, ""))))</f>
        <v>45285</v>
      </c>
      <c r="J241" s="8">
        <f t="shared" si="12"/>
        <v>1379</v>
      </c>
      <c r="K241" s="3">
        <f>IF($L241&lt;&gt;"", IF($H241="A VISTA", "", IF($H241="1+1", $C241 + CADASTROS!$C$4, IF($H241="1+2", $C241 + CADASTROS!$C$5, IF($H241="1+3", $C241 + CADASTROS!$E$4, "")))), "")</f>
        <v>45314</v>
      </c>
      <c r="L241" s="8">
        <f t="shared" si="13"/>
        <v>1379</v>
      </c>
      <c r="M241" s="3" t="str">
        <f>IF($N241&lt;&gt;"", IF($H241="A VISTA", "", IF($H241="1+1", $C241 + CADASTROS!$C$4, IF($H241="1+2", $C241 + CADASTROS!$D$5, IF($H241="1+3", $C241 + CADASTROS!$D$6, "")))), "")</f>
        <v/>
      </c>
      <c r="N241" s="8" t="str">
        <f t="shared" si="14"/>
        <v/>
      </c>
      <c r="O241" s="3" t="str">
        <f>IF($P241&lt;&gt;"", IF($H241="A VISTA", "", IF($H241="1+1", $C241 + CADASTROS!$C$4, IF($H241="1+2", $C241 + CADASTROS!$C$5, IF($H241="1+3", $C241 + CADASTROS!$E$6, "")))), "")</f>
        <v/>
      </c>
      <c r="P241" s="8" t="str">
        <f t="shared" si="15"/>
        <v/>
      </c>
    </row>
    <row r="242" spans="1:16">
      <c r="A242" s="2" t="s">
        <v>378</v>
      </c>
      <c r="B242" s="6" t="s">
        <v>59</v>
      </c>
      <c r="C242" s="7">
        <v>45526</v>
      </c>
      <c r="D242" s="7" t="s">
        <v>108</v>
      </c>
      <c r="E242" s="4" t="s">
        <v>111</v>
      </c>
      <c r="F242" s="4" t="s">
        <v>121</v>
      </c>
      <c r="G242" s="8">
        <v>5783</v>
      </c>
      <c r="H242" s="8" t="s">
        <v>137</v>
      </c>
      <c r="I242" s="3">
        <f>IF($H242="A VISTA", C242 + CADASTROS!$B$3, IF($H242="1+1", C242 + CADASTROS!$B$4, IF(H242="1+2", C242 + CADASTROS!$B$5, IF(H242="1+3", C242 + CADASTROS!$B$6, ""))))</f>
        <v>45527</v>
      </c>
      <c r="J242" s="8">
        <f t="shared" si="12"/>
        <v>1927.6666666666667</v>
      </c>
      <c r="K242" s="3">
        <f>IF($L242&lt;&gt;"", IF($H242="A VISTA", "", IF($H242="1+1", $C242 + CADASTROS!$C$4, IF($H242="1+2", $C242 + CADASTROS!$C$5, IF($H242="1+3", $C242 + CADASTROS!$E$4, "")))), "")</f>
        <v>45556</v>
      </c>
      <c r="L242" s="8">
        <f t="shared" si="13"/>
        <v>1927.6666666666667</v>
      </c>
      <c r="M242" s="3">
        <f>IF($N242&lt;&gt;"", IF($H242="A VISTA", "", IF($H242="1+1", $C242 + CADASTROS!$C$4, IF($H242="1+2", $C242 + CADASTROS!$D$5, IF($H242="1+3", $C242 + CADASTROS!$D$6, "")))), "")</f>
        <v>45571</v>
      </c>
      <c r="N242" s="8">
        <f t="shared" si="14"/>
        <v>1927.6666666666663</v>
      </c>
      <c r="O242" s="3" t="str">
        <f>IF($P242&lt;&gt;"", IF($H242="A VISTA", "", IF($H242="1+1", $C242 + CADASTROS!$C$4, IF($H242="1+2", $C242 + CADASTROS!$C$5, IF($H242="1+3", $C242 + CADASTROS!$E$6, "")))), "")</f>
        <v/>
      </c>
      <c r="P242" s="8" t="str">
        <f t="shared" si="15"/>
        <v/>
      </c>
    </row>
    <row r="243" spans="1:16">
      <c r="A243" s="2" t="s">
        <v>379</v>
      </c>
      <c r="B243" s="6" t="s">
        <v>59</v>
      </c>
      <c r="C243" s="7">
        <v>45260</v>
      </c>
      <c r="D243" s="7" t="s">
        <v>108</v>
      </c>
      <c r="E243" s="4" t="s">
        <v>111</v>
      </c>
      <c r="F243" s="4" t="s">
        <v>121</v>
      </c>
      <c r="G243" s="8">
        <v>1013</v>
      </c>
      <c r="H243" s="8" t="s">
        <v>126</v>
      </c>
      <c r="I243" s="3">
        <f>IF($H243="A VISTA", C243 + CADASTROS!$B$3, IF($H243="1+1", C243 + CADASTROS!$B$4, IF(H243="1+2", C243 + CADASTROS!$B$5, IF(H243="1+3", C243 + CADASTROS!$B$6, ""))))</f>
        <v>45261</v>
      </c>
      <c r="J243" s="8">
        <f t="shared" si="12"/>
        <v>1013</v>
      </c>
      <c r="K243" s="3" t="str">
        <f>IF($L243&lt;&gt;"", IF($H243="A VISTA", "", IF($H243="1+1", $C243 + CADASTROS!$C$4, IF($H243="1+2", $C243 + CADASTROS!$C$5, IF($H243="1+3", $C243 + CADASTROS!$E$4, "")))), "")</f>
        <v/>
      </c>
      <c r="L243" s="8" t="str">
        <f t="shared" si="13"/>
        <v/>
      </c>
      <c r="M243" s="3" t="str">
        <f>IF($N243&lt;&gt;"", IF($H243="A VISTA", "", IF($H243="1+1", $C243 + CADASTROS!$C$4, IF($H243="1+2", $C243 + CADASTROS!$D$5, IF($H243="1+3", $C243 + CADASTROS!$D$6, "")))), "")</f>
        <v/>
      </c>
      <c r="N243" s="8" t="str">
        <f t="shared" si="14"/>
        <v/>
      </c>
      <c r="O243" s="3" t="str">
        <f>IF($P243&lt;&gt;"", IF($H243="A VISTA", "", IF($H243="1+1", $C243 + CADASTROS!$C$4, IF($H243="1+2", $C243 + CADASTROS!$C$5, IF($H243="1+3", $C243 + CADASTROS!$E$6, "")))), "")</f>
        <v/>
      </c>
      <c r="P243" s="8" t="str">
        <f t="shared" si="15"/>
        <v/>
      </c>
    </row>
    <row r="244" spans="1:16">
      <c r="A244" s="2" t="s">
        <v>380</v>
      </c>
      <c r="B244" s="6" t="s">
        <v>19</v>
      </c>
      <c r="C244" s="7">
        <v>45181</v>
      </c>
      <c r="D244" s="7" t="s">
        <v>68</v>
      </c>
      <c r="E244" s="4" t="s">
        <v>111</v>
      </c>
      <c r="F244" s="4" t="s">
        <v>118</v>
      </c>
      <c r="G244" s="8">
        <v>1296</v>
      </c>
      <c r="H244" s="8" t="s">
        <v>137</v>
      </c>
      <c r="I244" s="3">
        <f>IF($H244="A VISTA", C244 + CADASTROS!$B$3, IF($H244="1+1", C244 + CADASTROS!$B$4, IF(H244="1+2", C244 + CADASTROS!$B$5, IF(H244="1+3", C244 + CADASTROS!$B$6, ""))))</f>
        <v>45182</v>
      </c>
      <c r="J244" s="8">
        <f t="shared" si="12"/>
        <v>432</v>
      </c>
      <c r="K244" s="3">
        <f>IF($L244&lt;&gt;"", IF($H244="A VISTA", "", IF($H244="1+1", $C244 + CADASTROS!$C$4, IF($H244="1+2", $C244 + CADASTROS!$C$5, IF($H244="1+3", $C244 + CADASTROS!$E$4, "")))), "")</f>
        <v>45211</v>
      </c>
      <c r="L244" s="8">
        <f t="shared" si="13"/>
        <v>432</v>
      </c>
      <c r="M244" s="3">
        <f>IF($N244&lt;&gt;"", IF($H244="A VISTA", "", IF($H244="1+1", $C244 + CADASTROS!$C$4, IF($H244="1+2", $C244 + CADASTROS!$D$5, IF($H244="1+3", $C244 + CADASTROS!$D$6, "")))), "")</f>
        <v>45226</v>
      </c>
      <c r="N244" s="8">
        <f t="shared" si="14"/>
        <v>432</v>
      </c>
      <c r="O244" s="3" t="str">
        <f>IF($P244&lt;&gt;"", IF($H244="A VISTA", "", IF($H244="1+1", $C244 + CADASTROS!$C$4, IF($H244="1+2", $C244 + CADASTROS!$C$5, IF($H244="1+3", $C244 + CADASTROS!$E$6, "")))), "")</f>
        <v/>
      </c>
      <c r="P244" s="8" t="str">
        <f t="shared" si="15"/>
        <v/>
      </c>
    </row>
    <row r="245" spans="1:16">
      <c r="A245" s="2" t="s">
        <v>381</v>
      </c>
      <c r="B245" s="6" t="s">
        <v>59</v>
      </c>
      <c r="C245" s="7">
        <v>45133</v>
      </c>
      <c r="D245" s="7" t="s">
        <v>108</v>
      </c>
      <c r="E245" s="4" t="s">
        <v>111</v>
      </c>
      <c r="F245" s="4" t="s">
        <v>121</v>
      </c>
      <c r="G245" s="8">
        <v>3437</v>
      </c>
      <c r="H245" s="8" t="s">
        <v>136</v>
      </c>
      <c r="I245" s="3">
        <f>IF($H245="A VISTA", C245 + CADASTROS!$B$3, IF($H245="1+1", C245 + CADASTROS!$B$4, IF(H245="1+2", C245 + CADASTROS!$B$5, IF(H245="1+3", C245 + CADASTROS!$B$6, ""))))</f>
        <v>45134</v>
      </c>
      <c r="J245" s="8">
        <f t="shared" si="12"/>
        <v>859.25</v>
      </c>
      <c r="K245" s="3">
        <f>IF($L245&lt;&gt;"", IF($H245="A VISTA", "", IF($H245="1+1", $C245 + CADASTROS!$C$4, IF($H245="1+2", $C245 + CADASTROS!$C$5, IF($H245="1+3", $C245 + CADASTROS!$E$4, "")))), "")</f>
        <v>45133</v>
      </c>
      <c r="L245" s="8">
        <f t="shared" si="13"/>
        <v>859.25</v>
      </c>
      <c r="M245" s="3">
        <f>IF($N245&lt;&gt;"", IF($H245="A VISTA", "", IF($H245="1+1", $C245 + CADASTROS!$C$4, IF($H245="1+2", $C245 + CADASTROS!$D$5, IF($H245="1+3", $C245 + CADASTROS!$D$6, "")))), "")</f>
        <v>45178</v>
      </c>
      <c r="N245" s="8">
        <f t="shared" si="14"/>
        <v>859.25</v>
      </c>
      <c r="O245" s="3">
        <f>IF($P245&lt;&gt;"", IF($H245="A VISTA", "", IF($H245="1+1", $C245 + CADASTROS!$C$4, IF($H245="1+2", $C245 + CADASTROS!$C$5, IF($H245="1+3", $C245 + CADASTROS!$E$6, "")))), "")</f>
        <v>45193</v>
      </c>
      <c r="P245" s="8">
        <f t="shared" si="15"/>
        <v>859.25</v>
      </c>
    </row>
    <row r="246" spans="1:16">
      <c r="A246" s="2" t="s">
        <v>382</v>
      </c>
      <c r="B246" s="6" t="s">
        <v>23</v>
      </c>
      <c r="C246" s="7">
        <v>45348</v>
      </c>
      <c r="D246" s="7" t="s">
        <v>72</v>
      </c>
      <c r="E246" s="4" t="s">
        <v>110</v>
      </c>
      <c r="F246" s="4" t="s">
        <v>113</v>
      </c>
      <c r="G246" s="8">
        <v>4535</v>
      </c>
      <c r="H246" s="8" t="s">
        <v>137</v>
      </c>
      <c r="I246" s="3">
        <f>IF($H246="A VISTA", C246 + CADASTROS!$B$3, IF($H246="1+1", C246 + CADASTROS!$B$4, IF(H246="1+2", C246 + CADASTROS!$B$5, IF(H246="1+3", C246 + CADASTROS!$B$6, ""))))</f>
        <v>45349</v>
      </c>
      <c r="J246" s="8">
        <f t="shared" si="12"/>
        <v>1511.6666666666667</v>
      </c>
      <c r="K246" s="3">
        <f>IF($L246&lt;&gt;"", IF($H246="A VISTA", "", IF($H246="1+1", $C246 + CADASTROS!$C$4, IF($H246="1+2", $C246 + CADASTROS!$C$5, IF($H246="1+3", $C246 + CADASTROS!$E$4, "")))), "")</f>
        <v>45378</v>
      </c>
      <c r="L246" s="8">
        <f t="shared" si="13"/>
        <v>1511.6666666666667</v>
      </c>
      <c r="M246" s="3">
        <f>IF($N246&lt;&gt;"", IF($H246="A VISTA", "", IF($H246="1+1", $C246 + CADASTROS!$C$4, IF($H246="1+2", $C246 + CADASTROS!$D$5, IF($H246="1+3", $C246 + CADASTROS!$D$6, "")))), "")</f>
        <v>45393</v>
      </c>
      <c r="N246" s="8">
        <f t="shared" si="14"/>
        <v>1511.6666666666663</v>
      </c>
      <c r="O246" s="3" t="str">
        <f>IF($P246&lt;&gt;"", IF($H246="A VISTA", "", IF($H246="1+1", $C246 + CADASTROS!$C$4, IF($H246="1+2", $C246 + CADASTROS!$C$5, IF($H246="1+3", $C246 + CADASTROS!$E$6, "")))), "")</f>
        <v/>
      </c>
      <c r="P246" s="8" t="str">
        <f t="shared" si="15"/>
        <v/>
      </c>
    </row>
    <row r="247" spans="1:16">
      <c r="A247" s="2" t="s">
        <v>383</v>
      </c>
      <c r="B247" s="6" t="s">
        <v>23</v>
      </c>
      <c r="C247" s="7">
        <v>45090</v>
      </c>
      <c r="D247" s="7" t="s">
        <v>72</v>
      </c>
      <c r="E247" s="4" t="s">
        <v>110</v>
      </c>
      <c r="F247" s="4" t="s">
        <v>113</v>
      </c>
      <c r="G247" s="8">
        <v>6258</v>
      </c>
      <c r="H247" s="8" t="s">
        <v>137</v>
      </c>
      <c r="I247" s="3">
        <f>IF($H247="A VISTA", C247 + CADASTROS!$B$3, IF($H247="1+1", C247 + CADASTROS!$B$4, IF(H247="1+2", C247 + CADASTROS!$B$5, IF(H247="1+3", C247 + CADASTROS!$B$6, ""))))</f>
        <v>45091</v>
      </c>
      <c r="J247" s="8">
        <f t="shared" si="12"/>
        <v>2086</v>
      </c>
      <c r="K247" s="3">
        <f>IF($L247&lt;&gt;"", IF($H247="A VISTA", "", IF($H247="1+1", $C247 + CADASTROS!$C$4, IF($H247="1+2", $C247 + CADASTROS!$C$5, IF($H247="1+3", $C247 + CADASTROS!$E$4, "")))), "")</f>
        <v>45120</v>
      </c>
      <c r="L247" s="8">
        <f t="shared" si="13"/>
        <v>2086</v>
      </c>
      <c r="M247" s="3">
        <f>IF($N247&lt;&gt;"", IF($H247="A VISTA", "", IF($H247="1+1", $C247 + CADASTROS!$C$4, IF($H247="1+2", $C247 + CADASTROS!$D$5, IF($H247="1+3", $C247 + CADASTROS!$D$6, "")))), "")</f>
        <v>45135</v>
      </c>
      <c r="N247" s="8">
        <f t="shared" si="14"/>
        <v>2086</v>
      </c>
      <c r="O247" s="3" t="str">
        <f>IF($P247&lt;&gt;"", IF($H247="A VISTA", "", IF($H247="1+1", $C247 + CADASTROS!$C$4, IF($H247="1+2", $C247 + CADASTROS!$C$5, IF($H247="1+3", $C247 + CADASTROS!$E$6, "")))), "")</f>
        <v/>
      </c>
      <c r="P247" s="8" t="str">
        <f t="shared" si="15"/>
        <v/>
      </c>
    </row>
    <row r="248" spans="1:16">
      <c r="A248" s="2" t="s">
        <v>384</v>
      </c>
      <c r="B248" s="6" t="s">
        <v>43</v>
      </c>
      <c r="C248" s="7">
        <v>45463</v>
      </c>
      <c r="D248" s="7" t="s">
        <v>92</v>
      </c>
      <c r="E248" s="4" t="s">
        <v>110</v>
      </c>
      <c r="F248" s="4" t="s">
        <v>124</v>
      </c>
      <c r="G248" s="8">
        <v>9865</v>
      </c>
      <c r="H248" s="8" t="s">
        <v>137</v>
      </c>
      <c r="I248" s="3">
        <f>IF($H248="A VISTA", C248 + CADASTROS!$B$3, IF($H248="1+1", C248 + CADASTROS!$B$4, IF(H248="1+2", C248 + CADASTROS!$B$5, IF(H248="1+3", C248 + CADASTROS!$B$6, ""))))</f>
        <v>45464</v>
      </c>
      <c r="J248" s="8">
        <f t="shared" si="12"/>
        <v>3288.3333333333335</v>
      </c>
      <c r="K248" s="3">
        <f>IF($L248&lt;&gt;"", IF($H248="A VISTA", "", IF($H248="1+1", $C248 + CADASTROS!$C$4, IF($H248="1+2", $C248 + CADASTROS!$C$5, IF($H248="1+3", $C248 + CADASTROS!$E$4, "")))), "")</f>
        <v>45493</v>
      </c>
      <c r="L248" s="8">
        <f t="shared" si="13"/>
        <v>3288.3333333333335</v>
      </c>
      <c r="M248" s="3">
        <f>IF($N248&lt;&gt;"", IF($H248="A VISTA", "", IF($H248="1+1", $C248 + CADASTROS!$C$4, IF($H248="1+2", $C248 + CADASTROS!$D$5, IF($H248="1+3", $C248 + CADASTROS!$D$6, "")))), "")</f>
        <v>45508</v>
      </c>
      <c r="N248" s="8">
        <f t="shared" si="14"/>
        <v>3288.3333333333326</v>
      </c>
      <c r="O248" s="3" t="str">
        <f>IF($P248&lt;&gt;"", IF($H248="A VISTA", "", IF($H248="1+1", $C248 + CADASTROS!$C$4, IF($H248="1+2", $C248 + CADASTROS!$C$5, IF($H248="1+3", $C248 + CADASTROS!$E$6, "")))), "")</f>
        <v/>
      </c>
      <c r="P248" s="8" t="str">
        <f t="shared" si="15"/>
        <v/>
      </c>
    </row>
    <row r="249" spans="1:16">
      <c r="A249" s="2" t="s">
        <v>385</v>
      </c>
      <c r="B249" s="6" t="s">
        <v>27</v>
      </c>
      <c r="C249" s="7">
        <v>45267</v>
      </c>
      <c r="D249" s="7" t="s">
        <v>76</v>
      </c>
      <c r="E249" s="4" t="s">
        <v>110</v>
      </c>
      <c r="F249" s="4" t="s">
        <v>125</v>
      </c>
      <c r="G249" s="8">
        <v>3344</v>
      </c>
      <c r="H249" s="8" t="s">
        <v>138</v>
      </c>
      <c r="I249" s="3">
        <f>IF($H249="A VISTA", C249 + CADASTROS!$B$3, IF($H249="1+1", C249 + CADASTROS!$B$4, IF(H249="1+2", C249 + CADASTROS!$B$5, IF(H249="1+3", C249 + CADASTROS!$B$6, ""))))</f>
        <v>45268</v>
      </c>
      <c r="J249" s="8">
        <f t="shared" si="12"/>
        <v>1672</v>
      </c>
      <c r="K249" s="3">
        <f>IF($L249&lt;&gt;"", IF($H249="A VISTA", "", IF($H249="1+1", $C249 + CADASTROS!$C$4, IF($H249="1+2", $C249 + CADASTROS!$C$5, IF($H249="1+3", $C249 + CADASTROS!$E$4, "")))), "")</f>
        <v>45297</v>
      </c>
      <c r="L249" s="8">
        <f t="shared" si="13"/>
        <v>1672</v>
      </c>
      <c r="M249" s="3" t="str">
        <f>IF($N249&lt;&gt;"", IF($H249="A VISTA", "", IF($H249="1+1", $C249 + CADASTROS!$C$4, IF($H249="1+2", $C249 + CADASTROS!$D$5, IF($H249="1+3", $C249 + CADASTROS!$D$6, "")))), "")</f>
        <v/>
      </c>
      <c r="N249" s="8" t="str">
        <f t="shared" si="14"/>
        <v/>
      </c>
      <c r="O249" s="3" t="str">
        <f>IF($P249&lt;&gt;"", IF($H249="A VISTA", "", IF($H249="1+1", $C249 + CADASTROS!$C$4, IF($H249="1+2", $C249 + CADASTROS!$C$5, IF($H249="1+3", $C249 + CADASTROS!$E$6, "")))), "")</f>
        <v/>
      </c>
      <c r="P249" s="8" t="str">
        <f t="shared" si="15"/>
        <v/>
      </c>
    </row>
    <row r="250" spans="1:16">
      <c r="A250" s="2" t="s">
        <v>386</v>
      </c>
      <c r="B250" s="6" t="s">
        <v>25</v>
      </c>
      <c r="C250" s="7">
        <v>45199</v>
      </c>
      <c r="D250" s="7" t="s">
        <v>74</v>
      </c>
      <c r="E250" s="4" t="s">
        <v>111</v>
      </c>
      <c r="F250" s="4" t="s">
        <v>120</v>
      </c>
      <c r="G250" s="8">
        <v>3488</v>
      </c>
      <c r="H250" s="8" t="s">
        <v>136</v>
      </c>
      <c r="I250" s="3">
        <f>IF($H250="A VISTA", C250 + CADASTROS!$B$3, IF($H250="1+1", C250 + CADASTROS!$B$4, IF(H250="1+2", C250 + CADASTROS!$B$5, IF(H250="1+3", C250 + CADASTROS!$B$6, ""))))</f>
        <v>45200</v>
      </c>
      <c r="J250" s="8">
        <f t="shared" si="12"/>
        <v>872</v>
      </c>
      <c r="K250" s="3">
        <f>IF($L250&lt;&gt;"", IF($H250="A VISTA", "", IF($H250="1+1", $C250 + CADASTROS!$C$4, IF($H250="1+2", $C250 + CADASTROS!$C$5, IF($H250="1+3", $C250 + CADASTROS!$E$4, "")))), "")</f>
        <v>45199</v>
      </c>
      <c r="L250" s="8">
        <f t="shared" si="13"/>
        <v>872</v>
      </c>
      <c r="M250" s="3">
        <f>IF($N250&lt;&gt;"", IF($H250="A VISTA", "", IF($H250="1+1", $C250 + CADASTROS!$C$4, IF($H250="1+2", $C250 + CADASTROS!$D$5, IF($H250="1+3", $C250 + CADASTROS!$D$6, "")))), "")</f>
        <v>45244</v>
      </c>
      <c r="N250" s="8">
        <f t="shared" si="14"/>
        <v>872</v>
      </c>
      <c r="O250" s="3">
        <f>IF($P250&lt;&gt;"", IF($H250="A VISTA", "", IF($H250="1+1", $C250 + CADASTROS!$C$4, IF($H250="1+2", $C250 + CADASTROS!$C$5, IF($H250="1+3", $C250 + CADASTROS!$E$6, "")))), "")</f>
        <v>45259</v>
      </c>
      <c r="P250" s="8">
        <f t="shared" si="15"/>
        <v>872</v>
      </c>
    </row>
    <row r="251" spans="1:16">
      <c r="A251" s="2" t="s">
        <v>387</v>
      </c>
      <c r="B251" s="6" t="s">
        <v>53</v>
      </c>
      <c r="C251" s="7">
        <v>45368</v>
      </c>
      <c r="D251" s="7" t="s">
        <v>102</v>
      </c>
      <c r="E251" s="4" t="s">
        <v>111</v>
      </c>
      <c r="F251" s="4" t="s">
        <v>117</v>
      </c>
      <c r="G251" s="8">
        <v>6517</v>
      </c>
      <c r="H251" s="8" t="s">
        <v>136</v>
      </c>
      <c r="I251" s="3">
        <f>IF($H251="A VISTA", C251 + CADASTROS!$B$3, IF($H251="1+1", C251 + CADASTROS!$B$4, IF(H251="1+2", C251 + CADASTROS!$B$5, IF(H251="1+3", C251 + CADASTROS!$B$6, ""))))</f>
        <v>45369</v>
      </c>
      <c r="J251" s="8">
        <f t="shared" si="12"/>
        <v>1629.25</v>
      </c>
      <c r="K251" s="3">
        <f>IF($L251&lt;&gt;"", IF($H251="A VISTA", "", IF($H251="1+1", $C251 + CADASTROS!$C$4, IF($H251="1+2", $C251 + CADASTROS!$C$5, IF($H251="1+3", $C251 + CADASTROS!$E$4, "")))), "")</f>
        <v>45368</v>
      </c>
      <c r="L251" s="8">
        <f t="shared" si="13"/>
        <v>1629.25</v>
      </c>
      <c r="M251" s="3">
        <f>IF($N251&lt;&gt;"", IF($H251="A VISTA", "", IF($H251="1+1", $C251 + CADASTROS!$C$4, IF($H251="1+2", $C251 + CADASTROS!$D$5, IF($H251="1+3", $C251 + CADASTROS!$D$6, "")))), "")</f>
        <v>45413</v>
      </c>
      <c r="N251" s="8">
        <f t="shared" si="14"/>
        <v>1629.25</v>
      </c>
      <c r="O251" s="3">
        <f>IF($P251&lt;&gt;"", IF($H251="A VISTA", "", IF($H251="1+1", $C251 + CADASTROS!$C$4, IF($H251="1+2", $C251 + CADASTROS!$C$5, IF($H251="1+3", $C251 + CADASTROS!$E$6, "")))), "")</f>
        <v>45428</v>
      </c>
      <c r="P251" s="8">
        <f t="shared" si="15"/>
        <v>1629.25</v>
      </c>
    </row>
    <row r="252" spans="1:16">
      <c r="A252" s="2" t="s">
        <v>388</v>
      </c>
      <c r="B252" s="6" t="s">
        <v>13</v>
      </c>
      <c r="C252" s="7">
        <v>45400</v>
      </c>
      <c r="D252" s="7" t="s">
        <v>63</v>
      </c>
      <c r="E252" s="4" t="s">
        <v>111</v>
      </c>
      <c r="F252" s="4" t="s">
        <v>120</v>
      </c>
      <c r="G252" s="8">
        <v>4114</v>
      </c>
      <c r="H252" s="8" t="s">
        <v>137</v>
      </c>
      <c r="I252" s="3">
        <f>IF($H252="A VISTA", C252 + CADASTROS!$B$3, IF($H252="1+1", C252 + CADASTROS!$B$4, IF(H252="1+2", C252 + CADASTROS!$B$5, IF(H252="1+3", C252 + CADASTROS!$B$6, ""))))</f>
        <v>45401</v>
      </c>
      <c r="J252" s="8">
        <f t="shared" si="12"/>
        <v>1371.3333333333333</v>
      </c>
      <c r="K252" s="3">
        <f>IF($L252&lt;&gt;"", IF($H252="A VISTA", "", IF($H252="1+1", $C252 + CADASTROS!$C$4, IF($H252="1+2", $C252 + CADASTROS!$C$5, IF($H252="1+3", $C252 + CADASTROS!$E$4, "")))), "")</f>
        <v>45430</v>
      </c>
      <c r="L252" s="8">
        <f t="shared" si="13"/>
        <v>1371.3333333333333</v>
      </c>
      <c r="M252" s="3">
        <f>IF($N252&lt;&gt;"", IF($H252="A VISTA", "", IF($H252="1+1", $C252 + CADASTROS!$C$4, IF($H252="1+2", $C252 + CADASTROS!$D$5, IF($H252="1+3", $C252 + CADASTROS!$D$6, "")))), "")</f>
        <v>45445</v>
      </c>
      <c r="N252" s="8">
        <f t="shared" si="14"/>
        <v>1371.3333333333337</v>
      </c>
      <c r="O252" s="3" t="str">
        <f>IF($P252&lt;&gt;"", IF($H252="A VISTA", "", IF($H252="1+1", $C252 + CADASTROS!$C$4, IF($H252="1+2", $C252 + CADASTROS!$C$5, IF($H252="1+3", $C252 + CADASTROS!$E$6, "")))), "")</f>
        <v/>
      </c>
      <c r="P252" s="8" t="str">
        <f t="shared" si="15"/>
        <v/>
      </c>
    </row>
    <row r="253" spans="1:16">
      <c r="A253" s="2" t="s">
        <v>389</v>
      </c>
      <c r="B253" s="6" t="s">
        <v>57</v>
      </c>
      <c r="C253" s="7">
        <v>45338</v>
      </c>
      <c r="D253" s="7" t="s">
        <v>106</v>
      </c>
      <c r="E253" s="4" t="s">
        <v>112</v>
      </c>
      <c r="F253" s="4" t="s">
        <v>122</v>
      </c>
      <c r="G253" s="8">
        <v>5034</v>
      </c>
      <c r="H253" s="8" t="s">
        <v>126</v>
      </c>
      <c r="I253" s="3">
        <f>IF($H253="A VISTA", C253 + CADASTROS!$B$3, IF($H253="1+1", C253 + CADASTROS!$B$4, IF(H253="1+2", C253 + CADASTROS!$B$5, IF(H253="1+3", C253 + CADASTROS!$B$6, ""))))</f>
        <v>45339</v>
      </c>
      <c r="J253" s="8">
        <f t="shared" si="12"/>
        <v>5034</v>
      </c>
      <c r="K253" s="3" t="str">
        <f>IF($L253&lt;&gt;"", IF($H253="A VISTA", "", IF($H253="1+1", $C253 + CADASTROS!$C$4, IF($H253="1+2", $C253 + CADASTROS!$C$5, IF($H253="1+3", $C253 + CADASTROS!$E$4, "")))), "")</f>
        <v/>
      </c>
      <c r="L253" s="8" t="str">
        <f t="shared" si="13"/>
        <v/>
      </c>
      <c r="M253" s="3" t="str">
        <f>IF($N253&lt;&gt;"", IF($H253="A VISTA", "", IF($H253="1+1", $C253 + CADASTROS!$C$4, IF($H253="1+2", $C253 + CADASTROS!$D$5, IF($H253="1+3", $C253 + CADASTROS!$D$6, "")))), "")</f>
        <v/>
      </c>
      <c r="N253" s="8" t="str">
        <f t="shared" si="14"/>
        <v/>
      </c>
      <c r="O253" s="3" t="str">
        <f>IF($P253&lt;&gt;"", IF($H253="A VISTA", "", IF($H253="1+1", $C253 + CADASTROS!$C$4, IF($H253="1+2", $C253 + CADASTROS!$C$5, IF($H253="1+3", $C253 + CADASTROS!$E$6, "")))), "")</f>
        <v/>
      </c>
      <c r="P253" s="8" t="str">
        <f t="shared" si="15"/>
        <v/>
      </c>
    </row>
    <row r="254" spans="1:16">
      <c r="A254" s="2" t="s">
        <v>390</v>
      </c>
      <c r="B254" s="6" t="s">
        <v>17</v>
      </c>
      <c r="C254" s="7">
        <v>45283</v>
      </c>
      <c r="D254" s="7" t="s">
        <v>66</v>
      </c>
      <c r="E254" s="4" t="s">
        <v>110</v>
      </c>
      <c r="F254" s="4" t="s">
        <v>114</v>
      </c>
      <c r="G254" s="8">
        <v>3245</v>
      </c>
      <c r="H254" s="8" t="s">
        <v>136</v>
      </c>
      <c r="I254" s="3">
        <f>IF($H254="A VISTA", C254 + CADASTROS!$B$3, IF($H254="1+1", C254 + CADASTROS!$B$4, IF(H254="1+2", C254 + CADASTROS!$B$5, IF(H254="1+3", C254 + CADASTROS!$B$6, ""))))</f>
        <v>45284</v>
      </c>
      <c r="J254" s="8">
        <f t="shared" si="12"/>
        <v>811.25</v>
      </c>
      <c r="K254" s="3">
        <f>IF($L254&lt;&gt;"", IF($H254="A VISTA", "", IF($H254="1+1", $C254 + CADASTROS!$C$4, IF($H254="1+2", $C254 + CADASTROS!$C$5, IF($H254="1+3", $C254 + CADASTROS!$E$4, "")))), "")</f>
        <v>45283</v>
      </c>
      <c r="L254" s="8">
        <f t="shared" si="13"/>
        <v>811.25</v>
      </c>
      <c r="M254" s="3">
        <f>IF($N254&lt;&gt;"", IF($H254="A VISTA", "", IF($H254="1+1", $C254 + CADASTROS!$C$4, IF($H254="1+2", $C254 + CADASTROS!$D$5, IF($H254="1+3", $C254 + CADASTROS!$D$6, "")))), "")</f>
        <v>45328</v>
      </c>
      <c r="N254" s="8">
        <f t="shared" si="14"/>
        <v>811.25</v>
      </c>
      <c r="O254" s="3">
        <f>IF($P254&lt;&gt;"", IF($H254="A VISTA", "", IF($H254="1+1", $C254 + CADASTROS!$C$4, IF($H254="1+2", $C254 + CADASTROS!$C$5, IF($H254="1+3", $C254 + CADASTROS!$E$6, "")))), "")</f>
        <v>45343</v>
      </c>
      <c r="P254" s="8">
        <f t="shared" si="15"/>
        <v>811.25</v>
      </c>
    </row>
    <row r="255" spans="1:16">
      <c r="A255" s="2" t="s">
        <v>391</v>
      </c>
      <c r="B255" s="6" t="s">
        <v>46</v>
      </c>
      <c r="C255" s="7">
        <v>45411</v>
      </c>
      <c r="D255" s="7" t="s">
        <v>95</v>
      </c>
      <c r="E255" s="4" t="s">
        <v>112</v>
      </c>
      <c r="F255" s="4" t="s">
        <v>122</v>
      </c>
      <c r="G255" s="8">
        <v>8733</v>
      </c>
      <c r="H255" s="8" t="s">
        <v>126</v>
      </c>
      <c r="I255" s="3">
        <f>IF($H255="A VISTA", C255 + CADASTROS!$B$3, IF($H255="1+1", C255 + CADASTROS!$B$4, IF(H255="1+2", C255 + CADASTROS!$B$5, IF(H255="1+3", C255 + CADASTROS!$B$6, ""))))</f>
        <v>45412</v>
      </c>
      <c r="J255" s="8">
        <f t="shared" si="12"/>
        <v>8733</v>
      </c>
      <c r="K255" s="3" t="str">
        <f>IF($L255&lt;&gt;"", IF($H255="A VISTA", "", IF($H255="1+1", $C255 + CADASTROS!$C$4, IF($H255="1+2", $C255 + CADASTROS!$C$5, IF($H255="1+3", $C255 + CADASTROS!$E$4, "")))), "")</f>
        <v/>
      </c>
      <c r="L255" s="8" t="str">
        <f t="shared" si="13"/>
        <v/>
      </c>
      <c r="M255" s="3" t="str">
        <f>IF($N255&lt;&gt;"", IF($H255="A VISTA", "", IF($H255="1+1", $C255 + CADASTROS!$C$4, IF($H255="1+2", $C255 + CADASTROS!$D$5, IF($H255="1+3", $C255 + CADASTROS!$D$6, "")))), "")</f>
        <v/>
      </c>
      <c r="N255" s="8" t="str">
        <f t="shared" si="14"/>
        <v/>
      </c>
      <c r="O255" s="3" t="str">
        <f>IF($P255&lt;&gt;"", IF($H255="A VISTA", "", IF($H255="1+1", $C255 + CADASTROS!$C$4, IF($H255="1+2", $C255 + CADASTROS!$C$5, IF($H255="1+3", $C255 + CADASTROS!$E$6, "")))), "")</f>
        <v/>
      </c>
      <c r="P255" s="8" t="str">
        <f t="shared" si="15"/>
        <v/>
      </c>
    </row>
    <row r="256" spans="1:16">
      <c r="A256" s="2" t="s">
        <v>392</v>
      </c>
      <c r="B256" s="6" t="s">
        <v>30</v>
      </c>
      <c r="C256" s="7">
        <v>45292</v>
      </c>
      <c r="D256" s="7" t="s">
        <v>79</v>
      </c>
      <c r="E256" s="4" t="s">
        <v>111</v>
      </c>
      <c r="F256" s="4" t="s">
        <v>118</v>
      </c>
      <c r="G256" s="8">
        <v>7791</v>
      </c>
      <c r="H256" s="8" t="s">
        <v>137</v>
      </c>
      <c r="I256" s="3">
        <f>IF($H256="A VISTA", C256 + CADASTROS!$B$3, IF($H256="1+1", C256 + CADASTROS!$B$4, IF(H256="1+2", C256 + CADASTROS!$B$5, IF(H256="1+3", C256 + CADASTROS!$B$6, ""))))</f>
        <v>45293</v>
      </c>
      <c r="J256" s="8">
        <f t="shared" si="12"/>
        <v>2597</v>
      </c>
      <c r="K256" s="3">
        <f>IF($L256&lt;&gt;"", IF($H256="A VISTA", "", IF($H256="1+1", $C256 + CADASTROS!$C$4, IF($H256="1+2", $C256 + CADASTROS!$C$5, IF($H256="1+3", $C256 + CADASTROS!$E$4, "")))), "")</f>
        <v>45322</v>
      </c>
      <c r="L256" s="8">
        <f t="shared" si="13"/>
        <v>2597</v>
      </c>
      <c r="M256" s="3">
        <f>IF($N256&lt;&gt;"", IF($H256="A VISTA", "", IF($H256="1+1", $C256 + CADASTROS!$C$4, IF($H256="1+2", $C256 + CADASTROS!$D$5, IF($H256="1+3", $C256 + CADASTROS!$D$6, "")))), "")</f>
        <v>45337</v>
      </c>
      <c r="N256" s="8">
        <f t="shared" si="14"/>
        <v>2597</v>
      </c>
      <c r="O256" s="3" t="str">
        <f>IF($P256&lt;&gt;"", IF($H256="A VISTA", "", IF($H256="1+1", $C256 + CADASTROS!$C$4, IF($H256="1+2", $C256 + CADASTROS!$C$5, IF($H256="1+3", $C256 + CADASTROS!$E$6, "")))), "")</f>
        <v/>
      </c>
      <c r="P256" s="8" t="str">
        <f t="shared" si="15"/>
        <v/>
      </c>
    </row>
    <row r="257" spans="1:16">
      <c r="A257" s="2" t="s">
        <v>393</v>
      </c>
      <c r="B257" s="6" t="s">
        <v>21</v>
      </c>
      <c r="C257" s="7">
        <v>45309</v>
      </c>
      <c r="D257" s="7" t="s">
        <v>70</v>
      </c>
      <c r="E257" s="4" t="s">
        <v>110</v>
      </c>
      <c r="F257" s="4" t="s">
        <v>124</v>
      </c>
      <c r="G257" s="8">
        <v>7219</v>
      </c>
      <c r="H257" s="8" t="s">
        <v>137</v>
      </c>
      <c r="I257" s="3">
        <f>IF($H257="A VISTA", C257 + CADASTROS!$B$3, IF($H257="1+1", C257 + CADASTROS!$B$4, IF(H257="1+2", C257 + CADASTROS!$B$5, IF(H257="1+3", C257 + CADASTROS!$B$6, ""))))</f>
        <v>45310</v>
      </c>
      <c r="J257" s="8">
        <f t="shared" si="12"/>
        <v>2406.3333333333335</v>
      </c>
      <c r="K257" s="3">
        <f>IF($L257&lt;&gt;"", IF($H257="A VISTA", "", IF($H257="1+1", $C257 + CADASTROS!$C$4, IF($H257="1+2", $C257 + CADASTROS!$C$5, IF($H257="1+3", $C257 + CADASTROS!$E$4, "")))), "")</f>
        <v>45339</v>
      </c>
      <c r="L257" s="8">
        <f t="shared" si="13"/>
        <v>2406.3333333333335</v>
      </c>
      <c r="M257" s="3">
        <f>IF($N257&lt;&gt;"", IF($H257="A VISTA", "", IF($H257="1+1", $C257 + CADASTROS!$C$4, IF($H257="1+2", $C257 + CADASTROS!$D$5, IF($H257="1+3", $C257 + CADASTROS!$D$6, "")))), "")</f>
        <v>45354</v>
      </c>
      <c r="N257" s="8">
        <f t="shared" si="14"/>
        <v>2406.3333333333326</v>
      </c>
      <c r="O257" s="3" t="str">
        <f>IF($P257&lt;&gt;"", IF($H257="A VISTA", "", IF($H257="1+1", $C257 + CADASTROS!$C$4, IF($H257="1+2", $C257 + CADASTROS!$C$5, IF($H257="1+3", $C257 + CADASTROS!$E$6, "")))), "")</f>
        <v/>
      </c>
      <c r="P257" s="8" t="str">
        <f t="shared" si="15"/>
        <v/>
      </c>
    </row>
    <row r="258" spans="1:16">
      <c r="A258" s="2" t="s">
        <v>394</v>
      </c>
      <c r="B258" s="6" t="s">
        <v>51</v>
      </c>
      <c r="C258" s="7">
        <v>45452</v>
      </c>
      <c r="D258" s="7" t="s">
        <v>100</v>
      </c>
      <c r="E258" s="4" t="s">
        <v>111</v>
      </c>
      <c r="F258" s="4" t="s">
        <v>121</v>
      </c>
      <c r="G258" s="8">
        <v>8725</v>
      </c>
      <c r="H258" s="8" t="s">
        <v>136</v>
      </c>
      <c r="I258" s="3">
        <f>IF($H258="A VISTA", C258 + CADASTROS!$B$3, IF($H258="1+1", C258 + CADASTROS!$B$4, IF(H258="1+2", C258 + CADASTROS!$B$5, IF(H258="1+3", C258 + CADASTROS!$B$6, ""))))</f>
        <v>45453</v>
      </c>
      <c r="J258" s="8">
        <f t="shared" si="12"/>
        <v>2181.25</v>
      </c>
      <c r="K258" s="3">
        <f>IF($L258&lt;&gt;"", IF($H258="A VISTA", "", IF($H258="1+1", $C258 + CADASTROS!$C$4, IF($H258="1+2", $C258 + CADASTROS!$C$5, IF($H258="1+3", $C258 + CADASTROS!$E$4, "")))), "")</f>
        <v>45452</v>
      </c>
      <c r="L258" s="8">
        <f t="shared" si="13"/>
        <v>2181.25</v>
      </c>
      <c r="M258" s="3">
        <f>IF($N258&lt;&gt;"", IF($H258="A VISTA", "", IF($H258="1+1", $C258 + CADASTROS!$C$4, IF($H258="1+2", $C258 + CADASTROS!$D$5, IF($H258="1+3", $C258 + CADASTROS!$D$6, "")))), "")</f>
        <v>45497</v>
      </c>
      <c r="N258" s="8">
        <f t="shared" si="14"/>
        <v>2181.25</v>
      </c>
      <c r="O258" s="3">
        <f>IF($P258&lt;&gt;"", IF($H258="A VISTA", "", IF($H258="1+1", $C258 + CADASTROS!$C$4, IF($H258="1+2", $C258 + CADASTROS!$C$5, IF($H258="1+3", $C258 + CADASTROS!$E$6, "")))), "")</f>
        <v>45512</v>
      </c>
      <c r="P258" s="8">
        <f t="shared" si="15"/>
        <v>2181.25</v>
      </c>
    </row>
    <row r="259" spans="1:16">
      <c r="A259" s="2" t="s">
        <v>395</v>
      </c>
      <c r="B259" s="6" t="s">
        <v>57</v>
      </c>
      <c r="C259" s="7">
        <v>45221</v>
      </c>
      <c r="D259" s="7" t="s">
        <v>106</v>
      </c>
      <c r="E259" s="4" t="s">
        <v>112</v>
      </c>
      <c r="F259" s="4" t="s">
        <v>122</v>
      </c>
      <c r="G259" s="8">
        <v>4117</v>
      </c>
      <c r="H259" s="8" t="s">
        <v>126</v>
      </c>
      <c r="I259" s="3">
        <f>IF($H259="A VISTA", C259 + CADASTROS!$B$3, IF($H259="1+1", C259 + CADASTROS!$B$4, IF(H259="1+2", C259 + CADASTROS!$B$5, IF(H259="1+3", C259 + CADASTROS!$B$6, ""))))</f>
        <v>45222</v>
      </c>
      <c r="J259" s="8">
        <f t="shared" ref="J259:J322" si="16">IF($H259="A VISTA", $G259, IF($H259="1+1", $G259/2, IF($H259="1+2", $G259/3, IF($H259="1+3", $G259/4, ""))))</f>
        <v>4117</v>
      </c>
      <c r="K259" s="3" t="str">
        <f>IF($L259&lt;&gt;"", IF($H259="A VISTA", "", IF($H259="1+1", $C259 + CADASTROS!$C$4, IF($H259="1+2", $C259 + CADASTROS!$C$5, IF($H259="1+3", $C259 + CADASTROS!$E$4, "")))), "")</f>
        <v/>
      </c>
      <c r="L259" s="8" t="str">
        <f t="shared" ref="L259:L322" si="17">IF($H259="A VISTA", "", IF($H259="1+1", $G259-$J259, IF($H259="1+2", $G259/3, IF($H259="1+3", ($G259-$J259)/3, ""))))</f>
        <v/>
      </c>
      <c r="M259" s="3" t="str">
        <f>IF($N259&lt;&gt;"", IF($H259="A VISTA", "", IF($H259="1+1", $C259 + CADASTROS!$C$4, IF($H259="1+2", $C259 + CADASTROS!$D$5, IF($H259="1+3", $C259 + CADASTROS!$D$6, "")))), "")</f>
        <v/>
      </c>
      <c r="N259" s="8" t="str">
        <f t="shared" ref="N259:N322" si="18">IF($H259="A VISTA","",IF($H259="1+2",$G259-$J259-$L259,IF($H259="1+3",($G259-$J259-$L259)/2,"")))</f>
        <v/>
      </c>
      <c r="O259" s="3" t="str">
        <f>IF($P259&lt;&gt;"", IF($H259="A VISTA", "", IF($H259="1+1", $C259 + CADASTROS!$C$4, IF($H259="1+2", $C259 + CADASTROS!$C$5, IF($H259="1+3", $C259 + CADASTROS!$E$6, "")))), "")</f>
        <v/>
      </c>
      <c r="P259" s="8" t="str">
        <f t="shared" ref="P259:P322" si="19">IF($H259="A VISTA", "", IF($H259="1+3", $G259-$J259-$L259-$N259, ""))</f>
        <v/>
      </c>
    </row>
    <row r="260" spans="1:16">
      <c r="A260" s="2" t="s">
        <v>396</v>
      </c>
      <c r="B260" s="6" t="s">
        <v>16</v>
      </c>
      <c r="C260" s="7">
        <v>45224</v>
      </c>
      <c r="D260" s="7" t="s">
        <v>65</v>
      </c>
      <c r="E260" s="4" t="s">
        <v>110</v>
      </c>
      <c r="F260" s="4" t="s">
        <v>125</v>
      </c>
      <c r="G260" s="8">
        <v>3894</v>
      </c>
      <c r="H260" s="8" t="s">
        <v>138</v>
      </c>
      <c r="I260" s="3">
        <f>IF($H260="A VISTA", C260 + CADASTROS!$B$3, IF($H260="1+1", C260 + CADASTROS!$B$4, IF(H260="1+2", C260 + CADASTROS!$B$5, IF(H260="1+3", C260 + CADASTROS!$B$6, ""))))</f>
        <v>45225</v>
      </c>
      <c r="J260" s="8">
        <f t="shared" si="16"/>
        <v>1947</v>
      </c>
      <c r="K260" s="3">
        <f>IF($L260&lt;&gt;"", IF($H260="A VISTA", "", IF($H260="1+1", $C260 + CADASTROS!$C$4, IF($H260="1+2", $C260 + CADASTROS!$C$5, IF($H260="1+3", $C260 + CADASTROS!$E$4, "")))), "")</f>
        <v>45254</v>
      </c>
      <c r="L260" s="8">
        <f t="shared" si="17"/>
        <v>1947</v>
      </c>
      <c r="M260" s="3" t="str">
        <f>IF($N260&lt;&gt;"", IF($H260="A VISTA", "", IF($H260="1+1", $C260 + CADASTROS!$C$4, IF($H260="1+2", $C260 + CADASTROS!$D$5, IF($H260="1+3", $C260 + CADASTROS!$D$6, "")))), "")</f>
        <v/>
      </c>
      <c r="N260" s="8" t="str">
        <f t="shared" si="18"/>
        <v/>
      </c>
      <c r="O260" s="3" t="str">
        <f>IF($P260&lt;&gt;"", IF($H260="A VISTA", "", IF($H260="1+1", $C260 + CADASTROS!$C$4, IF($H260="1+2", $C260 + CADASTROS!$C$5, IF($H260="1+3", $C260 + CADASTROS!$E$6, "")))), "")</f>
        <v/>
      </c>
      <c r="P260" s="8" t="str">
        <f t="shared" si="19"/>
        <v/>
      </c>
    </row>
    <row r="261" spans="1:16">
      <c r="A261" s="2" t="s">
        <v>397</v>
      </c>
      <c r="B261" s="6" t="s">
        <v>12</v>
      </c>
      <c r="C261" s="7">
        <v>45368</v>
      </c>
      <c r="D261" s="7" t="s">
        <v>62</v>
      </c>
      <c r="E261" s="4" t="s">
        <v>112</v>
      </c>
      <c r="F261" s="4" t="s">
        <v>122</v>
      </c>
      <c r="G261" s="8">
        <v>8800</v>
      </c>
      <c r="H261" s="8" t="s">
        <v>126</v>
      </c>
      <c r="I261" s="3">
        <f>IF($H261="A VISTA", C261 + CADASTROS!$B$3, IF($H261="1+1", C261 + CADASTROS!$B$4, IF(H261="1+2", C261 + CADASTROS!$B$5, IF(H261="1+3", C261 + CADASTROS!$B$6, ""))))</f>
        <v>45369</v>
      </c>
      <c r="J261" s="8">
        <f t="shared" si="16"/>
        <v>8800</v>
      </c>
      <c r="K261" s="3" t="str">
        <f>IF($L261&lt;&gt;"", IF($H261="A VISTA", "", IF($H261="1+1", $C261 + CADASTROS!$C$4, IF($H261="1+2", $C261 + CADASTROS!$C$5, IF($H261="1+3", $C261 + CADASTROS!$E$4, "")))), "")</f>
        <v/>
      </c>
      <c r="L261" s="8" t="str">
        <f t="shared" si="17"/>
        <v/>
      </c>
      <c r="M261" s="3" t="str">
        <f>IF($N261&lt;&gt;"", IF($H261="A VISTA", "", IF($H261="1+1", $C261 + CADASTROS!$C$4, IF($H261="1+2", $C261 + CADASTROS!$D$5, IF($H261="1+3", $C261 + CADASTROS!$D$6, "")))), "")</f>
        <v/>
      </c>
      <c r="N261" s="8" t="str">
        <f t="shared" si="18"/>
        <v/>
      </c>
      <c r="O261" s="3" t="str">
        <f>IF($P261&lt;&gt;"", IF($H261="A VISTA", "", IF($H261="1+1", $C261 + CADASTROS!$C$4, IF($H261="1+2", $C261 + CADASTROS!$C$5, IF($H261="1+3", $C261 + CADASTROS!$E$6, "")))), "")</f>
        <v/>
      </c>
      <c r="P261" s="8" t="str">
        <f t="shared" si="19"/>
        <v/>
      </c>
    </row>
    <row r="262" spans="1:16">
      <c r="A262" s="2" t="s">
        <v>398</v>
      </c>
      <c r="B262" s="6" t="s">
        <v>33</v>
      </c>
      <c r="C262" s="7">
        <v>45208</v>
      </c>
      <c r="D262" s="7" t="s">
        <v>82</v>
      </c>
      <c r="E262" s="4" t="s">
        <v>111</v>
      </c>
      <c r="F262" s="4" t="s">
        <v>119</v>
      </c>
      <c r="G262" s="8">
        <v>6917</v>
      </c>
      <c r="H262" s="8" t="s">
        <v>137</v>
      </c>
      <c r="I262" s="3">
        <f>IF($H262="A VISTA", C262 + CADASTROS!$B$3, IF($H262="1+1", C262 + CADASTROS!$B$4, IF(H262="1+2", C262 + CADASTROS!$B$5, IF(H262="1+3", C262 + CADASTROS!$B$6, ""))))</f>
        <v>45209</v>
      </c>
      <c r="J262" s="8">
        <f t="shared" si="16"/>
        <v>2305.6666666666665</v>
      </c>
      <c r="K262" s="3">
        <f>IF($L262&lt;&gt;"", IF($H262="A VISTA", "", IF($H262="1+1", $C262 + CADASTROS!$C$4, IF($H262="1+2", $C262 + CADASTROS!$C$5, IF($H262="1+3", $C262 + CADASTROS!$E$4, "")))), "")</f>
        <v>45238</v>
      </c>
      <c r="L262" s="8">
        <f t="shared" si="17"/>
        <v>2305.6666666666665</v>
      </c>
      <c r="M262" s="3">
        <f>IF($N262&lt;&gt;"", IF($H262="A VISTA", "", IF($H262="1+1", $C262 + CADASTROS!$C$4, IF($H262="1+2", $C262 + CADASTROS!$D$5, IF($H262="1+3", $C262 + CADASTROS!$D$6, "")))), "")</f>
        <v>45253</v>
      </c>
      <c r="N262" s="8">
        <f t="shared" si="18"/>
        <v>2305.6666666666674</v>
      </c>
      <c r="O262" s="3" t="str">
        <f>IF($P262&lt;&gt;"", IF($H262="A VISTA", "", IF($H262="1+1", $C262 + CADASTROS!$C$4, IF($H262="1+2", $C262 + CADASTROS!$C$5, IF($H262="1+3", $C262 + CADASTROS!$E$6, "")))), "")</f>
        <v/>
      </c>
      <c r="P262" s="8" t="str">
        <f t="shared" si="19"/>
        <v/>
      </c>
    </row>
    <row r="263" spans="1:16">
      <c r="A263" s="2" t="s">
        <v>399</v>
      </c>
      <c r="B263" s="6" t="s">
        <v>14</v>
      </c>
      <c r="C263" s="7">
        <v>45537</v>
      </c>
      <c r="D263" s="7" t="s">
        <v>61</v>
      </c>
      <c r="E263" s="4" t="s">
        <v>110</v>
      </c>
      <c r="F263" s="4" t="s">
        <v>113</v>
      </c>
      <c r="G263" s="8">
        <v>7098</v>
      </c>
      <c r="H263" s="8" t="s">
        <v>138</v>
      </c>
      <c r="I263" s="3">
        <f>IF($H263="A VISTA", C263 + CADASTROS!$B$3, IF($H263="1+1", C263 + CADASTROS!$B$4, IF(H263="1+2", C263 + CADASTROS!$B$5, IF(H263="1+3", C263 + CADASTROS!$B$6, ""))))</f>
        <v>45538</v>
      </c>
      <c r="J263" s="8">
        <f t="shared" si="16"/>
        <v>3549</v>
      </c>
      <c r="K263" s="3">
        <f>IF($L263&lt;&gt;"", IF($H263="A VISTA", "", IF($H263="1+1", $C263 + CADASTROS!$C$4, IF($H263="1+2", $C263 + CADASTROS!$C$5, IF($H263="1+3", $C263 + CADASTROS!$E$4, "")))), "")</f>
        <v>45567</v>
      </c>
      <c r="L263" s="8">
        <f t="shared" si="17"/>
        <v>3549</v>
      </c>
      <c r="M263" s="3" t="str">
        <f>IF($N263&lt;&gt;"", IF($H263="A VISTA", "", IF($H263="1+1", $C263 + CADASTROS!$C$4, IF($H263="1+2", $C263 + CADASTROS!$D$5, IF($H263="1+3", $C263 + CADASTROS!$D$6, "")))), "")</f>
        <v/>
      </c>
      <c r="N263" s="8" t="str">
        <f t="shared" si="18"/>
        <v/>
      </c>
      <c r="O263" s="3" t="str">
        <f>IF($P263&lt;&gt;"", IF($H263="A VISTA", "", IF($H263="1+1", $C263 + CADASTROS!$C$4, IF($H263="1+2", $C263 + CADASTROS!$C$5, IF($H263="1+3", $C263 + CADASTROS!$E$6, "")))), "")</f>
        <v/>
      </c>
      <c r="P263" s="8" t="str">
        <f t="shared" si="19"/>
        <v/>
      </c>
    </row>
    <row r="264" spans="1:16">
      <c r="A264" s="2" t="s">
        <v>400</v>
      </c>
      <c r="B264" s="6" t="s">
        <v>21</v>
      </c>
      <c r="C264" s="7">
        <v>45395</v>
      </c>
      <c r="D264" s="7" t="s">
        <v>70</v>
      </c>
      <c r="E264" s="4" t="s">
        <v>110</v>
      </c>
      <c r="F264" s="4" t="s">
        <v>124</v>
      </c>
      <c r="G264" s="8">
        <v>7136</v>
      </c>
      <c r="H264" s="8" t="s">
        <v>138</v>
      </c>
      <c r="I264" s="3">
        <f>IF($H264="A VISTA", C264 + CADASTROS!$B$3, IF($H264="1+1", C264 + CADASTROS!$B$4, IF(H264="1+2", C264 + CADASTROS!$B$5, IF(H264="1+3", C264 + CADASTROS!$B$6, ""))))</f>
        <v>45396</v>
      </c>
      <c r="J264" s="8">
        <f t="shared" si="16"/>
        <v>3568</v>
      </c>
      <c r="K264" s="3">
        <f>IF($L264&lt;&gt;"", IF($H264="A VISTA", "", IF($H264="1+1", $C264 + CADASTROS!$C$4, IF($H264="1+2", $C264 + CADASTROS!$C$5, IF($H264="1+3", $C264 + CADASTROS!$E$4, "")))), "")</f>
        <v>45425</v>
      </c>
      <c r="L264" s="8">
        <f t="shared" si="17"/>
        <v>3568</v>
      </c>
      <c r="M264" s="3" t="str">
        <f>IF($N264&lt;&gt;"", IF($H264="A VISTA", "", IF($H264="1+1", $C264 + CADASTROS!$C$4, IF($H264="1+2", $C264 + CADASTROS!$D$5, IF($H264="1+3", $C264 + CADASTROS!$D$6, "")))), "")</f>
        <v/>
      </c>
      <c r="N264" s="8" t="str">
        <f t="shared" si="18"/>
        <v/>
      </c>
      <c r="O264" s="3" t="str">
        <f>IF($P264&lt;&gt;"", IF($H264="A VISTA", "", IF($H264="1+1", $C264 + CADASTROS!$C$4, IF($H264="1+2", $C264 + CADASTROS!$C$5, IF($H264="1+3", $C264 + CADASTROS!$E$6, "")))), "")</f>
        <v/>
      </c>
      <c r="P264" s="8" t="str">
        <f t="shared" si="19"/>
        <v/>
      </c>
    </row>
    <row r="265" spans="1:16">
      <c r="A265" s="2" t="s">
        <v>401</v>
      </c>
      <c r="B265" s="6" t="s">
        <v>42</v>
      </c>
      <c r="C265" s="7">
        <v>45133</v>
      </c>
      <c r="D265" s="7" t="s">
        <v>91</v>
      </c>
      <c r="E265" s="4" t="s">
        <v>111</v>
      </c>
      <c r="F265" s="4" t="s">
        <v>117</v>
      </c>
      <c r="G265" s="8">
        <v>9829</v>
      </c>
      <c r="H265" s="8" t="s">
        <v>136</v>
      </c>
      <c r="I265" s="3">
        <f>IF($H265="A VISTA", C265 + CADASTROS!$B$3, IF($H265="1+1", C265 + CADASTROS!$B$4, IF(H265="1+2", C265 + CADASTROS!$B$5, IF(H265="1+3", C265 + CADASTROS!$B$6, ""))))</f>
        <v>45134</v>
      </c>
      <c r="J265" s="8">
        <f t="shared" si="16"/>
        <v>2457.25</v>
      </c>
      <c r="K265" s="3">
        <f>IF($L265&lt;&gt;"", IF($H265="A VISTA", "", IF($H265="1+1", $C265 + CADASTROS!$C$4, IF($H265="1+2", $C265 + CADASTROS!$C$5, IF($H265="1+3", $C265 + CADASTROS!$E$4, "")))), "")</f>
        <v>45133</v>
      </c>
      <c r="L265" s="8">
        <f t="shared" si="17"/>
        <v>2457.25</v>
      </c>
      <c r="M265" s="3">
        <f>IF($N265&lt;&gt;"", IF($H265="A VISTA", "", IF($H265="1+1", $C265 + CADASTROS!$C$4, IF($H265="1+2", $C265 + CADASTROS!$D$5, IF($H265="1+3", $C265 + CADASTROS!$D$6, "")))), "")</f>
        <v>45178</v>
      </c>
      <c r="N265" s="8">
        <f t="shared" si="18"/>
        <v>2457.25</v>
      </c>
      <c r="O265" s="3">
        <f>IF($P265&lt;&gt;"", IF($H265="A VISTA", "", IF($H265="1+1", $C265 + CADASTROS!$C$4, IF($H265="1+2", $C265 + CADASTROS!$C$5, IF($H265="1+3", $C265 + CADASTROS!$E$6, "")))), "")</f>
        <v>45193</v>
      </c>
      <c r="P265" s="8">
        <f t="shared" si="19"/>
        <v>2457.25</v>
      </c>
    </row>
    <row r="266" spans="1:16">
      <c r="A266" s="2" t="s">
        <v>402</v>
      </c>
      <c r="B266" s="6" t="s">
        <v>51</v>
      </c>
      <c r="C266" s="7">
        <v>45448</v>
      </c>
      <c r="D266" s="7" t="s">
        <v>100</v>
      </c>
      <c r="E266" s="4" t="s">
        <v>111</v>
      </c>
      <c r="F266" s="4" t="s">
        <v>121</v>
      </c>
      <c r="G266" s="8">
        <v>3126</v>
      </c>
      <c r="H266" s="8" t="s">
        <v>126</v>
      </c>
      <c r="I266" s="3">
        <f>IF($H266="A VISTA", C266 + CADASTROS!$B$3, IF($H266="1+1", C266 + CADASTROS!$B$4, IF(H266="1+2", C266 + CADASTROS!$B$5, IF(H266="1+3", C266 + CADASTROS!$B$6, ""))))</f>
        <v>45449</v>
      </c>
      <c r="J266" s="8">
        <f t="shared" si="16"/>
        <v>3126</v>
      </c>
      <c r="K266" s="3" t="str">
        <f>IF($L266&lt;&gt;"", IF($H266="A VISTA", "", IF($H266="1+1", $C266 + CADASTROS!$C$4, IF($H266="1+2", $C266 + CADASTROS!$C$5, IF($H266="1+3", $C266 + CADASTROS!$E$4, "")))), "")</f>
        <v/>
      </c>
      <c r="L266" s="8" t="str">
        <f t="shared" si="17"/>
        <v/>
      </c>
      <c r="M266" s="3" t="str">
        <f>IF($N266&lt;&gt;"", IF($H266="A VISTA", "", IF($H266="1+1", $C266 + CADASTROS!$C$4, IF($H266="1+2", $C266 + CADASTROS!$D$5, IF($H266="1+3", $C266 + CADASTROS!$D$6, "")))), "")</f>
        <v/>
      </c>
      <c r="N266" s="8" t="str">
        <f t="shared" si="18"/>
        <v/>
      </c>
      <c r="O266" s="3" t="str">
        <f>IF($P266&lt;&gt;"", IF($H266="A VISTA", "", IF($H266="1+1", $C266 + CADASTROS!$C$4, IF($H266="1+2", $C266 + CADASTROS!$C$5, IF($H266="1+3", $C266 + CADASTROS!$E$6, "")))), "")</f>
        <v/>
      </c>
      <c r="P266" s="8" t="str">
        <f t="shared" si="19"/>
        <v/>
      </c>
    </row>
    <row r="267" spans="1:16">
      <c r="A267" s="2" t="s">
        <v>403</v>
      </c>
      <c r="B267" s="6" t="s">
        <v>27</v>
      </c>
      <c r="C267" s="7">
        <v>45474</v>
      </c>
      <c r="D267" s="7" t="s">
        <v>76</v>
      </c>
      <c r="E267" s="4" t="s">
        <v>110</v>
      </c>
      <c r="F267" s="4" t="s">
        <v>125</v>
      </c>
      <c r="G267" s="8">
        <v>567</v>
      </c>
      <c r="H267" s="8" t="s">
        <v>137</v>
      </c>
      <c r="I267" s="3">
        <f>IF($H267="A VISTA", C267 + CADASTROS!$B$3, IF($H267="1+1", C267 + CADASTROS!$B$4, IF(H267="1+2", C267 + CADASTROS!$B$5, IF(H267="1+3", C267 + CADASTROS!$B$6, ""))))</f>
        <v>45475</v>
      </c>
      <c r="J267" s="8">
        <f t="shared" si="16"/>
        <v>189</v>
      </c>
      <c r="K267" s="3">
        <f>IF($L267&lt;&gt;"", IF($H267="A VISTA", "", IF($H267="1+1", $C267 + CADASTROS!$C$4, IF($H267="1+2", $C267 + CADASTROS!$C$5, IF($H267="1+3", $C267 + CADASTROS!$E$4, "")))), "")</f>
        <v>45504</v>
      </c>
      <c r="L267" s="8">
        <f t="shared" si="17"/>
        <v>189</v>
      </c>
      <c r="M267" s="3">
        <f>IF($N267&lt;&gt;"", IF($H267="A VISTA", "", IF($H267="1+1", $C267 + CADASTROS!$C$4, IF($H267="1+2", $C267 + CADASTROS!$D$5, IF($H267="1+3", $C267 + CADASTROS!$D$6, "")))), "")</f>
        <v>45519</v>
      </c>
      <c r="N267" s="8">
        <f t="shared" si="18"/>
        <v>189</v>
      </c>
      <c r="O267" s="3" t="str">
        <f>IF($P267&lt;&gt;"", IF($H267="A VISTA", "", IF($H267="1+1", $C267 + CADASTROS!$C$4, IF($H267="1+2", $C267 + CADASTROS!$C$5, IF($H267="1+3", $C267 + CADASTROS!$E$6, "")))), "")</f>
        <v/>
      </c>
      <c r="P267" s="8" t="str">
        <f t="shared" si="19"/>
        <v/>
      </c>
    </row>
    <row r="268" spans="1:16">
      <c r="A268" s="2" t="s">
        <v>404</v>
      </c>
      <c r="B268" s="6" t="s">
        <v>28</v>
      </c>
      <c r="C268" s="7">
        <v>45134</v>
      </c>
      <c r="D268" s="7" t="s">
        <v>77</v>
      </c>
      <c r="E268" s="4" t="s">
        <v>110</v>
      </c>
      <c r="F268" s="4" t="s">
        <v>114</v>
      </c>
      <c r="G268" s="8">
        <v>6718</v>
      </c>
      <c r="H268" s="8" t="s">
        <v>138</v>
      </c>
      <c r="I268" s="3">
        <f>IF($H268="A VISTA", C268 + CADASTROS!$B$3, IF($H268="1+1", C268 + CADASTROS!$B$4, IF(H268="1+2", C268 + CADASTROS!$B$5, IF(H268="1+3", C268 + CADASTROS!$B$6, ""))))</f>
        <v>45135</v>
      </c>
      <c r="J268" s="8">
        <f t="shared" si="16"/>
        <v>3359</v>
      </c>
      <c r="K268" s="3">
        <f>IF($L268&lt;&gt;"", IF($H268="A VISTA", "", IF($H268="1+1", $C268 + CADASTROS!$C$4, IF($H268="1+2", $C268 + CADASTROS!$C$5, IF($H268="1+3", $C268 + CADASTROS!$E$4, "")))), "")</f>
        <v>45164</v>
      </c>
      <c r="L268" s="8">
        <f t="shared" si="17"/>
        <v>3359</v>
      </c>
      <c r="M268" s="3" t="str">
        <f>IF($N268&lt;&gt;"", IF($H268="A VISTA", "", IF($H268="1+1", $C268 + CADASTROS!$C$4, IF($H268="1+2", $C268 + CADASTROS!$D$5, IF($H268="1+3", $C268 + CADASTROS!$D$6, "")))), "")</f>
        <v/>
      </c>
      <c r="N268" s="8" t="str">
        <f t="shared" si="18"/>
        <v/>
      </c>
      <c r="O268" s="3" t="str">
        <f>IF($P268&lt;&gt;"", IF($H268="A VISTA", "", IF($H268="1+1", $C268 + CADASTROS!$C$4, IF($H268="1+2", $C268 + CADASTROS!$C$5, IF($H268="1+3", $C268 + CADASTROS!$E$6, "")))), "")</f>
        <v/>
      </c>
      <c r="P268" s="8" t="str">
        <f t="shared" si="19"/>
        <v/>
      </c>
    </row>
    <row r="269" spans="1:16">
      <c r="A269" s="2" t="s">
        <v>405</v>
      </c>
      <c r="B269" s="6" t="s">
        <v>52</v>
      </c>
      <c r="C269" s="7">
        <v>45392</v>
      </c>
      <c r="D269" s="7" t="s">
        <v>101</v>
      </c>
      <c r="E269" s="4" t="s">
        <v>111</v>
      </c>
      <c r="F269" s="4" t="s">
        <v>118</v>
      </c>
      <c r="G269" s="8">
        <v>2248</v>
      </c>
      <c r="H269" s="8" t="s">
        <v>136</v>
      </c>
      <c r="I269" s="3">
        <f>IF($H269="A VISTA", C269 + CADASTROS!$B$3, IF($H269="1+1", C269 + CADASTROS!$B$4, IF(H269="1+2", C269 + CADASTROS!$B$5, IF(H269="1+3", C269 + CADASTROS!$B$6, ""))))</f>
        <v>45393</v>
      </c>
      <c r="J269" s="8">
        <f t="shared" si="16"/>
        <v>562</v>
      </c>
      <c r="K269" s="3">
        <f>IF($L269&lt;&gt;"", IF($H269="A VISTA", "", IF($H269="1+1", $C269 + CADASTROS!$C$4, IF($H269="1+2", $C269 + CADASTROS!$C$5, IF($H269="1+3", $C269 + CADASTROS!$E$4, "")))), "")</f>
        <v>45392</v>
      </c>
      <c r="L269" s="8">
        <f t="shared" si="17"/>
        <v>562</v>
      </c>
      <c r="M269" s="3">
        <f>IF($N269&lt;&gt;"", IF($H269="A VISTA", "", IF($H269="1+1", $C269 + CADASTROS!$C$4, IF($H269="1+2", $C269 + CADASTROS!$D$5, IF($H269="1+3", $C269 + CADASTROS!$D$6, "")))), "")</f>
        <v>45437</v>
      </c>
      <c r="N269" s="8">
        <f t="shared" si="18"/>
        <v>562</v>
      </c>
      <c r="O269" s="3">
        <f>IF($P269&lt;&gt;"", IF($H269="A VISTA", "", IF($H269="1+1", $C269 + CADASTROS!$C$4, IF($H269="1+2", $C269 + CADASTROS!$C$5, IF($H269="1+3", $C269 + CADASTROS!$E$6, "")))), "")</f>
        <v>45452</v>
      </c>
      <c r="P269" s="8">
        <f t="shared" si="19"/>
        <v>562</v>
      </c>
    </row>
    <row r="270" spans="1:16">
      <c r="A270" s="2" t="s">
        <v>406</v>
      </c>
      <c r="B270" s="6" t="s">
        <v>33</v>
      </c>
      <c r="C270" s="7">
        <v>45342</v>
      </c>
      <c r="D270" s="7" t="s">
        <v>82</v>
      </c>
      <c r="E270" s="4" t="s">
        <v>111</v>
      </c>
      <c r="F270" s="4" t="s">
        <v>119</v>
      </c>
      <c r="G270" s="8">
        <v>1279</v>
      </c>
      <c r="H270" s="8" t="s">
        <v>138</v>
      </c>
      <c r="I270" s="3">
        <f>IF($H270="A VISTA", C270 + CADASTROS!$B$3, IF($H270="1+1", C270 + CADASTROS!$B$4, IF(H270="1+2", C270 + CADASTROS!$B$5, IF(H270="1+3", C270 + CADASTROS!$B$6, ""))))</f>
        <v>45343</v>
      </c>
      <c r="J270" s="8">
        <f t="shared" si="16"/>
        <v>639.5</v>
      </c>
      <c r="K270" s="3">
        <f>IF($L270&lt;&gt;"", IF($H270="A VISTA", "", IF($H270="1+1", $C270 + CADASTROS!$C$4, IF($H270="1+2", $C270 + CADASTROS!$C$5, IF($H270="1+3", $C270 + CADASTROS!$E$4, "")))), "")</f>
        <v>45372</v>
      </c>
      <c r="L270" s="8">
        <f t="shared" si="17"/>
        <v>639.5</v>
      </c>
      <c r="M270" s="3" t="str">
        <f>IF($N270&lt;&gt;"", IF($H270="A VISTA", "", IF($H270="1+1", $C270 + CADASTROS!$C$4, IF($H270="1+2", $C270 + CADASTROS!$D$5, IF($H270="1+3", $C270 + CADASTROS!$D$6, "")))), "")</f>
        <v/>
      </c>
      <c r="N270" s="8" t="str">
        <f t="shared" si="18"/>
        <v/>
      </c>
      <c r="O270" s="3" t="str">
        <f>IF($P270&lt;&gt;"", IF($H270="A VISTA", "", IF($H270="1+1", $C270 + CADASTROS!$C$4, IF($H270="1+2", $C270 + CADASTROS!$C$5, IF($H270="1+3", $C270 + CADASTROS!$E$6, "")))), "")</f>
        <v/>
      </c>
      <c r="P270" s="8" t="str">
        <f t="shared" si="19"/>
        <v/>
      </c>
    </row>
    <row r="271" spans="1:16">
      <c r="A271" s="2" t="s">
        <v>407</v>
      </c>
      <c r="B271" s="6" t="s">
        <v>46</v>
      </c>
      <c r="C271" s="7">
        <v>45206</v>
      </c>
      <c r="D271" s="7" t="s">
        <v>95</v>
      </c>
      <c r="E271" s="4" t="s">
        <v>112</v>
      </c>
      <c r="F271" s="4" t="s">
        <v>122</v>
      </c>
      <c r="G271" s="8">
        <v>5377</v>
      </c>
      <c r="H271" s="8" t="s">
        <v>126</v>
      </c>
      <c r="I271" s="3">
        <f>IF($H271="A VISTA", C271 + CADASTROS!$B$3, IF($H271="1+1", C271 + CADASTROS!$B$4, IF(H271="1+2", C271 + CADASTROS!$B$5, IF(H271="1+3", C271 + CADASTROS!$B$6, ""))))</f>
        <v>45207</v>
      </c>
      <c r="J271" s="8">
        <f t="shared" si="16"/>
        <v>5377</v>
      </c>
      <c r="K271" s="3" t="str">
        <f>IF($L271&lt;&gt;"", IF($H271="A VISTA", "", IF($H271="1+1", $C271 + CADASTROS!$C$4, IF($H271="1+2", $C271 + CADASTROS!$C$5, IF($H271="1+3", $C271 + CADASTROS!$E$4, "")))), "")</f>
        <v/>
      </c>
      <c r="L271" s="8" t="str">
        <f t="shared" si="17"/>
        <v/>
      </c>
      <c r="M271" s="3" t="str">
        <f>IF($N271&lt;&gt;"", IF($H271="A VISTA", "", IF($H271="1+1", $C271 + CADASTROS!$C$4, IF($H271="1+2", $C271 + CADASTROS!$D$5, IF($H271="1+3", $C271 + CADASTROS!$D$6, "")))), "")</f>
        <v/>
      </c>
      <c r="N271" s="8" t="str">
        <f t="shared" si="18"/>
        <v/>
      </c>
      <c r="O271" s="3" t="str">
        <f>IF($P271&lt;&gt;"", IF($H271="A VISTA", "", IF($H271="1+1", $C271 + CADASTROS!$C$4, IF($H271="1+2", $C271 + CADASTROS!$C$5, IF($H271="1+3", $C271 + CADASTROS!$E$6, "")))), "")</f>
        <v/>
      </c>
      <c r="P271" s="8" t="str">
        <f t="shared" si="19"/>
        <v/>
      </c>
    </row>
    <row r="272" spans="1:16">
      <c r="A272" s="2" t="s">
        <v>408</v>
      </c>
      <c r="B272" s="6" t="s">
        <v>20</v>
      </c>
      <c r="C272" s="7">
        <v>45203</v>
      </c>
      <c r="D272" s="7" t="s">
        <v>69</v>
      </c>
      <c r="E272" s="4" t="s">
        <v>111</v>
      </c>
      <c r="F272" s="4" t="s">
        <v>117</v>
      </c>
      <c r="G272" s="8">
        <v>8289</v>
      </c>
      <c r="H272" s="8" t="s">
        <v>126</v>
      </c>
      <c r="I272" s="3">
        <f>IF($H272="A VISTA", C272 + CADASTROS!$B$3, IF($H272="1+1", C272 + CADASTROS!$B$4, IF(H272="1+2", C272 + CADASTROS!$B$5, IF(H272="1+3", C272 + CADASTROS!$B$6, ""))))</f>
        <v>45204</v>
      </c>
      <c r="J272" s="8">
        <f t="shared" si="16"/>
        <v>8289</v>
      </c>
      <c r="K272" s="3" t="str">
        <f>IF($L272&lt;&gt;"", IF($H272="A VISTA", "", IF($H272="1+1", $C272 + CADASTROS!$C$4, IF($H272="1+2", $C272 + CADASTROS!$C$5, IF($H272="1+3", $C272 + CADASTROS!$E$4, "")))), "")</f>
        <v/>
      </c>
      <c r="L272" s="8" t="str">
        <f t="shared" si="17"/>
        <v/>
      </c>
      <c r="M272" s="3" t="str">
        <f>IF($N272&lt;&gt;"", IF($H272="A VISTA", "", IF($H272="1+1", $C272 + CADASTROS!$C$4, IF($H272="1+2", $C272 + CADASTROS!$D$5, IF($H272="1+3", $C272 + CADASTROS!$D$6, "")))), "")</f>
        <v/>
      </c>
      <c r="N272" s="8" t="str">
        <f t="shared" si="18"/>
        <v/>
      </c>
      <c r="O272" s="3" t="str">
        <f>IF($P272&lt;&gt;"", IF($H272="A VISTA", "", IF($H272="1+1", $C272 + CADASTROS!$C$4, IF($H272="1+2", $C272 + CADASTROS!$C$5, IF($H272="1+3", $C272 + CADASTROS!$E$6, "")))), "")</f>
        <v/>
      </c>
      <c r="P272" s="8" t="str">
        <f t="shared" si="19"/>
        <v/>
      </c>
    </row>
    <row r="273" spans="1:16">
      <c r="A273" s="2" t="s">
        <v>409</v>
      </c>
      <c r="B273" s="6" t="s">
        <v>33</v>
      </c>
      <c r="C273" s="7">
        <v>45168</v>
      </c>
      <c r="D273" s="7" t="s">
        <v>82</v>
      </c>
      <c r="E273" s="4" t="s">
        <v>111</v>
      </c>
      <c r="F273" s="4" t="s">
        <v>119</v>
      </c>
      <c r="G273" s="8">
        <v>1910</v>
      </c>
      <c r="H273" s="8" t="s">
        <v>138</v>
      </c>
      <c r="I273" s="3">
        <f>IF($H273="A VISTA", C273 + CADASTROS!$B$3, IF($H273="1+1", C273 + CADASTROS!$B$4, IF(H273="1+2", C273 + CADASTROS!$B$5, IF(H273="1+3", C273 + CADASTROS!$B$6, ""))))</f>
        <v>45169</v>
      </c>
      <c r="J273" s="8">
        <f t="shared" si="16"/>
        <v>955</v>
      </c>
      <c r="K273" s="3">
        <f>IF($L273&lt;&gt;"", IF($H273="A VISTA", "", IF($H273="1+1", $C273 + CADASTROS!$C$4, IF($H273="1+2", $C273 + CADASTROS!$C$5, IF($H273="1+3", $C273 + CADASTROS!$E$4, "")))), "")</f>
        <v>45198</v>
      </c>
      <c r="L273" s="8">
        <f t="shared" si="17"/>
        <v>955</v>
      </c>
      <c r="M273" s="3" t="str">
        <f>IF($N273&lt;&gt;"", IF($H273="A VISTA", "", IF($H273="1+1", $C273 + CADASTROS!$C$4, IF($H273="1+2", $C273 + CADASTROS!$D$5, IF($H273="1+3", $C273 + CADASTROS!$D$6, "")))), "")</f>
        <v/>
      </c>
      <c r="N273" s="8" t="str">
        <f t="shared" si="18"/>
        <v/>
      </c>
      <c r="O273" s="3" t="str">
        <f>IF($P273&lt;&gt;"", IF($H273="A VISTA", "", IF($H273="1+1", $C273 + CADASTROS!$C$4, IF($H273="1+2", $C273 + CADASTROS!$C$5, IF($H273="1+3", $C273 + CADASTROS!$E$6, "")))), "")</f>
        <v/>
      </c>
      <c r="P273" s="8" t="str">
        <f t="shared" si="19"/>
        <v/>
      </c>
    </row>
    <row r="274" spans="1:16">
      <c r="A274" s="2" t="s">
        <v>410</v>
      </c>
      <c r="B274" s="6" t="s">
        <v>14</v>
      </c>
      <c r="C274" s="7">
        <v>45300</v>
      </c>
      <c r="D274" s="7" t="s">
        <v>61</v>
      </c>
      <c r="E274" s="4" t="s">
        <v>110</v>
      </c>
      <c r="F274" s="4" t="s">
        <v>113</v>
      </c>
      <c r="G274" s="8">
        <v>5586</v>
      </c>
      <c r="H274" s="8" t="s">
        <v>138</v>
      </c>
      <c r="I274" s="3">
        <f>IF($H274="A VISTA", C274 + CADASTROS!$B$3, IF($H274="1+1", C274 + CADASTROS!$B$4, IF(H274="1+2", C274 + CADASTROS!$B$5, IF(H274="1+3", C274 + CADASTROS!$B$6, ""))))</f>
        <v>45301</v>
      </c>
      <c r="J274" s="8">
        <f t="shared" si="16"/>
        <v>2793</v>
      </c>
      <c r="K274" s="3">
        <f>IF($L274&lt;&gt;"", IF($H274="A VISTA", "", IF($H274="1+1", $C274 + CADASTROS!$C$4, IF($H274="1+2", $C274 + CADASTROS!$C$5, IF($H274="1+3", $C274 + CADASTROS!$E$4, "")))), "")</f>
        <v>45330</v>
      </c>
      <c r="L274" s="8">
        <f t="shared" si="17"/>
        <v>2793</v>
      </c>
      <c r="M274" s="3" t="str">
        <f>IF($N274&lt;&gt;"", IF($H274="A VISTA", "", IF($H274="1+1", $C274 + CADASTROS!$C$4, IF($H274="1+2", $C274 + CADASTROS!$D$5, IF($H274="1+3", $C274 + CADASTROS!$D$6, "")))), "")</f>
        <v/>
      </c>
      <c r="N274" s="8" t="str">
        <f t="shared" si="18"/>
        <v/>
      </c>
      <c r="O274" s="3" t="str">
        <f>IF($P274&lt;&gt;"", IF($H274="A VISTA", "", IF($H274="1+1", $C274 + CADASTROS!$C$4, IF($H274="1+2", $C274 + CADASTROS!$C$5, IF($H274="1+3", $C274 + CADASTROS!$E$6, "")))), "")</f>
        <v/>
      </c>
      <c r="P274" s="8" t="str">
        <f t="shared" si="19"/>
        <v/>
      </c>
    </row>
    <row r="275" spans="1:16">
      <c r="A275" s="2" t="s">
        <v>411</v>
      </c>
      <c r="B275" s="6" t="s">
        <v>15</v>
      </c>
      <c r="C275" s="7">
        <v>45377</v>
      </c>
      <c r="D275" s="7" t="s">
        <v>64</v>
      </c>
      <c r="E275" s="4" t="s">
        <v>112</v>
      </c>
      <c r="F275" s="4" t="s">
        <v>123</v>
      </c>
      <c r="G275" s="8">
        <v>6304</v>
      </c>
      <c r="H275" s="8" t="s">
        <v>126</v>
      </c>
      <c r="I275" s="3">
        <f>IF($H275="A VISTA", C275 + CADASTROS!$B$3, IF($H275="1+1", C275 + CADASTROS!$B$4, IF(H275="1+2", C275 + CADASTROS!$B$5, IF(H275="1+3", C275 + CADASTROS!$B$6, ""))))</f>
        <v>45378</v>
      </c>
      <c r="J275" s="8">
        <f t="shared" si="16"/>
        <v>6304</v>
      </c>
      <c r="K275" s="3" t="str">
        <f>IF($L275&lt;&gt;"", IF($H275="A VISTA", "", IF($H275="1+1", $C275 + CADASTROS!$C$4, IF($H275="1+2", $C275 + CADASTROS!$C$5, IF($H275="1+3", $C275 + CADASTROS!$E$4, "")))), "")</f>
        <v/>
      </c>
      <c r="L275" s="8" t="str">
        <f t="shared" si="17"/>
        <v/>
      </c>
      <c r="M275" s="3" t="str">
        <f>IF($N275&lt;&gt;"", IF($H275="A VISTA", "", IF($H275="1+1", $C275 + CADASTROS!$C$4, IF($H275="1+2", $C275 + CADASTROS!$D$5, IF($H275="1+3", $C275 + CADASTROS!$D$6, "")))), "")</f>
        <v/>
      </c>
      <c r="N275" s="8" t="str">
        <f t="shared" si="18"/>
        <v/>
      </c>
      <c r="O275" s="3" t="str">
        <f>IF($P275&lt;&gt;"", IF($H275="A VISTA", "", IF($H275="1+1", $C275 + CADASTROS!$C$4, IF($H275="1+2", $C275 + CADASTROS!$C$5, IF($H275="1+3", $C275 + CADASTROS!$E$6, "")))), "")</f>
        <v/>
      </c>
      <c r="P275" s="8" t="str">
        <f t="shared" si="19"/>
        <v/>
      </c>
    </row>
    <row r="276" spans="1:16">
      <c r="A276" s="2" t="s">
        <v>412</v>
      </c>
      <c r="B276" s="6" t="s">
        <v>32</v>
      </c>
      <c r="C276" s="7">
        <v>45260</v>
      </c>
      <c r="D276" s="7" t="s">
        <v>81</v>
      </c>
      <c r="E276" s="4" t="s">
        <v>110</v>
      </c>
      <c r="F276" s="4" t="s">
        <v>124</v>
      </c>
      <c r="G276" s="8">
        <v>9891</v>
      </c>
      <c r="H276" s="8" t="s">
        <v>137</v>
      </c>
      <c r="I276" s="3">
        <f>IF($H276="A VISTA", C276 + CADASTROS!$B$3, IF($H276="1+1", C276 + CADASTROS!$B$4, IF(H276="1+2", C276 + CADASTROS!$B$5, IF(H276="1+3", C276 + CADASTROS!$B$6, ""))))</f>
        <v>45261</v>
      </c>
      <c r="J276" s="8">
        <f t="shared" si="16"/>
        <v>3297</v>
      </c>
      <c r="K276" s="3">
        <f>IF($L276&lt;&gt;"", IF($H276="A VISTA", "", IF($H276="1+1", $C276 + CADASTROS!$C$4, IF($H276="1+2", $C276 + CADASTROS!$C$5, IF($H276="1+3", $C276 + CADASTROS!$E$4, "")))), "")</f>
        <v>45290</v>
      </c>
      <c r="L276" s="8">
        <f t="shared" si="17"/>
        <v>3297</v>
      </c>
      <c r="M276" s="3">
        <f>IF($N276&lt;&gt;"", IF($H276="A VISTA", "", IF($H276="1+1", $C276 + CADASTROS!$C$4, IF($H276="1+2", $C276 + CADASTROS!$D$5, IF($H276="1+3", $C276 + CADASTROS!$D$6, "")))), "")</f>
        <v>45305</v>
      </c>
      <c r="N276" s="8">
        <f t="shared" si="18"/>
        <v>3297</v>
      </c>
      <c r="O276" s="3" t="str">
        <f>IF($P276&lt;&gt;"", IF($H276="A VISTA", "", IF($H276="1+1", $C276 + CADASTROS!$C$4, IF($H276="1+2", $C276 + CADASTROS!$C$5, IF($H276="1+3", $C276 + CADASTROS!$E$6, "")))), "")</f>
        <v/>
      </c>
      <c r="P276" s="8" t="str">
        <f t="shared" si="19"/>
        <v/>
      </c>
    </row>
    <row r="277" spans="1:16">
      <c r="A277" s="2" t="s">
        <v>413</v>
      </c>
      <c r="B277" s="6" t="s">
        <v>55</v>
      </c>
      <c r="C277" s="7">
        <v>45164</v>
      </c>
      <c r="D277" s="7" t="s">
        <v>104</v>
      </c>
      <c r="E277" s="4" t="s">
        <v>111</v>
      </c>
      <c r="F277" s="4" t="s">
        <v>119</v>
      </c>
      <c r="G277" s="8">
        <v>6316</v>
      </c>
      <c r="H277" s="8" t="s">
        <v>136</v>
      </c>
      <c r="I277" s="3">
        <f>IF($H277="A VISTA", C277 + CADASTROS!$B$3, IF($H277="1+1", C277 + CADASTROS!$B$4, IF(H277="1+2", C277 + CADASTROS!$B$5, IF(H277="1+3", C277 + CADASTROS!$B$6, ""))))</f>
        <v>45165</v>
      </c>
      <c r="J277" s="8">
        <f t="shared" si="16"/>
        <v>1579</v>
      </c>
      <c r="K277" s="3">
        <f>IF($L277&lt;&gt;"", IF($H277="A VISTA", "", IF($H277="1+1", $C277 + CADASTROS!$C$4, IF($H277="1+2", $C277 + CADASTROS!$C$5, IF($H277="1+3", $C277 + CADASTROS!$E$4, "")))), "")</f>
        <v>45164</v>
      </c>
      <c r="L277" s="8">
        <f t="shared" si="17"/>
        <v>1579</v>
      </c>
      <c r="M277" s="3">
        <f>IF($N277&lt;&gt;"", IF($H277="A VISTA", "", IF($H277="1+1", $C277 + CADASTROS!$C$4, IF($H277="1+2", $C277 + CADASTROS!$D$5, IF($H277="1+3", $C277 + CADASTROS!$D$6, "")))), "")</f>
        <v>45209</v>
      </c>
      <c r="N277" s="8">
        <f t="shared" si="18"/>
        <v>1579</v>
      </c>
      <c r="O277" s="3">
        <f>IF($P277&lt;&gt;"", IF($H277="A VISTA", "", IF($H277="1+1", $C277 + CADASTROS!$C$4, IF($H277="1+2", $C277 + CADASTROS!$C$5, IF($H277="1+3", $C277 + CADASTROS!$E$6, "")))), "")</f>
        <v>45224</v>
      </c>
      <c r="P277" s="8">
        <f t="shared" si="19"/>
        <v>1579</v>
      </c>
    </row>
    <row r="278" spans="1:16">
      <c r="A278" s="2" t="s">
        <v>414</v>
      </c>
      <c r="B278" s="6" t="s">
        <v>14</v>
      </c>
      <c r="C278" s="7">
        <v>45151</v>
      </c>
      <c r="D278" s="7" t="s">
        <v>61</v>
      </c>
      <c r="E278" s="4" t="s">
        <v>110</v>
      </c>
      <c r="F278" s="4" t="s">
        <v>113</v>
      </c>
      <c r="G278" s="8">
        <v>564</v>
      </c>
      <c r="H278" s="8" t="s">
        <v>136</v>
      </c>
      <c r="I278" s="3">
        <f>IF($H278="A VISTA", C278 + CADASTROS!$B$3, IF($H278="1+1", C278 + CADASTROS!$B$4, IF(H278="1+2", C278 + CADASTROS!$B$5, IF(H278="1+3", C278 + CADASTROS!$B$6, ""))))</f>
        <v>45152</v>
      </c>
      <c r="J278" s="8">
        <f t="shared" si="16"/>
        <v>141</v>
      </c>
      <c r="K278" s="3">
        <f>IF($L278&lt;&gt;"", IF($H278="A VISTA", "", IF($H278="1+1", $C278 + CADASTROS!$C$4, IF($H278="1+2", $C278 + CADASTROS!$C$5, IF($H278="1+3", $C278 + CADASTROS!$E$4, "")))), "")</f>
        <v>45151</v>
      </c>
      <c r="L278" s="8">
        <f t="shared" si="17"/>
        <v>141</v>
      </c>
      <c r="M278" s="3">
        <f>IF($N278&lt;&gt;"", IF($H278="A VISTA", "", IF($H278="1+1", $C278 + CADASTROS!$C$4, IF($H278="1+2", $C278 + CADASTROS!$D$5, IF($H278="1+3", $C278 + CADASTROS!$D$6, "")))), "")</f>
        <v>45196</v>
      </c>
      <c r="N278" s="8">
        <f t="shared" si="18"/>
        <v>141</v>
      </c>
      <c r="O278" s="3">
        <f>IF($P278&lt;&gt;"", IF($H278="A VISTA", "", IF($H278="1+1", $C278 + CADASTROS!$C$4, IF($H278="1+2", $C278 + CADASTROS!$C$5, IF($H278="1+3", $C278 + CADASTROS!$E$6, "")))), "")</f>
        <v>45211</v>
      </c>
      <c r="P278" s="8">
        <f t="shared" si="19"/>
        <v>141</v>
      </c>
    </row>
    <row r="279" spans="1:16">
      <c r="A279" s="2" t="s">
        <v>415</v>
      </c>
      <c r="B279" s="6" t="s">
        <v>40</v>
      </c>
      <c r="C279" s="7">
        <v>45382</v>
      </c>
      <c r="D279" s="7" t="s">
        <v>89</v>
      </c>
      <c r="E279" s="4" t="s">
        <v>111</v>
      </c>
      <c r="F279" s="4" t="s">
        <v>121</v>
      </c>
      <c r="G279" s="8">
        <v>6948</v>
      </c>
      <c r="H279" s="8" t="s">
        <v>137</v>
      </c>
      <c r="I279" s="3">
        <f>IF($H279="A VISTA", C279 + CADASTROS!$B$3, IF($H279="1+1", C279 + CADASTROS!$B$4, IF(H279="1+2", C279 + CADASTROS!$B$5, IF(H279="1+3", C279 + CADASTROS!$B$6, ""))))</f>
        <v>45383</v>
      </c>
      <c r="J279" s="8">
        <f t="shared" si="16"/>
        <v>2316</v>
      </c>
      <c r="K279" s="3">
        <f>IF($L279&lt;&gt;"", IF($H279="A VISTA", "", IF($H279="1+1", $C279 + CADASTROS!$C$4, IF($H279="1+2", $C279 + CADASTROS!$C$5, IF($H279="1+3", $C279 + CADASTROS!$E$4, "")))), "")</f>
        <v>45412</v>
      </c>
      <c r="L279" s="8">
        <f t="shared" si="17"/>
        <v>2316</v>
      </c>
      <c r="M279" s="3">
        <f>IF($N279&lt;&gt;"", IF($H279="A VISTA", "", IF($H279="1+1", $C279 + CADASTROS!$C$4, IF($H279="1+2", $C279 + CADASTROS!$D$5, IF($H279="1+3", $C279 + CADASTROS!$D$6, "")))), "")</f>
        <v>45427</v>
      </c>
      <c r="N279" s="8">
        <f t="shared" si="18"/>
        <v>2316</v>
      </c>
      <c r="O279" s="3" t="str">
        <f>IF($P279&lt;&gt;"", IF($H279="A VISTA", "", IF($H279="1+1", $C279 + CADASTROS!$C$4, IF($H279="1+2", $C279 + CADASTROS!$C$5, IF($H279="1+3", $C279 + CADASTROS!$E$6, "")))), "")</f>
        <v/>
      </c>
      <c r="P279" s="8" t="str">
        <f t="shared" si="19"/>
        <v/>
      </c>
    </row>
    <row r="280" spans="1:16">
      <c r="A280" s="2" t="s">
        <v>236</v>
      </c>
      <c r="B280" s="6" t="s">
        <v>24</v>
      </c>
      <c r="C280" s="7">
        <v>45369</v>
      </c>
      <c r="D280" s="7" t="s">
        <v>73</v>
      </c>
      <c r="E280" s="4" t="s">
        <v>112</v>
      </c>
      <c r="F280" s="4" t="s">
        <v>122</v>
      </c>
      <c r="G280" s="8">
        <v>1836</v>
      </c>
      <c r="H280" s="8" t="s">
        <v>126</v>
      </c>
      <c r="I280" s="3">
        <f>IF($H280="A VISTA", C280 + CADASTROS!$B$3, IF($H280="1+1", C280 + CADASTROS!$B$4, IF(H280="1+2", C280 + CADASTROS!$B$5, IF(H280="1+3", C280 + CADASTROS!$B$6, ""))))</f>
        <v>45370</v>
      </c>
      <c r="J280" s="8">
        <f t="shared" si="16"/>
        <v>1836</v>
      </c>
      <c r="K280" s="3" t="str">
        <f>IF($L280&lt;&gt;"", IF($H280="A VISTA", "", IF($H280="1+1", $C280 + CADASTROS!$C$4, IF($H280="1+2", $C280 + CADASTROS!$C$5, IF($H280="1+3", $C280 + CADASTROS!$E$4, "")))), "")</f>
        <v/>
      </c>
      <c r="L280" s="8" t="str">
        <f t="shared" si="17"/>
        <v/>
      </c>
      <c r="M280" s="3" t="str">
        <f>IF($N280&lt;&gt;"", IF($H280="A VISTA", "", IF($H280="1+1", $C280 + CADASTROS!$C$4, IF($H280="1+2", $C280 + CADASTROS!$D$5, IF($H280="1+3", $C280 + CADASTROS!$D$6, "")))), "")</f>
        <v/>
      </c>
      <c r="N280" s="8" t="str">
        <f t="shared" si="18"/>
        <v/>
      </c>
      <c r="O280" s="3" t="str">
        <f>IF($P280&lt;&gt;"", IF($H280="A VISTA", "", IF($H280="1+1", $C280 + CADASTROS!$C$4, IF($H280="1+2", $C280 + CADASTROS!$C$5, IF($H280="1+3", $C280 + CADASTROS!$E$6, "")))), "")</f>
        <v/>
      </c>
      <c r="P280" s="8" t="str">
        <f t="shared" si="19"/>
        <v/>
      </c>
    </row>
    <row r="281" spans="1:16">
      <c r="A281" s="2" t="s">
        <v>416</v>
      </c>
      <c r="B281" s="6" t="s">
        <v>42</v>
      </c>
      <c r="C281" s="7">
        <v>45319</v>
      </c>
      <c r="D281" s="7" t="s">
        <v>91</v>
      </c>
      <c r="E281" s="4" t="s">
        <v>111</v>
      </c>
      <c r="F281" s="4" t="s">
        <v>117</v>
      </c>
      <c r="G281" s="8">
        <v>9553</v>
      </c>
      <c r="H281" s="8" t="s">
        <v>126</v>
      </c>
      <c r="I281" s="3">
        <f>IF($H281="A VISTA", C281 + CADASTROS!$B$3, IF($H281="1+1", C281 + CADASTROS!$B$4, IF(H281="1+2", C281 + CADASTROS!$B$5, IF(H281="1+3", C281 + CADASTROS!$B$6, ""))))</f>
        <v>45320</v>
      </c>
      <c r="J281" s="8">
        <f t="shared" si="16"/>
        <v>9553</v>
      </c>
      <c r="K281" s="3" t="str">
        <f>IF($L281&lt;&gt;"", IF($H281="A VISTA", "", IF($H281="1+1", $C281 + CADASTROS!$C$4, IF($H281="1+2", $C281 + CADASTROS!$C$5, IF($H281="1+3", $C281 + CADASTROS!$E$4, "")))), "")</f>
        <v/>
      </c>
      <c r="L281" s="8" t="str">
        <f t="shared" si="17"/>
        <v/>
      </c>
      <c r="M281" s="3" t="str">
        <f>IF($N281&lt;&gt;"", IF($H281="A VISTA", "", IF($H281="1+1", $C281 + CADASTROS!$C$4, IF($H281="1+2", $C281 + CADASTROS!$D$5, IF($H281="1+3", $C281 + CADASTROS!$D$6, "")))), "")</f>
        <v/>
      </c>
      <c r="N281" s="8" t="str">
        <f t="shared" si="18"/>
        <v/>
      </c>
      <c r="O281" s="3" t="str">
        <f>IF($P281&lt;&gt;"", IF($H281="A VISTA", "", IF($H281="1+1", $C281 + CADASTROS!$C$4, IF($H281="1+2", $C281 + CADASTROS!$C$5, IF($H281="1+3", $C281 + CADASTROS!$E$6, "")))), "")</f>
        <v/>
      </c>
      <c r="P281" s="8" t="str">
        <f t="shared" si="19"/>
        <v/>
      </c>
    </row>
    <row r="282" spans="1:16">
      <c r="A282" s="2" t="s">
        <v>417</v>
      </c>
      <c r="B282" s="6" t="s">
        <v>36</v>
      </c>
      <c r="C282" s="7">
        <v>45169</v>
      </c>
      <c r="D282" s="7" t="s">
        <v>85</v>
      </c>
      <c r="E282" s="4" t="s">
        <v>111</v>
      </c>
      <c r="F282" s="4" t="s">
        <v>120</v>
      </c>
      <c r="G282" s="8">
        <v>7858</v>
      </c>
      <c r="H282" s="8" t="s">
        <v>138</v>
      </c>
      <c r="I282" s="3">
        <f>IF($H282="A VISTA", C282 + CADASTROS!$B$3, IF($H282="1+1", C282 + CADASTROS!$B$4, IF(H282="1+2", C282 + CADASTROS!$B$5, IF(H282="1+3", C282 + CADASTROS!$B$6, ""))))</f>
        <v>45170</v>
      </c>
      <c r="J282" s="8">
        <f t="shared" si="16"/>
        <v>3929</v>
      </c>
      <c r="K282" s="3">
        <f>IF($L282&lt;&gt;"", IF($H282="A VISTA", "", IF($H282="1+1", $C282 + CADASTROS!$C$4, IF($H282="1+2", $C282 + CADASTROS!$C$5, IF($H282="1+3", $C282 + CADASTROS!$E$4, "")))), "")</f>
        <v>45199</v>
      </c>
      <c r="L282" s="8">
        <f t="shared" si="17"/>
        <v>3929</v>
      </c>
      <c r="M282" s="3" t="str">
        <f>IF($N282&lt;&gt;"", IF($H282="A VISTA", "", IF($H282="1+1", $C282 + CADASTROS!$C$4, IF($H282="1+2", $C282 + CADASTROS!$D$5, IF($H282="1+3", $C282 + CADASTROS!$D$6, "")))), "")</f>
        <v/>
      </c>
      <c r="N282" s="8" t="str">
        <f t="shared" si="18"/>
        <v/>
      </c>
      <c r="O282" s="3" t="str">
        <f>IF($P282&lt;&gt;"", IF($H282="A VISTA", "", IF($H282="1+1", $C282 + CADASTROS!$C$4, IF($H282="1+2", $C282 + CADASTROS!$C$5, IF($H282="1+3", $C282 + CADASTROS!$E$6, "")))), "")</f>
        <v/>
      </c>
      <c r="P282" s="8" t="str">
        <f t="shared" si="19"/>
        <v/>
      </c>
    </row>
    <row r="283" spans="1:16">
      <c r="A283" s="2" t="s">
        <v>418</v>
      </c>
      <c r="B283" s="6" t="s">
        <v>15</v>
      </c>
      <c r="C283" s="7">
        <v>45272</v>
      </c>
      <c r="D283" s="7" t="s">
        <v>64</v>
      </c>
      <c r="E283" s="4" t="s">
        <v>112</v>
      </c>
      <c r="F283" s="4" t="s">
        <v>123</v>
      </c>
      <c r="G283" s="8">
        <v>1293</v>
      </c>
      <c r="H283" s="8" t="s">
        <v>126</v>
      </c>
      <c r="I283" s="3">
        <f>IF($H283="A VISTA", C283 + CADASTROS!$B$3, IF($H283="1+1", C283 + CADASTROS!$B$4, IF(H283="1+2", C283 + CADASTROS!$B$5, IF(H283="1+3", C283 + CADASTROS!$B$6, ""))))</f>
        <v>45273</v>
      </c>
      <c r="J283" s="8">
        <f t="shared" si="16"/>
        <v>1293</v>
      </c>
      <c r="K283" s="3" t="str">
        <f>IF($L283&lt;&gt;"", IF($H283="A VISTA", "", IF($H283="1+1", $C283 + CADASTROS!$C$4, IF($H283="1+2", $C283 + CADASTROS!$C$5, IF($H283="1+3", $C283 + CADASTROS!$E$4, "")))), "")</f>
        <v/>
      </c>
      <c r="L283" s="8" t="str">
        <f t="shared" si="17"/>
        <v/>
      </c>
      <c r="M283" s="3" t="str">
        <f>IF($N283&lt;&gt;"", IF($H283="A VISTA", "", IF($H283="1+1", $C283 + CADASTROS!$C$4, IF($H283="1+2", $C283 + CADASTROS!$D$5, IF($H283="1+3", $C283 + CADASTROS!$D$6, "")))), "")</f>
        <v/>
      </c>
      <c r="N283" s="8" t="str">
        <f t="shared" si="18"/>
        <v/>
      </c>
      <c r="O283" s="3" t="str">
        <f>IF($P283&lt;&gt;"", IF($H283="A VISTA", "", IF($H283="1+1", $C283 + CADASTROS!$C$4, IF($H283="1+2", $C283 + CADASTROS!$C$5, IF($H283="1+3", $C283 + CADASTROS!$E$6, "")))), "")</f>
        <v/>
      </c>
      <c r="P283" s="8" t="str">
        <f t="shared" si="19"/>
        <v/>
      </c>
    </row>
    <row r="284" spans="1:16">
      <c r="A284" s="2" t="s">
        <v>419</v>
      </c>
      <c r="B284" s="6" t="s">
        <v>32</v>
      </c>
      <c r="C284" s="7">
        <v>45446</v>
      </c>
      <c r="D284" s="7" t="s">
        <v>81</v>
      </c>
      <c r="E284" s="4" t="s">
        <v>110</v>
      </c>
      <c r="F284" s="4" t="s">
        <v>124</v>
      </c>
      <c r="G284" s="8">
        <v>5598</v>
      </c>
      <c r="H284" s="8" t="s">
        <v>136</v>
      </c>
      <c r="I284" s="3">
        <f>IF($H284="A VISTA", C284 + CADASTROS!$B$3, IF($H284="1+1", C284 + CADASTROS!$B$4, IF(H284="1+2", C284 + CADASTROS!$B$5, IF(H284="1+3", C284 + CADASTROS!$B$6, ""))))</f>
        <v>45447</v>
      </c>
      <c r="J284" s="8">
        <f t="shared" si="16"/>
        <v>1399.5</v>
      </c>
      <c r="K284" s="3">
        <f>IF($L284&lt;&gt;"", IF($H284="A VISTA", "", IF($H284="1+1", $C284 + CADASTROS!$C$4, IF($H284="1+2", $C284 + CADASTROS!$C$5, IF($H284="1+3", $C284 + CADASTROS!$E$4, "")))), "")</f>
        <v>45446</v>
      </c>
      <c r="L284" s="8">
        <f t="shared" si="17"/>
        <v>1399.5</v>
      </c>
      <c r="M284" s="3">
        <f>IF($N284&lt;&gt;"", IF($H284="A VISTA", "", IF($H284="1+1", $C284 + CADASTROS!$C$4, IF($H284="1+2", $C284 + CADASTROS!$D$5, IF($H284="1+3", $C284 + CADASTROS!$D$6, "")))), "")</f>
        <v>45491</v>
      </c>
      <c r="N284" s="8">
        <f t="shared" si="18"/>
        <v>1399.5</v>
      </c>
      <c r="O284" s="3">
        <f>IF($P284&lt;&gt;"", IF($H284="A VISTA", "", IF($H284="1+1", $C284 + CADASTROS!$C$4, IF($H284="1+2", $C284 + CADASTROS!$C$5, IF($H284="1+3", $C284 + CADASTROS!$E$6, "")))), "")</f>
        <v>45506</v>
      </c>
      <c r="P284" s="8">
        <f t="shared" si="19"/>
        <v>1399.5</v>
      </c>
    </row>
    <row r="285" spans="1:16">
      <c r="A285" s="2" t="s">
        <v>420</v>
      </c>
      <c r="B285" s="6" t="s">
        <v>15</v>
      </c>
      <c r="C285" s="7">
        <v>45151</v>
      </c>
      <c r="D285" s="7" t="s">
        <v>64</v>
      </c>
      <c r="E285" s="4" t="s">
        <v>112</v>
      </c>
      <c r="F285" s="4" t="s">
        <v>123</v>
      </c>
      <c r="G285" s="8">
        <v>3434</v>
      </c>
      <c r="H285" s="8" t="s">
        <v>126</v>
      </c>
      <c r="I285" s="3">
        <f>IF($H285="A VISTA", C285 + CADASTROS!$B$3, IF($H285="1+1", C285 + CADASTROS!$B$4, IF(H285="1+2", C285 + CADASTROS!$B$5, IF(H285="1+3", C285 + CADASTROS!$B$6, ""))))</f>
        <v>45152</v>
      </c>
      <c r="J285" s="8">
        <f t="shared" si="16"/>
        <v>3434</v>
      </c>
      <c r="K285" s="3" t="str">
        <f>IF($L285&lt;&gt;"", IF($H285="A VISTA", "", IF($H285="1+1", $C285 + CADASTROS!$C$4, IF($H285="1+2", $C285 + CADASTROS!$C$5, IF($H285="1+3", $C285 + CADASTROS!$E$4, "")))), "")</f>
        <v/>
      </c>
      <c r="L285" s="8" t="str">
        <f t="shared" si="17"/>
        <v/>
      </c>
      <c r="M285" s="3" t="str">
        <f>IF($N285&lt;&gt;"", IF($H285="A VISTA", "", IF($H285="1+1", $C285 + CADASTROS!$C$4, IF($H285="1+2", $C285 + CADASTROS!$D$5, IF($H285="1+3", $C285 + CADASTROS!$D$6, "")))), "")</f>
        <v/>
      </c>
      <c r="N285" s="8" t="str">
        <f t="shared" si="18"/>
        <v/>
      </c>
      <c r="O285" s="3" t="str">
        <f>IF($P285&lt;&gt;"", IF($H285="A VISTA", "", IF($H285="1+1", $C285 + CADASTROS!$C$4, IF($H285="1+2", $C285 + CADASTROS!$C$5, IF($H285="1+3", $C285 + CADASTROS!$E$6, "")))), "")</f>
        <v/>
      </c>
      <c r="P285" s="8" t="str">
        <f t="shared" si="19"/>
        <v/>
      </c>
    </row>
    <row r="286" spans="1:16">
      <c r="A286" s="2" t="s">
        <v>421</v>
      </c>
      <c r="B286" s="6" t="s">
        <v>18</v>
      </c>
      <c r="C286" s="7">
        <v>45166</v>
      </c>
      <c r="D286" s="7" t="s">
        <v>67</v>
      </c>
      <c r="E286" s="4" t="s">
        <v>111</v>
      </c>
      <c r="F286" s="4" t="s">
        <v>121</v>
      </c>
      <c r="G286" s="8">
        <v>8864</v>
      </c>
      <c r="H286" s="8" t="s">
        <v>137</v>
      </c>
      <c r="I286" s="3">
        <f>IF($H286="A VISTA", C286 + CADASTROS!$B$3, IF($H286="1+1", C286 + CADASTROS!$B$4, IF(H286="1+2", C286 + CADASTROS!$B$5, IF(H286="1+3", C286 + CADASTROS!$B$6, ""))))</f>
        <v>45167</v>
      </c>
      <c r="J286" s="8">
        <f t="shared" si="16"/>
        <v>2954.6666666666665</v>
      </c>
      <c r="K286" s="3">
        <f>IF($L286&lt;&gt;"", IF($H286="A VISTA", "", IF($H286="1+1", $C286 + CADASTROS!$C$4, IF($H286="1+2", $C286 + CADASTROS!$C$5, IF($H286="1+3", $C286 + CADASTROS!$E$4, "")))), "")</f>
        <v>45196</v>
      </c>
      <c r="L286" s="8">
        <f t="shared" si="17"/>
        <v>2954.6666666666665</v>
      </c>
      <c r="M286" s="3">
        <f>IF($N286&lt;&gt;"", IF($H286="A VISTA", "", IF($H286="1+1", $C286 + CADASTROS!$C$4, IF($H286="1+2", $C286 + CADASTROS!$D$5, IF($H286="1+3", $C286 + CADASTROS!$D$6, "")))), "")</f>
        <v>45211</v>
      </c>
      <c r="N286" s="8">
        <f t="shared" si="18"/>
        <v>2954.6666666666674</v>
      </c>
      <c r="O286" s="3" t="str">
        <f>IF($P286&lt;&gt;"", IF($H286="A VISTA", "", IF($H286="1+1", $C286 + CADASTROS!$C$4, IF($H286="1+2", $C286 + CADASTROS!$C$5, IF($H286="1+3", $C286 + CADASTROS!$E$6, "")))), "")</f>
        <v/>
      </c>
      <c r="P286" s="8" t="str">
        <f t="shared" si="19"/>
        <v/>
      </c>
    </row>
    <row r="287" spans="1:16">
      <c r="A287" s="2" t="s">
        <v>422</v>
      </c>
      <c r="B287" s="6" t="s">
        <v>41</v>
      </c>
      <c r="C287" s="7">
        <v>45135</v>
      </c>
      <c r="D287" s="7" t="s">
        <v>90</v>
      </c>
      <c r="E287" s="4" t="s">
        <v>111</v>
      </c>
      <c r="F287" s="4" t="s">
        <v>118</v>
      </c>
      <c r="G287" s="8">
        <v>6331</v>
      </c>
      <c r="H287" s="8" t="s">
        <v>126</v>
      </c>
      <c r="I287" s="3">
        <f>IF($H287="A VISTA", C287 + CADASTROS!$B$3, IF($H287="1+1", C287 + CADASTROS!$B$4, IF(H287="1+2", C287 + CADASTROS!$B$5, IF(H287="1+3", C287 + CADASTROS!$B$6, ""))))</f>
        <v>45136</v>
      </c>
      <c r="J287" s="8">
        <f t="shared" si="16"/>
        <v>6331</v>
      </c>
      <c r="K287" s="3" t="str">
        <f>IF($L287&lt;&gt;"", IF($H287="A VISTA", "", IF($H287="1+1", $C287 + CADASTROS!$C$4, IF($H287="1+2", $C287 + CADASTROS!$C$5, IF($H287="1+3", $C287 + CADASTROS!$E$4, "")))), "")</f>
        <v/>
      </c>
      <c r="L287" s="8" t="str">
        <f t="shared" si="17"/>
        <v/>
      </c>
      <c r="M287" s="3" t="str">
        <f>IF($N287&lt;&gt;"", IF($H287="A VISTA", "", IF($H287="1+1", $C287 + CADASTROS!$C$4, IF($H287="1+2", $C287 + CADASTROS!$D$5, IF($H287="1+3", $C287 + CADASTROS!$D$6, "")))), "")</f>
        <v/>
      </c>
      <c r="N287" s="8" t="str">
        <f t="shared" si="18"/>
        <v/>
      </c>
      <c r="O287" s="3" t="str">
        <f>IF($P287&lt;&gt;"", IF($H287="A VISTA", "", IF($H287="1+1", $C287 + CADASTROS!$C$4, IF($H287="1+2", $C287 + CADASTROS!$C$5, IF($H287="1+3", $C287 + CADASTROS!$E$6, "")))), "")</f>
        <v/>
      </c>
      <c r="P287" s="8" t="str">
        <f t="shared" si="19"/>
        <v/>
      </c>
    </row>
    <row r="288" spans="1:16">
      <c r="A288" s="2" t="s">
        <v>423</v>
      </c>
      <c r="B288" s="6" t="s">
        <v>12</v>
      </c>
      <c r="C288" s="7">
        <v>45175</v>
      </c>
      <c r="D288" s="7" t="s">
        <v>62</v>
      </c>
      <c r="E288" s="4" t="s">
        <v>112</v>
      </c>
      <c r="F288" s="4" t="s">
        <v>122</v>
      </c>
      <c r="G288" s="8">
        <v>3309</v>
      </c>
      <c r="H288" s="8" t="s">
        <v>126</v>
      </c>
      <c r="I288" s="3">
        <f>IF($H288="A VISTA", C288 + CADASTROS!$B$3, IF($H288="1+1", C288 + CADASTROS!$B$4, IF(H288="1+2", C288 + CADASTROS!$B$5, IF(H288="1+3", C288 + CADASTROS!$B$6, ""))))</f>
        <v>45176</v>
      </c>
      <c r="J288" s="8">
        <f t="shared" si="16"/>
        <v>3309</v>
      </c>
      <c r="K288" s="3" t="str">
        <f>IF($L288&lt;&gt;"", IF($H288="A VISTA", "", IF($H288="1+1", $C288 + CADASTROS!$C$4, IF($H288="1+2", $C288 + CADASTROS!$C$5, IF($H288="1+3", $C288 + CADASTROS!$E$4, "")))), "")</f>
        <v/>
      </c>
      <c r="L288" s="8" t="str">
        <f t="shared" si="17"/>
        <v/>
      </c>
      <c r="M288" s="3" t="str">
        <f>IF($N288&lt;&gt;"", IF($H288="A VISTA", "", IF($H288="1+1", $C288 + CADASTROS!$C$4, IF($H288="1+2", $C288 + CADASTROS!$D$5, IF($H288="1+3", $C288 + CADASTROS!$D$6, "")))), "")</f>
        <v/>
      </c>
      <c r="N288" s="8" t="str">
        <f t="shared" si="18"/>
        <v/>
      </c>
      <c r="O288" s="3" t="str">
        <f>IF($P288&lt;&gt;"", IF($H288="A VISTA", "", IF($H288="1+1", $C288 + CADASTROS!$C$4, IF($H288="1+2", $C288 + CADASTROS!$C$5, IF($H288="1+3", $C288 + CADASTROS!$E$6, "")))), "")</f>
        <v/>
      </c>
      <c r="P288" s="8" t="str">
        <f t="shared" si="19"/>
        <v/>
      </c>
    </row>
    <row r="289" spans="1:16">
      <c r="A289" s="2" t="s">
        <v>424</v>
      </c>
      <c r="B289" s="6" t="s">
        <v>56</v>
      </c>
      <c r="C289" s="7">
        <v>45117</v>
      </c>
      <c r="D289" s="7" t="s">
        <v>105</v>
      </c>
      <c r="E289" s="4" t="s">
        <v>110</v>
      </c>
      <c r="F289" s="4" t="s">
        <v>113</v>
      </c>
      <c r="G289" s="8">
        <v>7742</v>
      </c>
      <c r="H289" s="8" t="s">
        <v>137</v>
      </c>
      <c r="I289" s="3">
        <f>IF($H289="A VISTA", C289 + CADASTROS!$B$3, IF($H289="1+1", C289 + CADASTROS!$B$4, IF(H289="1+2", C289 + CADASTROS!$B$5, IF(H289="1+3", C289 + CADASTROS!$B$6, ""))))</f>
        <v>45118</v>
      </c>
      <c r="J289" s="8">
        <f t="shared" si="16"/>
        <v>2580.6666666666665</v>
      </c>
      <c r="K289" s="3">
        <f>IF($L289&lt;&gt;"", IF($H289="A VISTA", "", IF($H289="1+1", $C289 + CADASTROS!$C$4, IF($H289="1+2", $C289 + CADASTROS!$C$5, IF($H289="1+3", $C289 + CADASTROS!$E$4, "")))), "")</f>
        <v>45147</v>
      </c>
      <c r="L289" s="8">
        <f t="shared" si="17"/>
        <v>2580.6666666666665</v>
      </c>
      <c r="M289" s="3">
        <f>IF($N289&lt;&gt;"", IF($H289="A VISTA", "", IF($H289="1+1", $C289 + CADASTROS!$C$4, IF($H289="1+2", $C289 + CADASTROS!$D$5, IF($H289="1+3", $C289 + CADASTROS!$D$6, "")))), "")</f>
        <v>45162</v>
      </c>
      <c r="N289" s="8">
        <f t="shared" si="18"/>
        <v>2580.6666666666674</v>
      </c>
      <c r="O289" s="3" t="str">
        <f>IF($P289&lt;&gt;"", IF($H289="A VISTA", "", IF($H289="1+1", $C289 + CADASTROS!$C$4, IF($H289="1+2", $C289 + CADASTROS!$C$5, IF($H289="1+3", $C289 + CADASTROS!$E$6, "")))), "")</f>
        <v/>
      </c>
      <c r="P289" s="8" t="str">
        <f t="shared" si="19"/>
        <v/>
      </c>
    </row>
    <row r="290" spans="1:16">
      <c r="A290" s="2" t="s">
        <v>425</v>
      </c>
      <c r="B290" s="6" t="s">
        <v>56</v>
      </c>
      <c r="C290" s="7">
        <v>45051</v>
      </c>
      <c r="D290" s="7" t="s">
        <v>105</v>
      </c>
      <c r="E290" s="4" t="s">
        <v>110</v>
      </c>
      <c r="F290" s="4" t="s">
        <v>113</v>
      </c>
      <c r="G290" s="8">
        <v>8698</v>
      </c>
      <c r="H290" s="8" t="s">
        <v>137</v>
      </c>
      <c r="I290" s="3">
        <f>IF($H290="A VISTA", C290 + CADASTROS!$B$3, IF($H290="1+1", C290 + CADASTROS!$B$4, IF(H290="1+2", C290 + CADASTROS!$B$5, IF(H290="1+3", C290 + CADASTROS!$B$6, ""))))</f>
        <v>45052</v>
      </c>
      <c r="J290" s="8">
        <f t="shared" si="16"/>
        <v>2899.3333333333335</v>
      </c>
      <c r="K290" s="3">
        <f>IF($L290&lt;&gt;"", IF($H290="A VISTA", "", IF($H290="1+1", $C290 + CADASTROS!$C$4, IF($H290="1+2", $C290 + CADASTROS!$C$5, IF($H290="1+3", $C290 + CADASTROS!$E$4, "")))), "")</f>
        <v>45081</v>
      </c>
      <c r="L290" s="8">
        <f t="shared" si="17"/>
        <v>2899.3333333333335</v>
      </c>
      <c r="M290" s="3">
        <f>IF($N290&lt;&gt;"", IF($H290="A VISTA", "", IF($H290="1+1", $C290 + CADASTROS!$C$4, IF($H290="1+2", $C290 + CADASTROS!$D$5, IF($H290="1+3", $C290 + CADASTROS!$D$6, "")))), "")</f>
        <v>45096</v>
      </c>
      <c r="N290" s="8">
        <f t="shared" si="18"/>
        <v>2899.3333333333326</v>
      </c>
      <c r="O290" s="3" t="str">
        <f>IF($P290&lt;&gt;"", IF($H290="A VISTA", "", IF($H290="1+1", $C290 + CADASTROS!$C$4, IF($H290="1+2", $C290 + CADASTROS!$C$5, IF($H290="1+3", $C290 + CADASTROS!$E$6, "")))), "")</f>
        <v/>
      </c>
      <c r="P290" s="8" t="str">
        <f t="shared" si="19"/>
        <v/>
      </c>
    </row>
    <row r="291" spans="1:16">
      <c r="A291" s="2" t="s">
        <v>426</v>
      </c>
      <c r="B291" s="6" t="s">
        <v>58</v>
      </c>
      <c r="C291" s="7">
        <v>45153</v>
      </c>
      <c r="D291" s="7" t="s">
        <v>107</v>
      </c>
      <c r="E291" s="4" t="s">
        <v>111</v>
      </c>
      <c r="F291" s="4" t="s">
        <v>120</v>
      </c>
      <c r="G291" s="8">
        <v>1002</v>
      </c>
      <c r="H291" s="8" t="s">
        <v>137</v>
      </c>
      <c r="I291" s="3">
        <f>IF($H291="A VISTA", C291 + CADASTROS!$B$3, IF($H291="1+1", C291 + CADASTROS!$B$4, IF(H291="1+2", C291 + CADASTROS!$B$5, IF(H291="1+3", C291 + CADASTROS!$B$6, ""))))</f>
        <v>45154</v>
      </c>
      <c r="J291" s="8">
        <f t="shared" si="16"/>
        <v>334</v>
      </c>
      <c r="K291" s="3">
        <f>IF($L291&lt;&gt;"", IF($H291="A VISTA", "", IF($H291="1+1", $C291 + CADASTROS!$C$4, IF($H291="1+2", $C291 + CADASTROS!$C$5, IF($H291="1+3", $C291 + CADASTROS!$E$4, "")))), "")</f>
        <v>45183</v>
      </c>
      <c r="L291" s="8">
        <f t="shared" si="17"/>
        <v>334</v>
      </c>
      <c r="M291" s="3">
        <f>IF($N291&lt;&gt;"", IF($H291="A VISTA", "", IF($H291="1+1", $C291 + CADASTROS!$C$4, IF($H291="1+2", $C291 + CADASTROS!$D$5, IF($H291="1+3", $C291 + CADASTROS!$D$6, "")))), "")</f>
        <v>45198</v>
      </c>
      <c r="N291" s="8">
        <f t="shared" si="18"/>
        <v>334</v>
      </c>
      <c r="O291" s="3" t="str">
        <f>IF($P291&lt;&gt;"", IF($H291="A VISTA", "", IF($H291="1+1", $C291 + CADASTROS!$C$4, IF($H291="1+2", $C291 + CADASTROS!$C$5, IF($H291="1+3", $C291 + CADASTROS!$E$6, "")))), "")</f>
        <v/>
      </c>
      <c r="P291" s="8" t="str">
        <f t="shared" si="19"/>
        <v/>
      </c>
    </row>
    <row r="292" spans="1:16">
      <c r="A292" s="2" t="s">
        <v>427</v>
      </c>
      <c r="B292" s="6" t="s">
        <v>29</v>
      </c>
      <c r="C292" s="7">
        <v>45355</v>
      </c>
      <c r="D292" s="7" t="s">
        <v>78</v>
      </c>
      <c r="E292" s="4" t="s">
        <v>111</v>
      </c>
      <c r="F292" s="4" t="s">
        <v>121</v>
      </c>
      <c r="G292" s="8">
        <v>5390</v>
      </c>
      <c r="H292" s="8" t="s">
        <v>126</v>
      </c>
      <c r="I292" s="3">
        <f>IF($H292="A VISTA", C292 + CADASTROS!$B$3, IF($H292="1+1", C292 + CADASTROS!$B$4, IF(H292="1+2", C292 + CADASTROS!$B$5, IF(H292="1+3", C292 + CADASTROS!$B$6, ""))))</f>
        <v>45356</v>
      </c>
      <c r="J292" s="8">
        <f t="shared" si="16"/>
        <v>5390</v>
      </c>
      <c r="K292" s="3" t="str">
        <f>IF($L292&lt;&gt;"", IF($H292="A VISTA", "", IF($H292="1+1", $C292 + CADASTROS!$C$4, IF($H292="1+2", $C292 + CADASTROS!$C$5, IF($H292="1+3", $C292 + CADASTROS!$E$4, "")))), "")</f>
        <v/>
      </c>
      <c r="L292" s="8" t="str">
        <f t="shared" si="17"/>
        <v/>
      </c>
      <c r="M292" s="3" t="str">
        <f>IF($N292&lt;&gt;"", IF($H292="A VISTA", "", IF($H292="1+1", $C292 + CADASTROS!$C$4, IF($H292="1+2", $C292 + CADASTROS!$D$5, IF($H292="1+3", $C292 + CADASTROS!$D$6, "")))), "")</f>
        <v/>
      </c>
      <c r="N292" s="8" t="str">
        <f t="shared" si="18"/>
        <v/>
      </c>
      <c r="O292" s="3" t="str">
        <f>IF($P292&lt;&gt;"", IF($H292="A VISTA", "", IF($H292="1+1", $C292 + CADASTROS!$C$4, IF($H292="1+2", $C292 + CADASTROS!$C$5, IF($H292="1+3", $C292 + CADASTROS!$E$6, "")))), "")</f>
        <v/>
      </c>
      <c r="P292" s="8" t="str">
        <f t="shared" si="19"/>
        <v/>
      </c>
    </row>
    <row r="293" spans="1:16">
      <c r="A293" s="2" t="s">
        <v>428</v>
      </c>
      <c r="B293" s="6" t="s">
        <v>59</v>
      </c>
      <c r="C293" s="7">
        <v>45158</v>
      </c>
      <c r="D293" s="7" t="s">
        <v>108</v>
      </c>
      <c r="E293" s="4" t="s">
        <v>111</v>
      </c>
      <c r="F293" s="4" t="s">
        <v>121</v>
      </c>
      <c r="G293" s="8">
        <v>8316</v>
      </c>
      <c r="H293" s="8" t="s">
        <v>138</v>
      </c>
      <c r="I293" s="3">
        <f>IF($H293="A VISTA", C293 + CADASTROS!$B$3, IF($H293="1+1", C293 + CADASTROS!$B$4, IF(H293="1+2", C293 + CADASTROS!$B$5, IF(H293="1+3", C293 + CADASTROS!$B$6, ""))))</f>
        <v>45159</v>
      </c>
      <c r="J293" s="8">
        <f t="shared" si="16"/>
        <v>4158</v>
      </c>
      <c r="K293" s="3">
        <f>IF($L293&lt;&gt;"", IF($H293="A VISTA", "", IF($H293="1+1", $C293 + CADASTROS!$C$4, IF($H293="1+2", $C293 + CADASTROS!$C$5, IF($H293="1+3", $C293 + CADASTROS!$E$4, "")))), "")</f>
        <v>45188</v>
      </c>
      <c r="L293" s="8">
        <f t="shared" si="17"/>
        <v>4158</v>
      </c>
      <c r="M293" s="3" t="str">
        <f>IF($N293&lt;&gt;"", IF($H293="A VISTA", "", IF($H293="1+1", $C293 + CADASTROS!$C$4, IF($H293="1+2", $C293 + CADASTROS!$D$5, IF($H293="1+3", $C293 + CADASTROS!$D$6, "")))), "")</f>
        <v/>
      </c>
      <c r="N293" s="8" t="str">
        <f t="shared" si="18"/>
        <v/>
      </c>
      <c r="O293" s="3" t="str">
        <f>IF($P293&lt;&gt;"", IF($H293="A VISTA", "", IF($H293="1+1", $C293 + CADASTROS!$C$4, IF($H293="1+2", $C293 + CADASTROS!$C$5, IF($H293="1+3", $C293 + CADASTROS!$E$6, "")))), "")</f>
        <v/>
      </c>
      <c r="P293" s="8" t="str">
        <f t="shared" si="19"/>
        <v/>
      </c>
    </row>
    <row r="294" spans="1:16">
      <c r="A294" s="2" t="s">
        <v>429</v>
      </c>
      <c r="B294" s="6" t="s">
        <v>15</v>
      </c>
      <c r="C294" s="7">
        <v>45207</v>
      </c>
      <c r="D294" s="7" t="s">
        <v>64</v>
      </c>
      <c r="E294" s="4" t="s">
        <v>112</v>
      </c>
      <c r="F294" s="4" t="s">
        <v>123</v>
      </c>
      <c r="G294" s="8">
        <v>3139</v>
      </c>
      <c r="H294" s="8" t="s">
        <v>126</v>
      </c>
      <c r="I294" s="3">
        <f>IF($H294="A VISTA", C294 + CADASTROS!$B$3, IF($H294="1+1", C294 + CADASTROS!$B$4, IF(H294="1+2", C294 + CADASTROS!$B$5, IF(H294="1+3", C294 + CADASTROS!$B$6, ""))))</f>
        <v>45208</v>
      </c>
      <c r="J294" s="8">
        <f t="shared" si="16"/>
        <v>3139</v>
      </c>
      <c r="K294" s="3" t="str">
        <f>IF($L294&lt;&gt;"", IF($H294="A VISTA", "", IF($H294="1+1", $C294 + CADASTROS!$C$4, IF($H294="1+2", $C294 + CADASTROS!$C$5, IF($H294="1+3", $C294 + CADASTROS!$E$4, "")))), "")</f>
        <v/>
      </c>
      <c r="L294" s="8" t="str">
        <f t="shared" si="17"/>
        <v/>
      </c>
      <c r="M294" s="3" t="str">
        <f>IF($N294&lt;&gt;"", IF($H294="A VISTA", "", IF($H294="1+1", $C294 + CADASTROS!$C$4, IF($H294="1+2", $C294 + CADASTROS!$D$5, IF($H294="1+3", $C294 + CADASTROS!$D$6, "")))), "")</f>
        <v/>
      </c>
      <c r="N294" s="8" t="str">
        <f t="shared" si="18"/>
        <v/>
      </c>
      <c r="O294" s="3" t="str">
        <f>IF($P294&lt;&gt;"", IF($H294="A VISTA", "", IF($H294="1+1", $C294 + CADASTROS!$C$4, IF($H294="1+2", $C294 + CADASTROS!$C$5, IF($H294="1+3", $C294 + CADASTROS!$E$6, "")))), "")</f>
        <v/>
      </c>
      <c r="P294" s="8" t="str">
        <f t="shared" si="19"/>
        <v/>
      </c>
    </row>
    <row r="295" spans="1:16">
      <c r="A295" s="2" t="s">
        <v>430</v>
      </c>
      <c r="B295" s="6" t="s">
        <v>14</v>
      </c>
      <c r="C295" s="7">
        <v>45274</v>
      </c>
      <c r="D295" s="7" t="s">
        <v>61</v>
      </c>
      <c r="E295" s="4" t="s">
        <v>110</v>
      </c>
      <c r="F295" s="4" t="s">
        <v>113</v>
      </c>
      <c r="G295" s="8">
        <v>2373</v>
      </c>
      <c r="H295" s="8" t="s">
        <v>126</v>
      </c>
      <c r="I295" s="3">
        <f>IF($H295="A VISTA", C295 + CADASTROS!$B$3, IF($H295="1+1", C295 + CADASTROS!$B$4, IF(H295="1+2", C295 + CADASTROS!$B$5, IF(H295="1+3", C295 + CADASTROS!$B$6, ""))))</f>
        <v>45275</v>
      </c>
      <c r="J295" s="8">
        <f t="shared" si="16"/>
        <v>2373</v>
      </c>
      <c r="K295" s="3" t="str">
        <f>IF($L295&lt;&gt;"", IF($H295="A VISTA", "", IF($H295="1+1", $C295 + CADASTROS!$C$4, IF($H295="1+2", $C295 + CADASTROS!$C$5, IF($H295="1+3", $C295 + CADASTROS!$E$4, "")))), "")</f>
        <v/>
      </c>
      <c r="L295" s="8" t="str">
        <f t="shared" si="17"/>
        <v/>
      </c>
      <c r="M295" s="3" t="str">
        <f>IF($N295&lt;&gt;"", IF($H295="A VISTA", "", IF($H295="1+1", $C295 + CADASTROS!$C$4, IF($H295="1+2", $C295 + CADASTROS!$D$5, IF($H295="1+3", $C295 + CADASTROS!$D$6, "")))), "")</f>
        <v/>
      </c>
      <c r="N295" s="8" t="str">
        <f t="shared" si="18"/>
        <v/>
      </c>
      <c r="O295" s="3" t="str">
        <f>IF($P295&lt;&gt;"", IF($H295="A VISTA", "", IF($H295="1+1", $C295 + CADASTROS!$C$4, IF($H295="1+2", $C295 + CADASTROS!$C$5, IF($H295="1+3", $C295 + CADASTROS!$E$6, "")))), "")</f>
        <v/>
      </c>
      <c r="P295" s="8" t="str">
        <f t="shared" si="19"/>
        <v/>
      </c>
    </row>
    <row r="296" spans="1:16">
      <c r="A296" s="2" t="s">
        <v>431</v>
      </c>
      <c r="B296" s="6" t="s">
        <v>28</v>
      </c>
      <c r="C296" s="7">
        <v>45114</v>
      </c>
      <c r="D296" s="7" t="s">
        <v>77</v>
      </c>
      <c r="E296" s="4" t="s">
        <v>110</v>
      </c>
      <c r="F296" s="4" t="s">
        <v>114</v>
      </c>
      <c r="G296" s="8">
        <v>465</v>
      </c>
      <c r="H296" s="8" t="s">
        <v>136</v>
      </c>
      <c r="I296" s="3">
        <f>IF($H296="A VISTA", C296 + CADASTROS!$B$3, IF($H296="1+1", C296 + CADASTROS!$B$4, IF(H296="1+2", C296 + CADASTROS!$B$5, IF(H296="1+3", C296 + CADASTROS!$B$6, ""))))</f>
        <v>45115</v>
      </c>
      <c r="J296" s="8">
        <f t="shared" si="16"/>
        <v>116.25</v>
      </c>
      <c r="K296" s="3">
        <f>IF($L296&lt;&gt;"", IF($H296="A VISTA", "", IF($H296="1+1", $C296 + CADASTROS!$C$4, IF($H296="1+2", $C296 + CADASTROS!$C$5, IF($H296="1+3", $C296 + CADASTROS!$E$4, "")))), "")</f>
        <v>45114</v>
      </c>
      <c r="L296" s="8">
        <f t="shared" si="17"/>
        <v>116.25</v>
      </c>
      <c r="M296" s="3">
        <f>IF($N296&lt;&gt;"", IF($H296="A VISTA", "", IF($H296="1+1", $C296 + CADASTROS!$C$4, IF($H296="1+2", $C296 + CADASTROS!$D$5, IF($H296="1+3", $C296 + CADASTROS!$D$6, "")))), "")</f>
        <v>45159</v>
      </c>
      <c r="N296" s="8">
        <f t="shared" si="18"/>
        <v>116.25</v>
      </c>
      <c r="O296" s="3">
        <f>IF($P296&lt;&gt;"", IF($H296="A VISTA", "", IF($H296="1+1", $C296 + CADASTROS!$C$4, IF($H296="1+2", $C296 + CADASTROS!$C$5, IF($H296="1+3", $C296 + CADASTROS!$E$6, "")))), "")</f>
        <v>45174</v>
      </c>
      <c r="P296" s="8">
        <f t="shared" si="19"/>
        <v>116.25</v>
      </c>
    </row>
    <row r="297" spans="1:16">
      <c r="A297" s="2" t="s">
        <v>432</v>
      </c>
      <c r="B297" s="6" t="s">
        <v>25</v>
      </c>
      <c r="C297" s="7">
        <v>45347</v>
      </c>
      <c r="D297" s="7" t="s">
        <v>74</v>
      </c>
      <c r="E297" s="4" t="s">
        <v>111</v>
      </c>
      <c r="F297" s="4" t="s">
        <v>120</v>
      </c>
      <c r="G297" s="8">
        <v>3828</v>
      </c>
      <c r="H297" s="8" t="s">
        <v>136</v>
      </c>
      <c r="I297" s="3">
        <f>IF($H297="A VISTA", C297 + CADASTROS!$B$3, IF($H297="1+1", C297 + CADASTROS!$B$4, IF(H297="1+2", C297 + CADASTROS!$B$5, IF(H297="1+3", C297 + CADASTROS!$B$6, ""))))</f>
        <v>45348</v>
      </c>
      <c r="J297" s="8">
        <f t="shared" si="16"/>
        <v>957</v>
      </c>
      <c r="K297" s="3">
        <f>IF($L297&lt;&gt;"", IF($H297="A VISTA", "", IF($H297="1+1", $C297 + CADASTROS!$C$4, IF($H297="1+2", $C297 + CADASTROS!$C$5, IF($H297="1+3", $C297 + CADASTROS!$E$4, "")))), "")</f>
        <v>45347</v>
      </c>
      <c r="L297" s="8">
        <f t="shared" si="17"/>
        <v>957</v>
      </c>
      <c r="M297" s="3">
        <f>IF($N297&lt;&gt;"", IF($H297="A VISTA", "", IF($H297="1+1", $C297 + CADASTROS!$C$4, IF($H297="1+2", $C297 + CADASTROS!$D$5, IF($H297="1+3", $C297 + CADASTROS!$D$6, "")))), "")</f>
        <v>45392</v>
      </c>
      <c r="N297" s="8">
        <f t="shared" si="18"/>
        <v>957</v>
      </c>
      <c r="O297" s="3">
        <f>IF($P297&lt;&gt;"", IF($H297="A VISTA", "", IF($H297="1+1", $C297 + CADASTROS!$C$4, IF($H297="1+2", $C297 + CADASTROS!$C$5, IF($H297="1+3", $C297 + CADASTROS!$E$6, "")))), "")</f>
        <v>45407</v>
      </c>
      <c r="P297" s="8">
        <f t="shared" si="19"/>
        <v>957</v>
      </c>
    </row>
    <row r="298" spans="1:16">
      <c r="A298" s="2" t="s">
        <v>433</v>
      </c>
      <c r="B298" s="6" t="s">
        <v>47</v>
      </c>
      <c r="C298" s="7">
        <v>45337</v>
      </c>
      <c r="D298" s="7" t="s">
        <v>96</v>
      </c>
      <c r="E298" s="4" t="s">
        <v>111</v>
      </c>
      <c r="F298" s="4" t="s">
        <v>120</v>
      </c>
      <c r="G298" s="8">
        <v>3075</v>
      </c>
      <c r="H298" s="8" t="s">
        <v>126</v>
      </c>
      <c r="I298" s="3">
        <f>IF($H298="A VISTA", C298 + CADASTROS!$B$3, IF($H298="1+1", C298 + CADASTROS!$B$4, IF(H298="1+2", C298 + CADASTROS!$B$5, IF(H298="1+3", C298 + CADASTROS!$B$6, ""))))</f>
        <v>45338</v>
      </c>
      <c r="J298" s="8">
        <f t="shared" si="16"/>
        <v>3075</v>
      </c>
      <c r="K298" s="3" t="str">
        <f>IF($L298&lt;&gt;"", IF($H298="A VISTA", "", IF($H298="1+1", $C298 + CADASTROS!$C$4, IF($H298="1+2", $C298 + CADASTROS!$C$5, IF($H298="1+3", $C298 + CADASTROS!$E$4, "")))), "")</f>
        <v/>
      </c>
      <c r="L298" s="8" t="str">
        <f t="shared" si="17"/>
        <v/>
      </c>
      <c r="M298" s="3" t="str">
        <f>IF($N298&lt;&gt;"", IF($H298="A VISTA", "", IF($H298="1+1", $C298 + CADASTROS!$C$4, IF($H298="1+2", $C298 + CADASTROS!$D$5, IF($H298="1+3", $C298 + CADASTROS!$D$6, "")))), "")</f>
        <v/>
      </c>
      <c r="N298" s="8" t="str">
        <f t="shared" si="18"/>
        <v/>
      </c>
      <c r="O298" s="3" t="str">
        <f>IF($P298&lt;&gt;"", IF($H298="A VISTA", "", IF($H298="1+1", $C298 + CADASTROS!$C$4, IF($H298="1+2", $C298 + CADASTROS!$C$5, IF($H298="1+3", $C298 + CADASTROS!$E$6, "")))), "")</f>
        <v/>
      </c>
      <c r="P298" s="8" t="str">
        <f t="shared" si="19"/>
        <v/>
      </c>
    </row>
    <row r="299" spans="1:16">
      <c r="A299" s="2" t="s">
        <v>434</v>
      </c>
      <c r="B299" s="6" t="s">
        <v>35</v>
      </c>
      <c r="C299" s="7">
        <v>45465</v>
      </c>
      <c r="D299" s="7" t="s">
        <v>84</v>
      </c>
      <c r="E299" s="4" t="s">
        <v>112</v>
      </c>
      <c r="F299" s="4" t="s">
        <v>122</v>
      </c>
      <c r="G299" s="8">
        <v>9709</v>
      </c>
      <c r="H299" s="8" t="s">
        <v>126</v>
      </c>
      <c r="I299" s="3">
        <f>IF($H299="A VISTA", C299 + CADASTROS!$B$3, IF($H299="1+1", C299 + CADASTROS!$B$4, IF(H299="1+2", C299 + CADASTROS!$B$5, IF(H299="1+3", C299 + CADASTROS!$B$6, ""))))</f>
        <v>45466</v>
      </c>
      <c r="J299" s="8">
        <f t="shared" si="16"/>
        <v>9709</v>
      </c>
      <c r="K299" s="3" t="str">
        <f>IF($L299&lt;&gt;"", IF($H299="A VISTA", "", IF($H299="1+1", $C299 + CADASTROS!$C$4, IF($H299="1+2", $C299 + CADASTROS!$C$5, IF($H299="1+3", $C299 + CADASTROS!$E$4, "")))), "")</f>
        <v/>
      </c>
      <c r="L299" s="8" t="str">
        <f t="shared" si="17"/>
        <v/>
      </c>
      <c r="M299" s="3" t="str">
        <f>IF($N299&lt;&gt;"", IF($H299="A VISTA", "", IF($H299="1+1", $C299 + CADASTROS!$C$4, IF($H299="1+2", $C299 + CADASTROS!$D$5, IF($H299="1+3", $C299 + CADASTROS!$D$6, "")))), "")</f>
        <v/>
      </c>
      <c r="N299" s="8" t="str">
        <f t="shared" si="18"/>
        <v/>
      </c>
      <c r="O299" s="3" t="str">
        <f>IF($P299&lt;&gt;"", IF($H299="A VISTA", "", IF($H299="1+1", $C299 + CADASTROS!$C$4, IF($H299="1+2", $C299 + CADASTROS!$C$5, IF($H299="1+3", $C299 + CADASTROS!$E$6, "")))), "")</f>
        <v/>
      </c>
      <c r="P299" s="8" t="str">
        <f t="shared" si="19"/>
        <v/>
      </c>
    </row>
    <row r="300" spans="1:16">
      <c r="A300" s="2" t="s">
        <v>435</v>
      </c>
      <c r="B300" s="6" t="s">
        <v>58</v>
      </c>
      <c r="C300" s="7">
        <v>45142</v>
      </c>
      <c r="D300" s="7" t="s">
        <v>107</v>
      </c>
      <c r="E300" s="4" t="s">
        <v>111</v>
      </c>
      <c r="F300" s="4" t="s">
        <v>120</v>
      </c>
      <c r="G300" s="8">
        <v>6635</v>
      </c>
      <c r="H300" s="8" t="s">
        <v>136</v>
      </c>
      <c r="I300" s="3">
        <f>IF($H300="A VISTA", C300 + CADASTROS!$B$3, IF($H300="1+1", C300 + CADASTROS!$B$4, IF(H300="1+2", C300 + CADASTROS!$B$5, IF(H300="1+3", C300 + CADASTROS!$B$6, ""))))</f>
        <v>45143</v>
      </c>
      <c r="J300" s="8">
        <f t="shared" si="16"/>
        <v>1658.75</v>
      </c>
      <c r="K300" s="3">
        <f>IF($L300&lt;&gt;"", IF($H300="A VISTA", "", IF($H300="1+1", $C300 + CADASTROS!$C$4, IF($H300="1+2", $C300 + CADASTROS!$C$5, IF($H300="1+3", $C300 + CADASTROS!$E$4, "")))), "")</f>
        <v>45142</v>
      </c>
      <c r="L300" s="8">
        <f t="shared" si="17"/>
        <v>1658.75</v>
      </c>
      <c r="M300" s="3">
        <f>IF($N300&lt;&gt;"", IF($H300="A VISTA", "", IF($H300="1+1", $C300 + CADASTROS!$C$4, IF($H300="1+2", $C300 + CADASTROS!$D$5, IF($H300="1+3", $C300 + CADASTROS!$D$6, "")))), "")</f>
        <v>45187</v>
      </c>
      <c r="N300" s="8">
        <f t="shared" si="18"/>
        <v>1658.75</v>
      </c>
      <c r="O300" s="3">
        <f>IF($P300&lt;&gt;"", IF($H300="A VISTA", "", IF($H300="1+1", $C300 + CADASTROS!$C$4, IF($H300="1+2", $C300 + CADASTROS!$C$5, IF($H300="1+3", $C300 + CADASTROS!$E$6, "")))), "")</f>
        <v>45202</v>
      </c>
      <c r="P300" s="8">
        <f t="shared" si="19"/>
        <v>1658.75</v>
      </c>
    </row>
    <row r="301" spans="1:16">
      <c r="A301" s="2" t="s">
        <v>436</v>
      </c>
      <c r="B301" s="6" t="s">
        <v>17</v>
      </c>
      <c r="C301" s="7">
        <v>45204</v>
      </c>
      <c r="D301" s="7" t="s">
        <v>66</v>
      </c>
      <c r="E301" s="4" t="s">
        <v>110</v>
      </c>
      <c r="F301" s="4" t="s">
        <v>114</v>
      </c>
      <c r="G301" s="8">
        <v>3765</v>
      </c>
      <c r="H301" s="8" t="s">
        <v>137</v>
      </c>
      <c r="I301" s="3">
        <f>IF($H301="A VISTA", C301 + CADASTROS!$B$3, IF($H301="1+1", C301 + CADASTROS!$B$4, IF(H301="1+2", C301 + CADASTROS!$B$5, IF(H301="1+3", C301 + CADASTROS!$B$6, ""))))</f>
        <v>45205</v>
      </c>
      <c r="J301" s="8">
        <f t="shared" si="16"/>
        <v>1255</v>
      </c>
      <c r="K301" s="3">
        <f>IF($L301&lt;&gt;"", IF($H301="A VISTA", "", IF($H301="1+1", $C301 + CADASTROS!$C$4, IF($H301="1+2", $C301 + CADASTROS!$C$5, IF($H301="1+3", $C301 + CADASTROS!$E$4, "")))), "")</f>
        <v>45234</v>
      </c>
      <c r="L301" s="8">
        <f t="shared" si="17"/>
        <v>1255</v>
      </c>
      <c r="M301" s="3">
        <f>IF($N301&lt;&gt;"", IF($H301="A VISTA", "", IF($H301="1+1", $C301 + CADASTROS!$C$4, IF($H301="1+2", $C301 + CADASTROS!$D$5, IF($H301="1+3", $C301 + CADASTROS!$D$6, "")))), "")</f>
        <v>45249</v>
      </c>
      <c r="N301" s="8">
        <f t="shared" si="18"/>
        <v>1255</v>
      </c>
      <c r="O301" s="3" t="str">
        <f>IF($P301&lt;&gt;"", IF($H301="A VISTA", "", IF($H301="1+1", $C301 + CADASTROS!$C$4, IF($H301="1+2", $C301 + CADASTROS!$C$5, IF($H301="1+3", $C301 + CADASTROS!$E$6, "")))), "")</f>
        <v/>
      </c>
      <c r="P301" s="8" t="str">
        <f t="shared" si="19"/>
        <v/>
      </c>
    </row>
    <row r="302" spans="1:16">
      <c r="A302" s="2" t="s">
        <v>437</v>
      </c>
      <c r="B302" s="6" t="s">
        <v>31</v>
      </c>
      <c r="C302" s="7">
        <v>45339</v>
      </c>
      <c r="D302" s="7" t="s">
        <v>80</v>
      </c>
      <c r="E302" s="4" t="s">
        <v>111</v>
      </c>
      <c r="F302" s="4" t="s">
        <v>117</v>
      </c>
      <c r="G302" s="8">
        <v>4503</v>
      </c>
      <c r="H302" s="8" t="s">
        <v>126</v>
      </c>
      <c r="I302" s="3">
        <f>IF($H302="A VISTA", C302 + CADASTROS!$B$3, IF($H302="1+1", C302 + CADASTROS!$B$4, IF(H302="1+2", C302 + CADASTROS!$B$5, IF(H302="1+3", C302 + CADASTROS!$B$6, ""))))</f>
        <v>45340</v>
      </c>
      <c r="J302" s="8">
        <f t="shared" si="16"/>
        <v>4503</v>
      </c>
      <c r="K302" s="3" t="str">
        <f>IF($L302&lt;&gt;"", IF($H302="A VISTA", "", IF($H302="1+1", $C302 + CADASTROS!$C$4, IF($H302="1+2", $C302 + CADASTROS!$C$5, IF($H302="1+3", $C302 + CADASTROS!$E$4, "")))), "")</f>
        <v/>
      </c>
      <c r="L302" s="8" t="str">
        <f t="shared" si="17"/>
        <v/>
      </c>
      <c r="M302" s="3" t="str">
        <f>IF($N302&lt;&gt;"", IF($H302="A VISTA", "", IF($H302="1+1", $C302 + CADASTROS!$C$4, IF($H302="1+2", $C302 + CADASTROS!$D$5, IF($H302="1+3", $C302 + CADASTROS!$D$6, "")))), "")</f>
        <v/>
      </c>
      <c r="N302" s="8" t="str">
        <f t="shared" si="18"/>
        <v/>
      </c>
      <c r="O302" s="3" t="str">
        <f>IF($P302&lt;&gt;"", IF($H302="A VISTA", "", IF($H302="1+1", $C302 + CADASTROS!$C$4, IF($H302="1+2", $C302 + CADASTROS!$C$5, IF($H302="1+3", $C302 + CADASTROS!$E$6, "")))), "")</f>
        <v/>
      </c>
      <c r="P302" s="8" t="str">
        <f t="shared" si="19"/>
        <v/>
      </c>
    </row>
    <row r="303" spans="1:16">
      <c r="A303" s="2" t="s">
        <v>438</v>
      </c>
      <c r="B303" s="6" t="s">
        <v>55</v>
      </c>
      <c r="C303" s="7">
        <v>45448</v>
      </c>
      <c r="D303" s="7" t="s">
        <v>104</v>
      </c>
      <c r="E303" s="4" t="s">
        <v>111</v>
      </c>
      <c r="F303" s="4" t="s">
        <v>119</v>
      </c>
      <c r="G303" s="8">
        <v>9392</v>
      </c>
      <c r="H303" s="8" t="s">
        <v>138</v>
      </c>
      <c r="I303" s="3">
        <f>IF($H303="A VISTA", C303 + CADASTROS!$B$3, IF($H303="1+1", C303 + CADASTROS!$B$4, IF(H303="1+2", C303 + CADASTROS!$B$5, IF(H303="1+3", C303 + CADASTROS!$B$6, ""))))</f>
        <v>45449</v>
      </c>
      <c r="J303" s="8">
        <f t="shared" si="16"/>
        <v>4696</v>
      </c>
      <c r="K303" s="3">
        <f>IF($L303&lt;&gt;"", IF($H303="A VISTA", "", IF($H303="1+1", $C303 + CADASTROS!$C$4, IF($H303="1+2", $C303 + CADASTROS!$C$5, IF($H303="1+3", $C303 + CADASTROS!$E$4, "")))), "")</f>
        <v>45478</v>
      </c>
      <c r="L303" s="8">
        <f t="shared" si="17"/>
        <v>4696</v>
      </c>
      <c r="M303" s="3" t="str">
        <f>IF($N303&lt;&gt;"", IF($H303="A VISTA", "", IF($H303="1+1", $C303 + CADASTROS!$C$4, IF($H303="1+2", $C303 + CADASTROS!$D$5, IF($H303="1+3", $C303 + CADASTROS!$D$6, "")))), "")</f>
        <v/>
      </c>
      <c r="N303" s="8" t="str">
        <f t="shared" si="18"/>
        <v/>
      </c>
      <c r="O303" s="3" t="str">
        <f>IF($P303&lt;&gt;"", IF($H303="A VISTA", "", IF($H303="1+1", $C303 + CADASTROS!$C$4, IF($H303="1+2", $C303 + CADASTROS!$C$5, IF($H303="1+3", $C303 + CADASTROS!$E$6, "")))), "")</f>
        <v/>
      </c>
      <c r="P303" s="8" t="str">
        <f t="shared" si="19"/>
        <v/>
      </c>
    </row>
    <row r="304" spans="1:16">
      <c r="A304" s="2" t="s">
        <v>439</v>
      </c>
      <c r="B304" s="6" t="s">
        <v>53</v>
      </c>
      <c r="C304" s="7">
        <v>45425</v>
      </c>
      <c r="D304" s="7" t="s">
        <v>102</v>
      </c>
      <c r="E304" s="4" t="s">
        <v>111</v>
      </c>
      <c r="F304" s="4" t="s">
        <v>117</v>
      </c>
      <c r="G304" s="8">
        <v>9896</v>
      </c>
      <c r="H304" s="8" t="s">
        <v>126</v>
      </c>
      <c r="I304" s="3">
        <f>IF($H304="A VISTA", C304 + CADASTROS!$B$3, IF($H304="1+1", C304 + CADASTROS!$B$4, IF(H304="1+2", C304 + CADASTROS!$B$5, IF(H304="1+3", C304 + CADASTROS!$B$6, ""))))</f>
        <v>45426</v>
      </c>
      <c r="J304" s="8">
        <f t="shared" si="16"/>
        <v>9896</v>
      </c>
      <c r="K304" s="3" t="str">
        <f>IF($L304&lt;&gt;"", IF($H304="A VISTA", "", IF($H304="1+1", $C304 + CADASTROS!$C$4, IF($H304="1+2", $C304 + CADASTROS!$C$5, IF($H304="1+3", $C304 + CADASTROS!$E$4, "")))), "")</f>
        <v/>
      </c>
      <c r="L304" s="8" t="str">
        <f t="shared" si="17"/>
        <v/>
      </c>
      <c r="M304" s="3" t="str">
        <f>IF($N304&lt;&gt;"", IF($H304="A VISTA", "", IF($H304="1+1", $C304 + CADASTROS!$C$4, IF($H304="1+2", $C304 + CADASTROS!$D$5, IF($H304="1+3", $C304 + CADASTROS!$D$6, "")))), "")</f>
        <v/>
      </c>
      <c r="N304" s="8" t="str">
        <f t="shared" si="18"/>
        <v/>
      </c>
      <c r="O304" s="3" t="str">
        <f>IF($P304&lt;&gt;"", IF($H304="A VISTA", "", IF($H304="1+1", $C304 + CADASTROS!$C$4, IF($H304="1+2", $C304 + CADASTROS!$C$5, IF($H304="1+3", $C304 + CADASTROS!$E$6, "")))), "")</f>
        <v/>
      </c>
      <c r="P304" s="8" t="str">
        <f t="shared" si="19"/>
        <v/>
      </c>
    </row>
    <row r="305" spans="1:16">
      <c r="A305" s="2" t="s">
        <v>440</v>
      </c>
      <c r="B305" s="6" t="s">
        <v>60</v>
      </c>
      <c r="C305" s="7">
        <v>45394</v>
      </c>
      <c r="D305" s="7" t="s">
        <v>109</v>
      </c>
      <c r="E305" s="4" t="s">
        <v>111</v>
      </c>
      <c r="F305" s="4" t="s">
        <v>118</v>
      </c>
      <c r="G305" s="8">
        <v>1414</v>
      </c>
      <c r="H305" s="8" t="s">
        <v>126</v>
      </c>
      <c r="I305" s="3">
        <f>IF($H305="A VISTA", C305 + CADASTROS!$B$3, IF($H305="1+1", C305 + CADASTROS!$B$4, IF(H305="1+2", C305 + CADASTROS!$B$5, IF(H305="1+3", C305 + CADASTROS!$B$6, ""))))</f>
        <v>45395</v>
      </c>
      <c r="J305" s="8">
        <f t="shared" si="16"/>
        <v>1414</v>
      </c>
      <c r="K305" s="3" t="str">
        <f>IF($L305&lt;&gt;"", IF($H305="A VISTA", "", IF($H305="1+1", $C305 + CADASTROS!$C$4, IF($H305="1+2", $C305 + CADASTROS!$C$5, IF($H305="1+3", $C305 + CADASTROS!$E$4, "")))), "")</f>
        <v/>
      </c>
      <c r="L305" s="8" t="str">
        <f t="shared" si="17"/>
        <v/>
      </c>
      <c r="M305" s="3" t="str">
        <f>IF($N305&lt;&gt;"", IF($H305="A VISTA", "", IF($H305="1+1", $C305 + CADASTROS!$C$4, IF($H305="1+2", $C305 + CADASTROS!$D$5, IF($H305="1+3", $C305 + CADASTROS!$D$6, "")))), "")</f>
        <v/>
      </c>
      <c r="N305" s="8" t="str">
        <f t="shared" si="18"/>
        <v/>
      </c>
      <c r="O305" s="3" t="str">
        <f>IF($P305&lt;&gt;"", IF($H305="A VISTA", "", IF($H305="1+1", $C305 + CADASTROS!$C$4, IF($H305="1+2", $C305 + CADASTROS!$C$5, IF($H305="1+3", $C305 + CADASTROS!$E$6, "")))), "")</f>
        <v/>
      </c>
      <c r="P305" s="8" t="str">
        <f t="shared" si="19"/>
        <v/>
      </c>
    </row>
    <row r="306" spans="1:16">
      <c r="A306" s="2" t="s">
        <v>441</v>
      </c>
      <c r="B306" s="6" t="s">
        <v>40</v>
      </c>
      <c r="C306" s="7">
        <v>45427</v>
      </c>
      <c r="D306" s="7" t="s">
        <v>89</v>
      </c>
      <c r="E306" s="4" t="s">
        <v>111</v>
      </c>
      <c r="F306" s="4" t="s">
        <v>121</v>
      </c>
      <c r="G306" s="8">
        <v>588</v>
      </c>
      <c r="H306" s="8" t="s">
        <v>138</v>
      </c>
      <c r="I306" s="3">
        <f>IF($H306="A VISTA", C306 + CADASTROS!$B$3, IF($H306="1+1", C306 + CADASTROS!$B$4, IF(H306="1+2", C306 + CADASTROS!$B$5, IF(H306="1+3", C306 + CADASTROS!$B$6, ""))))</f>
        <v>45428</v>
      </c>
      <c r="J306" s="8">
        <f t="shared" si="16"/>
        <v>294</v>
      </c>
      <c r="K306" s="3">
        <f>IF($L306&lt;&gt;"", IF($H306="A VISTA", "", IF($H306="1+1", $C306 + CADASTROS!$C$4, IF($H306="1+2", $C306 + CADASTROS!$C$5, IF($H306="1+3", $C306 + CADASTROS!$E$4, "")))), "")</f>
        <v>45457</v>
      </c>
      <c r="L306" s="8">
        <f t="shared" si="17"/>
        <v>294</v>
      </c>
      <c r="M306" s="3" t="str">
        <f>IF($N306&lt;&gt;"", IF($H306="A VISTA", "", IF($H306="1+1", $C306 + CADASTROS!$C$4, IF($H306="1+2", $C306 + CADASTROS!$D$5, IF($H306="1+3", $C306 + CADASTROS!$D$6, "")))), "")</f>
        <v/>
      </c>
      <c r="N306" s="8" t="str">
        <f t="shared" si="18"/>
        <v/>
      </c>
      <c r="O306" s="3" t="str">
        <f>IF($P306&lt;&gt;"", IF($H306="A VISTA", "", IF($H306="1+1", $C306 + CADASTROS!$C$4, IF($H306="1+2", $C306 + CADASTROS!$C$5, IF($H306="1+3", $C306 + CADASTROS!$E$6, "")))), "")</f>
        <v/>
      </c>
      <c r="P306" s="8" t="str">
        <f t="shared" si="19"/>
        <v/>
      </c>
    </row>
    <row r="307" spans="1:16">
      <c r="A307" s="2" t="s">
        <v>442</v>
      </c>
      <c r="B307" s="6" t="s">
        <v>17</v>
      </c>
      <c r="C307" s="7">
        <v>45370</v>
      </c>
      <c r="D307" s="7" t="s">
        <v>66</v>
      </c>
      <c r="E307" s="4" t="s">
        <v>110</v>
      </c>
      <c r="F307" s="4" t="s">
        <v>114</v>
      </c>
      <c r="G307" s="8">
        <v>1196</v>
      </c>
      <c r="H307" s="8" t="s">
        <v>138</v>
      </c>
      <c r="I307" s="3">
        <f>IF($H307="A VISTA", C307 + CADASTROS!$B$3, IF($H307="1+1", C307 + CADASTROS!$B$4, IF(H307="1+2", C307 + CADASTROS!$B$5, IF(H307="1+3", C307 + CADASTROS!$B$6, ""))))</f>
        <v>45371</v>
      </c>
      <c r="J307" s="8">
        <f t="shared" si="16"/>
        <v>598</v>
      </c>
      <c r="K307" s="3">
        <f>IF($L307&lt;&gt;"", IF($H307="A VISTA", "", IF($H307="1+1", $C307 + CADASTROS!$C$4, IF($H307="1+2", $C307 + CADASTROS!$C$5, IF($H307="1+3", $C307 + CADASTROS!$E$4, "")))), "")</f>
        <v>45400</v>
      </c>
      <c r="L307" s="8">
        <f t="shared" si="17"/>
        <v>598</v>
      </c>
      <c r="M307" s="3" t="str">
        <f>IF($N307&lt;&gt;"", IF($H307="A VISTA", "", IF($H307="1+1", $C307 + CADASTROS!$C$4, IF($H307="1+2", $C307 + CADASTROS!$D$5, IF($H307="1+3", $C307 + CADASTROS!$D$6, "")))), "")</f>
        <v/>
      </c>
      <c r="N307" s="8" t="str">
        <f t="shared" si="18"/>
        <v/>
      </c>
      <c r="O307" s="3" t="str">
        <f>IF($P307&lt;&gt;"", IF($H307="A VISTA", "", IF($H307="1+1", $C307 + CADASTROS!$C$4, IF($H307="1+2", $C307 + CADASTROS!$C$5, IF($H307="1+3", $C307 + CADASTROS!$E$6, "")))), "")</f>
        <v/>
      </c>
      <c r="P307" s="8" t="str">
        <f t="shared" si="19"/>
        <v/>
      </c>
    </row>
    <row r="308" spans="1:16">
      <c r="A308" s="2" t="s">
        <v>443</v>
      </c>
      <c r="B308" s="6" t="s">
        <v>20</v>
      </c>
      <c r="C308" s="7">
        <v>45041</v>
      </c>
      <c r="D308" s="7" t="s">
        <v>69</v>
      </c>
      <c r="E308" s="4" t="s">
        <v>111</v>
      </c>
      <c r="F308" s="4" t="s">
        <v>117</v>
      </c>
      <c r="G308" s="8">
        <v>3763</v>
      </c>
      <c r="H308" s="8" t="s">
        <v>138</v>
      </c>
      <c r="I308" s="3">
        <f>IF($H308="A VISTA", C308 + CADASTROS!$B$3, IF($H308="1+1", C308 + CADASTROS!$B$4, IF(H308="1+2", C308 + CADASTROS!$B$5, IF(H308="1+3", C308 + CADASTROS!$B$6, ""))))</f>
        <v>45042</v>
      </c>
      <c r="J308" s="8">
        <f t="shared" si="16"/>
        <v>1881.5</v>
      </c>
      <c r="K308" s="3">
        <f>IF($L308&lt;&gt;"", IF($H308="A VISTA", "", IF($H308="1+1", $C308 + CADASTROS!$C$4, IF($H308="1+2", $C308 + CADASTROS!$C$5, IF($H308="1+3", $C308 + CADASTROS!$E$4, "")))), "")</f>
        <v>45071</v>
      </c>
      <c r="L308" s="8">
        <f t="shared" si="17"/>
        <v>1881.5</v>
      </c>
      <c r="M308" s="3" t="str">
        <f>IF($N308&lt;&gt;"", IF($H308="A VISTA", "", IF($H308="1+1", $C308 + CADASTROS!$C$4, IF($H308="1+2", $C308 + CADASTROS!$D$5, IF($H308="1+3", $C308 + CADASTROS!$D$6, "")))), "")</f>
        <v/>
      </c>
      <c r="N308" s="8" t="str">
        <f t="shared" si="18"/>
        <v/>
      </c>
      <c r="O308" s="3" t="str">
        <f>IF($P308&lt;&gt;"", IF($H308="A VISTA", "", IF($H308="1+1", $C308 + CADASTROS!$C$4, IF($H308="1+2", $C308 + CADASTROS!$C$5, IF($H308="1+3", $C308 + CADASTROS!$E$6, "")))), "")</f>
        <v/>
      </c>
      <c r="P308" s="8" t="str">
        <f t="shared" si="19"/>
        <v/>
      </c>
    </row>
    <row r="309" spans="1:16">
      <c r="A309" s="2" t="s">
        <v>444</v>
      </c>
      <c r="B309" s="6" t="s">
        <v>23</v>
      </c>
      <c r="C309" s="7">
        <v>45218</v>
      </c>
      <c r="D309" s="7" t="s">
        <v>72</v>
      </c>
      <c r="E309" s="4" t="s">
        <v>110</v>
      </c>
      <c r="F309" s="4" t="s">
        <v>113</v>
      </c>
      <c r="G309" s="8">
        <v>3158</v>
      </c>
      <c r="H309" s="8" t="s">
        <v>136</v>
      </c>
      <c r="I309" s="3">
        <f>IF($H309="A VISTA", C309 + CADASTROS!$B$3, IF($H309="1+1", C309 + CADASTROS!$B$4, IF(H309="1+2", C309 + CADASTROS!$B$5, IF(H309="1+3", C309 + CADASTROS!$B$6, ""))))</f>
        <v>45219</v>
      </c>
      <c r="J309" s="8">
        <f t="shared" si="16"/>
        <v>789.5</v>
      </c>
      <c r="K309" s="3">
        <f>IF($L309&lt;&gt;"", IF($H309="A VISTA", "", IF($H309="1+1", $C309 + CADASTROS!$C$4, IF($H309="1+2", $C309 + CADASTROS!$C$5, IF($H309="1+3", $C309 + CADASTROS!$E$4, "")))), "")</f>
        <v>45218</v>
      </c>
      <c r="L309" s="8">
        <f t="shared" si="17"/>
        <v>789.5</v>
      </c>
      <c r="M309" s="3">
        <f>IF($N309&lt;&gt;"", IF($H309="A VISTA", "", IF($H309="1+1", $C309 + CADASTROS!$C$4, IF($H309="1+2", $C309 + CADASTROS!$D$5, IF($H309="1+3", $C309 + CADASTROS!$D$6, "")))), "")</f>
        <v>45263</v>
      </c>
      <c r="N309" s="8">
        <f t="shared" si="18"/>
        <v>789.5</v>
      </c>
      <c r="O309" s="3">
        <f>IF($P309&lt;&gt;"", IF($H309="A VISTA", "", IF($H309="1+1", $C309 + CADASTROS!$C$4, IF($H309="1+2", $C309 + CADASTROS!$C$5, IF($H309="1+3", $C309 + CADASTROS!$E$6, "")))), "")</f>
        <v>45278</v>
      </c>
      <c r="P309" s="8">
        <f t="shared" si="19"/>
        <v>789.5</v>
      </c>
    </row>
    <row r="310" spans="1:16">
      <c r="A310" s="2" t="s">
        <v>445</v>
      </c>
      <c r="B310" s="6" t="s">
        <v>45</v>
      </c>
      <c r="C310" s="7">
        <v>45333</v>
      </c>
      <c r="D310" s="7" t="s">
        <v>94</v>
      </c>
      <c r="E310" s="4" t="s">
        <v>110</v>
      </c>
      <c r="F310" s="4" t="s">
        <v>113</v>
      </c>
      <c r="G310" s="8">
        <v>805</v>
      </c>
      <c r="H310" s="8" t="s">
        <v>137</v>
      </c>
      <c r="I310" s="3">
        <f>IF($H310="A VISTA", C310 + CADASTROS!$B$3, IF($H310="1+1", C310 + CADASTROS!$B$4, IF(H310="1+2", C310 + CADASTROS!$B$5, IF(H310="1+3", C310 + CADASTROS!$B$6, ""))))</f>
        <v>45334</v>
      </c>
      <c r="J310" s="8">
        <f t="shared" si="16"/>
        <v>268.33333333333331</v>
      </c>
      <c r="K310" s="3">
        <f>IF($L310&lt;&gt;"", IF($H310="A VISTA", "", IF($H310="1+1", $C310 + CADASTROS!$C$4, IF($H310="1+2", $C310 + CADASTROS!$C$5, IF($H310="1+3", $C310 + CADASTROS!$E$4, "")))), "")</f>
        <v>45363</v>
      </c>
      <c r="L310" s="8">
        <f t="shared" si="17"/>
        <v>268.33333333333331</v>
      </c>
      <c r="M310" s="3">
        <f>IF($N310&lt;&gt;"", IF($H310="A VISTA", "", IF($H310="1+1", $C310 + CADASTROS!$C$4, IF($H310="1+2", $C310 + CADASTROS!$D$5, IF($H310="1+3", $C310 + CADASTROS!$D$6, "")))), "")</f>
        <v>45378</v>
      </c>
      <c r="N310" s="8">
        <f t="shared" si="18"/>
        <v>268.33333333333343</v>
      </c>
      <c r="O310" s="3" t="str">
        <f>IF($P310&lt;&gt;"", IF($H310="A VISTA", "", IF($H310="1+1", $C310 + CADASTROS!$C$4, IF($H310="1+2", $C310 + CADASTROS!$C$5, IF($H310="1+3", $C310 + CADASTROS!$E$6, "")))), "")</f>
        <v/>
      </c>
      <c r="P310" s="8" t="str">
        <f t="shared" si="19"/>
        <v/>
      </c>
    </row>
    <row r="311" spans="1:16">
      <c r="A311" s="2" t="s">
        <v>446</v>
      </c>
      <c r="B311" s="6" t="s">
        <v>19</v>
      </c>
      <c r="C311" s="7">
        <v>45444</v>
      </c>
      <c r="D311" s="7" t="s">
        <v>68</v>
      </c>
      <c r="E311" s="4" t="s">
        <v>111</v>
      </c>
      <c r="F311" s="4" t="s">
        <v>118</v>
      </c>
      <c r="G311" s="8">
        <v>6988</v>
      </c>
      <c r="H311" s="8" t="s">
        <v>138</v>
      </c>
      <c r="I311" s="3">
        <f>IF($H311="A VISTA", C311 + CADASTROS!$B$3, IF($H311="1+1", C311 + CADASTROS!$B$4, IF(H311="1+2", C311 + CADASTROS!$B$5, IF(H311="1+3", C311 + CADASTROS!$B$6, ""))))</f>
        <v>45445</v>
      </c>
      <c r="J311" s="8">
        <f t="shared" si="16"/>
        <v>3494</v>
      </c>
      <c r="K311" s="3">
        <f>IF($L311&lt;&gt;"", IF($H311="A VISTA", "", IF($H311="1+1", $C311 + CADASTROS!$C$4, IF($H311="1+2", $C311 + CADASTROS!$C$5, IF($H311="1+3", $C311 + CADASTROS!$E$4, "")))), "")</f>
        <v>45474</v>
      </c>
      <c r="L311" s="8">
        <f t="shared" si="17"/>
        <v>3494</v>
      </c>
      <c r="M311" s="3" t="str">
        <f>IF($N311&lt;&gt;"", IF($H311="A VISTA", "", IF($H311="1+1", $C311 + CADASTROS!$C$4, IF($H311="1+2", $C311 + CADASTROS!$D$5, IF($H311="1+3", $C311 + CADASTROS!$D$6, "")))), "")</f>
        <v/>
      </c>
      <c r="N311" s="8" t="str">
        <f t="shared" si="18"/>
        <v/>
      </c>
      <c r="O311" s="3" t="str">
        <f>IF($P311&lt;&gt;"", IF($H311="A VISTA", "", IF($H311="1+1", $C311 + CADASTROS!$C$4, IF($H311="1+2", $C311 + CADASTROS!$C$5, IF($H311="1+3", $C311 + CADASTROS!$E$6, "")))), "")</f>
        <v/>
      </c>
      <c r="P311" s="8" t="str">
        <f t="shared" si="19"/>
        <v/>
      </c>
    </row>
    <row r="312" spans="1:16">
      <c r="A312" s="2" t="s">
        <v>447</v>
      </c>
      <c r="B312" s="6" t="s">
        <v>59</v>
      </c>
      <c r="C312" s="7">
        <v>45188</v>
      </c>
      <c r="D312" s="7" t="s">
        <v>108</v>
      </c>
      <c r="E312" s="4" t="s">
        <v>111</v>
      </c>
      <c r="F312" s="4" t="s">
        <v>121</v>
      </c>
      <c r="G312" s="8">
        <v>826</v>
      </c>
      <c r="H312" s="8" t="s">
        <v>137</v>
      </c>
      <c r="I312" s="3">
        <f>IF($H312="A VISTA", C312 + CADASTROS!$B$3, IF($H312="1+1", C312 + CADASTROS!$B$4, IF(H312="1+2", C312 + CADASTROS!$B$5, IF(H312="1+3", C312 + CADASTROS!$B$6, ""))))</f>
        <v>45189</v>
      </c>
      <c r="J312" s="8">
        <f t="shared" si="16"/>
        <v>275.33333333333331</v>
      </c>
      <c r="K312" s="3">
        <f>IF($L312&lt;&gt;"", IF($H312="A VISTA", "", IF($H312="1+1", $C312 + CADASTROS!$C$4, IF($H312="1+2", $C312 + CADASTROS!$C$5, IF($H312="1+3", $C312 + CADASTROS!$E$4, "")))), "")</f>
        <v>45218</v>
      </c>
      <c r="L312" s="8">
        <f t="shared" si="17"/>
        <v>275.33333333333331</v>
      </c>
      <c r="M312" s="3">
        <f>IF($N312&lt;&gt;"", IF($H312="A VISTA", "", IF($H312="1+1", $C312 + CADASTROS!$C$4, IF($H312="1+2", $C312 + CADASTROS!$D$5, IF($H312="1+3", $C312 + CADASTROS!$D$6, "")))), "")</f>
        <v>45233</v>
      </c>
      <c r="N312" s="8">
        <f t="shared" si="18"/>
        <v>275.33333333333343</v>
      </c>
      <c r="O312" s="3" t="str">
        <f>IF($P312&lt;&gt;"", IF($H312="A VISTA", "", IF($H312="1+1", $C312 + CADASTROS!$C$4, IF($H312="1+2", $C312 + CADASTROS!$C$5, IF($H312="1+3", $C312 + CADASTROS!$E$6, "")))), "")</f>
        <v/>
      </c>
      <c r="P312" s="8" t="str">
        <f t="shared" si="19"/>
        <v/>
      </c>
    </row>
    <row r="313" spans="1:16">
      <c r="A313" s="2" t="s">
        <v>448</v>
      </c>
      <c r="B313" s="6" t="s">
        <v>23</v>
      </c>
      <c r="C313" s="7">
        <v>45410</v>
      </c>
      <c r="D313" s="7" t="s">
        <v>72</v>
      </c>
      <c r="E313" s="4" t="s">
        <v>110</v>
      </c>
      <c r="F313" s="4" t="s">
        <v>113</v>
      </c>
      <c r="G313" s="8">
        <v>9423</v>
      </c>
      <c r="H313" s="8" t="s">
        <v>138</v>
      </c>
      <c r="I313" s="3">
        <f>IF($H313="A VISTA", C313 + CADASTROS!$B$3, IF($H313="1+1", C313 + CADASTROS!$B$4, IF(H313="1+2", C313 + CADASTROS!$B$5, IF(H313="1+3", C313 + CADASTROS!$B$6, ""))))</f>
        <v>45411</v>
      </c>
      <c r="J313" s="8">
        <f t="shared" si="16"/>
        <v>4711.5</v>
      </c>
      <c r="K313" s="3">
        <f>IF($L313&lt;&gt;"", IF($H313="A VISTA", "", IF($H313="1+1", $C313 + CADASTROS!$C$4, IF($H313="1+2", $C313 + CADASTROS!$C$5, IF($H313="1+3", $C313 + CADASTROS!$E$4, "")))), "")</f>
        <v>45440</v>
      </c>
      <c r="L313" s="8">
        <f t="shared" si="17"/>
        <v>4711.5</v>
      </c>
      <c r="M313" s="3" t="str">
        <f>IF($N313&lt;&gt;"", IF($H313="A VISTA", "", IF($H313="1+1", $C313 + CADASTROS!$C$4, IF($H313="1+2", $C313 + CADASTROS!$D$5, IF($H313="1+3", $C313 + CADASTROS!$D$6, "")))), "")</f>
        <v/>
      </c>
      <c r="N313" s="8" t="str">
        <f t="shared" si="18"/>
        <v/>
      </c>
      <c r="O313" s="3" t="str">
        <f>IF($P313&lt;&gt;"", IF($H313="A VISTA", "", IF($H313="1+1", $C313 + CADASTROS!$C$4, IF($H313="1+2", $C313 + CADASTROS!$C$5, IF($H313="1+3", $C313 + CADASTROS!$E$6, "")))), "")</f>
        <v/>
      </c>
      <c r="P313" s="8" t="str">
        <f t="shared" si="19"/>
        <v/>
      </c>
    </row>
    <row r="314" spans="1:16">
      <c r="A314" s="2" t="s">
        <v>449</v>
      </c>
      <c r="B314" s="6" t="s">
        <v>27</v>
      </c>
      <c r="C314" s="7">
        <v>45543</v>
      </c>
      <c r="D314" s="7" t="s">
        <v>76</v>
      </c>
      <c r="E314" s="4" t="s">
        <v>110</v>
      </c>
      <c r="F314" s="4" t="s">
        <v>125</v>
      </c>
      <c r="G314" s="8">
        <v>568</v>
      </c>
      <c r="H314" s="8" t="s">
        <v>137</v>
      </c>
      <c r="I314" s="3">
        <f>IF($H314="A VISTA", C314 + CADASTROS!$B$3, IF($H314="1+1", C314 + CADASTROS!$B$4, IF(H314="1+2", C314 + CADASTROS!$B$5, IF(H314="1+3", C314 + CADASTROS!$B$6, ""))))</f>
        <v>45544</v>
      </c>
      <c r="J314" s="8">
        <f t="shared" si="16"/>
        <v>189.33333333333334</v>
      </c>
      <c r="K314" s="3">
        <f>IF($L314&lt;&gt;"", IF($H314="A VISTA", "", IF($H314="1+1", $C314 + CADASTROS!$C$4, IF($H314="1+2", $C314 + CADASTROS!$C$5, IF($H314="1+3", $C314 + CADASTROS!$E$4, "")))), "")</f>
        <v>45573</v>
      </c>
      <c r="L314" s="8">
        <f t="shared" si="17"/>
        <v>189.33333333333334</v>
      </c>
      <c r="M314" s="3">
        <f>IF($N314&lt;&gt;"", IF($H314="A VISTA", "", IF($H314="1+1", $C314 + CADASTROS!$C$4, IF($H314="1+2", $C314 + CADASTROS!$D$5, IF($H314="1+3", $C314 + CADASTROS!$D$6, "")))), "")</f>
        <v>45588</v>
      </c>
      <c r="N314" s="8">
        <f t="shared" si="18"/>
        <v>189.33333333333329</v>
      </c>
      <c r="O314" s="3" t="str">
        <f>IF($P314&lt;&gt;"", IF($H314="A VISTA", "", IF($H314="1+1", $C314 + CADASTROS!$C$4, IF($H314="1+2", $C314 + CADASTROS!$C$5, IF($H314="1+3", $C314 + CADASTROS!$E$6, "")))), "")</f>
        <v/>
      </c>
      <c r="P314" s="8" t="str">
        <f t="shared" si="19"/>
        <v/>
      </c>
    </row>
    <row r="315" spans="1:16">
      <c r="A315" s="2" t="s">
        <v>450</v>
      </c>
      <c r="B315" s="6" t="s">
        <v>15</v>
      </c>
      <c r="C315" s="7">
        <v>45329</v>
      </c>
      <c r="D315" s="7" t="s">
        <v>64</v>
      </c>
      <c r="E315" s="4" t="s">
        <v>112</v>
      </c>
      <c r="F315" s="4" t="s">
        <v>123</v>
      </c>
      <c r="G315" s="8">
        <v>684</v>
      </c>
      <c r="H315" s="8" t="s">
        <v>126</v>
      </c>
      <c r="I315" s="3">
        <f>IF($H315="A VISTA", C315 + CADASTROS!$B$3, IF($H315="1+1", C315 + CADASTROS!$B$4, IF(H315="1+2", C315 + CADASTROS!$B$5, IF(H315="1+3", C315 + CADASTROS!$B$6, ""))))</f>
        <v>45330</v>
      </c>
      <c r="J315" s="8">
        <f t="shared" si="16"/>
        <v>684</v>
      </c>
      <c r="K315" s="3" t="str">
        <f>IF($L315&lt;&gt;"", IF($H315="A VISTA", "", IF($H315="1+1", $C315 + CADASTROS!$C$4, IF($H315="1+2", $C315 + CADASTROS!$C$5, IF($H315="1+3", $C315 + CADASTROS!$E$4, "")))), "")</f>
        <v/>
      </c>
      <c r="L315" s="8" t="str">
        <f t="shared" si="17"/>
        <v/>
      </c>
      <c r="M315" s="3" t="str">
        <f>IF($N315&lt;&gt;"", IF($H315="A VISTA", "", IF($H315="1+1", $C315 + CADASTROS!$C$4, IF($H315="1+2", $C315 + CADASTROS!$D$5, IF($H315="1+3", $C315 + CADASTROS!$D$6, "")))), "")</f>
        <v/>
      </c>
      <c r="N315" s="8" t="str">
        <f t="shared" si="18"/>
        <v/>
      </c>
      <c r="O315" s="3" t="str">
        <f>IF($P315&lt;&gt;"", IF($H315="A VISTA", "", IF($H315="1+1", $C315 + CADASTROS!$C$4, IF($H315="1+2", $C315 + CADASTROS!$C$5, IF($H315="1+3", $C315 + CADASTROS!$E$6, "")))), "")</f>
        <v/>
      </c>
      <c r="P315" s="8" t="str">
        <f t="shared" si="19"/>
        <v/>
      </c>
    </row>
    <row r="316" spans="1:16">
      <c r="A316" s="2" t="s">
        <v>451</v>
      </c>
      <c r="B316" s="6" t="s">
        <v>39</v>
      </c>
      <c r="C316" s="7">
        <v>45504</v>
      </c>
      <c r="D316" s="7" t="s">
        <v>88</v>
      </c>
      <c r="E316" s="4" t="s">
        <v>110</v>
      </c>
      <c r="F316" s="4" t="s">
        <v>114</v>
      </c>
      <c r="G316" s="8">
        <v>7836</v>
      </c>
      <c r="H316" s="8" t="s">
        <v>126</v>
      </c>
      <c r="I316" s="3">
        <f>IF($H316="A VISTA", C316 + CADASTROS!$B$3, IF($H316="1+1", C316 + CADASTROS!$B$4, IF(H316="1+2", C316 + CADASTROS!$B$5, IF(H316="1+3", C316 + CADASTROS!$B$6, ""))))</f>
        <v>45505</v>
      </c>
      <c r="J316" s="8">
        <f t="shared" si="16"/>
        <v>7836</v>
      </c>
      <c r="K316" s="3" t="str">
        <f>IF($L316&lt;&gt;"", IF($H316="A VISTA", "", IF($H316="1+1", $C316 + CADASTROS!$C$4, IF($H316="1+2", $C316 + CADASTROS!$C$5, IF($H316="1+3", $C316 + CADASTROS!$E$4, "")))), "")</f>
        <v/>
      </c>
      <c r="L316" s="8" t="str">
        <f t="shared" si="17"/>
        <v/>
      </c>
      <c r="M316" s="3" t="str">
        <f>IF($N316&lt;&gt;"", IF($H316="A VISTA", "", IF($H316="1+1", $C316 + CADASTROS!$C$4, IF($H316="1+2", $C316 + CADASTROS!$D$5, IF($H316="1+3", $C316 + CADASTROS!$D$6, "")))), "")</f>
        <v/>
      </c>
      <c r="N316" s="8" t="str">
        <f t="shared" si="18"/>
        <v/>
      </c>
      <c r="O316" s="3" t="str">
        <f>IF($P316&lt;&gt;"", IF($H316="A VISTA", "", IF($H316="1+1", $C316 + CADASTROS!$C$4, IF($H316="1+2", $C316 + CADASTROS!$C$5, IF($H316="1+3", $C316 + CADASTROS!$E$6, "")))), "")</f>
        <v/>
      </c>
      <c r="P316" s="8" t="str">
        <f t="shared" si="19"/>
        <v/>
      </c>
    </row>
    <row r="317" spans="1:16">
      <c r="A317" s="2" t="s">
        <v>452</v>
      </c>
      <c r="B317" s="6" t="s">
        <v>16</v>
      </c>
      <c r="C317" s="7">
        <v>45460</v>
      </c>
      <c r="D317" s="7" t="s">
        <v>65</v>
      </c>
      <c r="E317" s="4" t="s">
        <v>110</v>
      </c>
      <c r="F317" s="4" t="s">
        <v>125</v>
      </c>
      <c r="G317" s="8">
        <v>2027</v>
      </c>
      <c r="H317" s="8" t="s">
        <v>126</v>
      </c>
      <c r="I317" s="3">
        <f>IF($H317="A VISTA", C317 + CADASTROS!$B$3, IF($H317="1+1", C317 + CADASTROS!$B$4, IF(H317="1+2", C317 + CADASTROS!$B$5, IF(H317="1+3", C317 + CADASTROS!$B$6, ""))))</f>
        <v>45461</v>
      </c>
      <c r="J317" s="8">
        <f t="shared" si="16"/>
        <v>2027</v>
      </c>
      <c r="K317" s="3" t="str">
        <f>IF($L317&lt;&gt;"", IF($H317="A VISTA", "", IF($H317="1+1", $C317 + CADASTROS!$C$4, IF($H317="1+2", $C317 + CADASTROS!$C$5, IF($H317="1+3", $C317 + CADASTROS!$E$4, "")))), "")</f>
        <v/>
      </c>
      <c r="L317" s="8" t="str">
        <f t="shared" si="17"/>
        <v/>
      </c>
      <c r="M317" s="3" t="str">
        <f>IF($N317&lt;&gt;"", IF($H317="A VISTA", "", IF($H317="1+1", $C317 + CADASTROS!$C$4, IF($H317="1+2", $C317 + CADASTROS!$D$5, IF($H317="1+3", $C317 + CADASTROS!$D$6, "")))), "")</f>
        <v/>
      </c>
      <c r="N317" s="8" t="str">
        <f t="shared" si="18"/>
        <v/>
      </c>
      <c r="O317" s="3" t="str">
        <f>IF($P317&lt;&gt;"", IF($H317="A VISTA", "", IF($H317="1+1", $C317 + CADASTROS!$C$4, IF($H317="1+2", $C317 + CADASTROS!$C$5, IF($H317="1+3", $C317 + CADASTROS!$E$6, "")))), "")</f>
        <v/>
      </c>
      <c r="P317" s="8" t="str">
        <f t="shared" si="19"/>
        <v/>
      </c>
    </row>
    <row r="318" spans="1:16">
      <c r="A318" s="2" t="s">
        <v>453</v>
      </c>
      <c r="B318" s="6" t="s">
        <v>57</v>
      </c>
      <c r="C318" s="7">
        <v>45421</v>
      </c>
      <c r="D318" s="7" t="s">
        <v>106</v>
      </c>
      <c r="E318" s="4" t="s">
        <v>112</v>
      </c>
      <c r="F318" s="4" t="s">
        <v>122</v>
      </c>
      <c r="G318" s="8">
        <v>6089</v>
      </c>
      <c r="H318" s="8" t="s">
        <v>126</v>
      </c>
      <c r="I318" s="3">
        <f>IF($H318="A VISTA", C318 + CADASTROS!$B$3, IF($H318="1+1", C318 + CADASTROS!$B$4, IF(H318="1+2", C318 + CADASTROS!$B$5, IF(H318="1+3", C318 + CADASTROS!$B$6, ""))))</f>
        <v>45422</v>
      </c>
      <c r="J318" s="8">
        <f t="shared" si="16"/>
        <v>6089</v>
      </c>
      <c r="K318" s="3" t="str">
        <f>IF($L318&lt;&gt;"", IF($H318="A VISTA", "", IF($H318="1+1", $C318 + CADASTROS!$C$4, IF($H318="1+2", $C318 + CADASTROS!$C$5, IF($H318="1+3", $C318 + CADASTROS!$E$4, "")))), "")</f>
        <v/>
      </c>
      <c r="L318" s="8" t="str">
        <f t="shared" si="17"/>
        <v/>
      </c>
      <c r="M318" s="3" t="str">
        <f>IF($N318&lt;&gt;"", IF($H318="A VISTA", "", IF($H318="1+1", $C318 + CADASTROS!$C$4, IF($H318="1+2", $C318 + CADASTROS!$D$5, IF($H318="1+3", $C318 + CADASTROS!$D$6, "")))), "")</f>
        <v/>
      </c>
      <c r="N318" s="8" t="str">
        <f t="shared" si="18"/>
        <v/>
      </c>
      <c r="O318" s="3" t="str">
        <f>IF($P318&lt;&gt;"", IF($H318="A VISTA", "", IF($H318="1+1", $C318 + CADASTROS!$C$4, IF($H318="1+2", $C318 + CADASTROS!$C$5, IF($H318="1+3", $C318 + CADASTROS!$E$6, "")))), "")</f>
        <v/>
      </c>
      <c r="P318" s="8" t="str">
        <f t="shared" si="19"/>
        <v/>
      </c>
    </row>
    <row r="319" spans="1:16">
      <c r="A319" s="2" t="s">
        <v>454</v>
      </c>
      <c r="B319" s="6" t="s">
        <v>31</v>
      </c>
      <c r="C319" s="7">
        <v>45340</v>
      </c>
      <c r="D319" s="7" t="s">
        <v>80</v>
      </c>
      <c r="E319" s="4" t="s">
        <v>111</v>
      </c>
      <c r="F319" s="4" t="s">
        <v>117</v>
      </c>
      <c r="G319" s="8">
        <v>3771</v>
      </c>
      <c r="H319" s="8" t="s">
        <v>136</v>
      </c>
      <c r="I319" s="3">
        <f>IF($H319="A VISTA", C319 + CADASTROS!$B$3, IF($H319="1+1", C319 + CADASTROS!$B$4, IF(H319="1+2", C319 + CADASTROS!$B$5, IF(H319="1+3", C319 + CADASTROS!$B$6, ""))))</f>
        <v>45341</v>
      </c>
      <c r="J319" s="8">
        <f t="shared" si="16"/>
        <v>942.75</v>
      </c>
      <c r="K319" s="3">
        <f>IF($L319&lt;&gt;"", IF($H319="A VISTA", "", IF($H319="1+1", $C319 + CADASTROS!$C$4, IF($H319="1+2", $C319 + CADASTROS!$C$5, IF($H319="1+3", $C319 + CADASTROS!$E$4, "")))), "")</f>
        <v>45340</v>
      </c>
      <c r="L319" s="8">
        <f t="shared" si="17"/>
        <v>942.75</v>
      </c>
      <c r="M319" s="3">
        <f>IF($N319&lt;&gt;"", IF($H319="A VISTA", "", IF($H319="1+1", $C319 + CADASTROS!$C$4, IF($H319="1+2", $C319 + CADASTROS!$D$5, IF($H319="1+3", $C319 + CADASTROS!$D$6, "")))), "")</f>
        <v>45385</v>
      </c>
      <c r="N319" s="8">
        <f t="shared" si="18"/>
        <v>942.75</v>
      </c>
      <c r="O319" s="3">
        <f>IF($P319&lt;&gt;"", IF($H319="A VISTA", "", IF($H319="1+1", $C319 + CADASTROS!$C$4, IF($H319="1+2", $C319 + CADASTROS!$C$5, IF($H319="1+3", $C319 + CADASTROS!$E$6, "")))), "")</f>
        <v>45400</v>
      </c>
      <c r="P319" s="8">
        <f t="shared" si="19"/>
        <v>942.75</v>
      </c>
    </row>
    <row r="320" spans="1:16">
      <c r="A320" s="2" t="s">
        <v>455</v>
      </c>
      <c r="B320" s="6" t="s">
        <v>58</v>
      </c>
      <c r="C320" s="7">
        <v>45250</v>
      </c>
      <c r="D320" s="7" t="s">
        <v>107</v>
      </c>
      <c r="E320" s="4" t="s">
        <v>111</v>
      </c>
      <c r="F320" s="4" t="s">
        <v>120</v>
      </c>
      <c r="G320" s="8">
        <v>8695</v>
      </c>
      <c r="H320" s="8" t="s">
        <v>126</v>
      </c>
      <c r="I320" s="3">
        <f>IF($H320="A VISTA", C320 + CADASTROS!$B$3, IF($H320="1+1", C320 + CADASTROS!$B$4, IF(H320="1+2", C320 + CADASTROS!$B$5, IF(H320="1+3", C320 + CADASTROS!$B$6, ""))))</f>
        <v>45251</v>
      </c>
      <c r="J320" s="8">
        <f t="shared" si="16"/>
        <v>8695</v>
      </c>
      <c r="K320" s="3" t="str">
        <f>IF($L320&lt;&gt;"", IF($H320="A VISTA", "", IF($H320="1+1", $C320 + CADASTROS!$C$4, IF($H320="1+2", $C320 + CADASTROS!$C$5, IF($H320="1+3", $C320 + CADASTROS!$E$4, "")))), "")</f>
        <v/>
      </c>
      <c r="L320" s="8" t="str">
        <f t="shared" si="17"/>
        <v/>
      </c>
      <c r="M320" s="3" t="str">
        <f>IF($N320&lt;&gt;"", IF($H320="A VISTA", "", IF($H320="1+1", $C320 + CADASTROS!$C$4, IF($H320="1+2", $C320 + CADASTROS!$D$5, IF($H320="1+3", $C320 + CADASTROS!$D$6, "")))), "")</f>
        <v/>
      </c>
      <c r="N320" s="8" t="str">
        <f t="shared" si="18"/>
        <v/>
      </c>
      <c r="O320" s="3" t="str">
        <f>IF($P320&lt;&gt;"", IF($H320="A VISTA", "", IF($H320="1+1", $C320 + CADASTROS!$C$4, IF($H320="1+2", $C320 + CADASTROS!$C$5, IF($H320="1+3", $C320 + CADASTROS!$E$6, "")))), "")</f>
        <v/>
      </c>
      <c r="P320" s="8" t="str">
        <f t="shared" si="19"/>
        <v/>
      </c>
    </row>
    <row r="321" spans="1:16">
      <c r="A321" s="2" t="s">
        <v>456</v>
      </c>
      <c r="B321" s="6" t="s">
        <v>18</v>
      </c>
      <c r="C321" s="7">
        <v>45205</v>
      </c>
      <c r="D321" s="7" t="s">
        <v>67</v>
      </c>
      <c r="E321" s="4" t="s">
        <v>111</v>
      </c>
      <c r="F321" s="4" t="s">
        <v>121</v>
      </c>
      <c r="G321" s="8">
        <v>3941</v>
      </c>
      <c r="H321" s="8" t="s">
        <v>126</v>
      </c>
      <c r="I321" s="3">
        <f>IF($H321="A VISTA", C321 + CADASTROS!$B$3, IF($H321="1+1", C321 + CADASTROS!$B$4, IF(H321="1+2", C321 + CADASTROS!$B$5, IF(H321="1+3", C321 + CADASTROS!$B$6, ""))))</f>
        <v>45206</v>
      </c>
      <c r="J321" s="8">
        <f t="shared" si="16"/>
        <v>3941</v>
      </c>
      <c r="K321" s="3" t="str">
        <f>IF($L321&lt;&gt;"", IF($H321="A VISTA", "", IF($H321="1+1", $C321 + CADASTROS!$C$4, IF($H321="1+2", $C321 + CADASTROS!$C$5, IF($H321="1+3", $C321 + CADASTROS!$E$4, "")))), "")</f>
        <v/>
      </c>
      <c r="L321" s="8" t="str">
        <f t="shared" si="17"/>
        <v/>
      </c>
      <c r="M321" s="3" t="str">
        <f>IF($N321&lt;&gt;"", IF($H321="A VISTA", "", IF($H321="1+1", $C321 + CADASTROS!$C$4, IF($H321="1+2", $C321 + CADASTROS!$D$5, IF($H321="1+3", $C321 + CADASTROS!$D$6, "")))), "")</f>
        <v/>
      </c>
      <c r="N321" s="8" t="str">
        <f t="shared" si="18"/>
        <v/>
      </c>
      <c r="O321" s="3" t="str">
        <f>IF($P321&lt;&gt;"", IF($H321="A VISTA", "", IF($H321="1+1", $C321 + CADASTROS!$C$4, IF($H321="1+2", $C321 + CADASTROS!$C$5, IF($H321="1+3", $C321 + CADASTROS!$E$6, "")))), "")</f>
        <v/>
      </c>
      <c r="P321" s="8" t="str">
        <f t="shared" si="19"/>
        <v/>
      </c>
    </row>
    <row r="322" spans="1:16">
      <c r="A322" s="2" t="s">
        <v>457</v>
      </c>
      <c r="B322" s="6" t="s">
        <v>60</v>
      </c>
      <c r="C322" s="7">
        <v>45110</v>
      </c>
      <c r="D322" s="7" t="s">
        <v>109</v>
      </c>
      <c r="E322" s="4" t="s">
        <v>111</v>
      </c>
      <c r="F322" s="4" t="s">
        <v>118</v>
      </c>
      <c r="G322" s="8">
        <v>7529</v>
      </c>
      <c r="H322" s="8" t="s">
        <v>138</v>
      </c>
      <c r="I322" s="3">
        <f>IF($H322="A VISTA", C322 + CADASTROS!$B$3, IF($H322="1+1", C322 + CADASTROS!$B$4, IF(H322="1+2", C322 + CADASTROS!$B$5, IF(H322="1+3", C322 + CADASTROS!$B$6, ""))))</f>
        <v>45111</v>
      </c>
      <c r="J322" s="8">
        <f t="shared" si="16"/>
        <v>3764.5</v>
      </c>
      <c r="K322" s="3">
        <f>IF($L322&lt;&gt;"", IF($H322="A VISTA", "", IF($H322="1+1", $C322 + CADASTROS!$C$4, IF($H322="1+2", $C322 + CADASTROS!$C$5, IF($H322="1+3", $C322 + CADASTROS!$E$4, "")))), "")</f>
        <v>45140</v>
      </c>
      <c r="L322" s="8">
        <f t="shared" si="17"/>
        <v>3764.5</v>
      </c>
      <c r="M322" s="3" t="str">
        <f>IF($N322&lt;&gt;"", IF($H322="A VISTA", "", IF($H322="1+1", $C322 + CADASTROS!$C$4, IF($H322="1+2", $C322 + CADASTROS!$D$5, IF($H322="1+3", $C322 + CADASTROS!$D$6, "")))), "")</f>
        <v/>
      </c>
      <c r="N322" s="8" t="str">
        <f t="shared" si="18"/>
        <v/>
      </c>
      <c r="O322" s="3" t="str">
        <f>IF($P322&lt;&gt;"", IF($H322="A VISTA", "", IF($H322="1+1", $C322 + CADASTROS!$C$4, IF($H322="1+2", $C322 + CADASTROS!$C$5, IF($H322="1+3", $C322 + CADASTROS!$E$6, "")))), "")</f>
        <v/>
      </c>
      <c r="P322" s="8" t="str">
        <f t="shared" si="19"/>
        <v/>
      </c>
    </row>
    <row r="323" spans="1:16">
      <c r="A323" s="2" t="s">
        <v>458</v>
      </c>
      <c r="B323" s="6" t="s">
        <v>29</v>
      </c>
      <c r="C323" s="7">
        <v>45156</v>
      </c>
      <c r="D323" s="7" t="s">
        <v>78</v>
      </c>
      <c r="E323" s="4" t="s">
        <v>111</v>
      </c>
      <c r="F323" s="4" t="s">
        <v>121</v>
      </c>
      <c r="G323" s="8">
        <v>3809</v>
      </c>
      <c r="H323" s="8" t="s">
        <v>137</v>
      </c>
      <c r="I323" s="3">
        <f>IF($H323="A VISTA", C323 + CADASTROS!$B$3, IF($H323="1+1", C323 + CADASTROS!$B$4, IF(H323="1+2", C323 + CADASTROS!$B$5, IF(H323="1+3", C323 + CADASTROS!$B$6, ""))))</f>
        <v>45157</v>
      </c>
      <c r="J323" s="8">
        <f t="shared" ref="J323:J386" si="20">IF($H323="A VISTA", $G323, IF($H323="1+1", $G323/2, IF($H323="1+2", $G323/3, IF($H323="1+3", $G323/4, ""))))</f>
        <v>1269.6666666666667</v>
      </c>
      <c r="K323" s="3">
        <f>IF($L323&lt;&gt;"", IF($H323="A VISTA", "", IF($H323="1+1", $C323 + CADASTROS!$C$4, IF($H323="1+2", $C323 + CADASTROS!$C$5, IF($H323="1+3", $C323 + CADASTROS!$E$4, "")))), "")</f>
        <v>45186</v>
      </c>
      <c r="L323" s="8">
        <f t="shared" ref="L323:L386" si="21">IF($H323="A VISTA", "", IF($H323="1+1", $G323-$J323, IF($H323="1+2", $G323/3, IF($H323="1+3", ($G323-$J323)/3, ""))))</f>
        <v>1269.6666666666667</v>
      </c>
      <c r="M323" s="3">
        <f>IF($N323&lt;&gt;"", IF($H323="A VISTA", "", IF($H323="1+1", $C323 + CADASTROS!$C$4, IF($H323="1+2", $C323 + CADASTROS!$D$5, IF($H323="1+3", $C323 + CADASTROS!$D$6, "")))), "")</f>
        <v>45201</v>
      </c>
      <c r="N323" s="8">
        <f t="shared" ref="N323:N386" si="22">IF($H323="A VISTA","",IF($H323="1+2",$G323-$J323-$L323,IF($H323="1+3",($G323-$J323-$L323)/2,"")))</f>
        <v>1269.6666666666663</v>
      </c>
      <c r="O323" s="3" t="str">
        <f>IF($P323&lt;&gt;"", IF($H323="A VISTA", "", IF($H323="1+1", $C323 + CADASTROS!$C$4, IF($H323="1+2", $C323 + CADASTROS!$C$5, IF($H323="1+3", $C323 + CADASTROS!$E$6, "")))), "")</f>
        <v/>
      </c>
      <c r="P323" s="8" t="str">
        <f t="shared" ref="P323:P386" si="23">IF($H323="A VISTA", "", IF($H323="1+3", $G323-$J323-$L323-$N323, ""))</f>
        <v/>
      </c>
    </row>
    <row r="324" spans="1:16">
      <c r="A324" s="2" t="s">
        <v>459</v>
      </c>
      <c r="B324" s="6" t="s">
        <v>27</v>
      </c>
      <c r="C324" s="7">
        <v>45257</v>
      </c>
      <c r="D324" s="7" t="s">
        <v>76</v>
      </c>
      <c r="E324" s="4" t="s">
        <v>110</v>
      </c>
      <c r="F324" s="4" t="s">
        <v>125</v>
      </c>
      <c r="G324" s="8">
        <v>9961</v>
      </c>
      <c r="H324" s="8" t="s">
        <v>137</v>
      </c>
      <c r="I324" s="3">
        <f>IF($H324="A VISTA", C324 + CADASTROS!$B$3, IF($H324="1+1", C324 + CADASTROS!$B$4, IF(H324="1+2", C324 + CADASTROS!$B$5, IF(H324="1+3", C324 + CADASTROS!$B$6, ""))))</f>
        <v>45258</v>
      </c>
      <c r="J324" s="8">
        <f t="shared" si="20"/>
        <v>3320.3333333333335</v>
      </c>
      <c r="K324" s="3">
        <f>IF($L324&lt;&gt;"", IF($H324="A VISTA", "", IF($H324="1+1", $C324 + CADASTROS!$C$4, IF($H324="1+2", $C324 + CADASTROS!$C$5, IF($H324="1+3", $C324 + CADASTROS!$E$4, "")))), "")</f>
        <v>45287</v>
      </c>
      <c r="L324" s="8">
        <f t="shared" si="21"/>
        <v>3320.3333333333335</v>
      </c>
      <c r="M324" s="3">
        <f>IF($N324&lt;&gt;"", IF($H324="A VISTA", "", IF($H324="1+1", $C324 + CADASTROS!$C$4, IF($H324="1+2", $C324 + CADASTROS!$D$5, IF($H324="1+3", $C324 + CADASTROS!$D$6, "")))), "")</f>
        <v>45302</v>
      </c>
      <c r="N324" s="8">
        <f t="shared" si="22"/>
        <v>3320.3333333333326</v>
      </c>
      <c r="O324" s="3" t="str">
        <f>IF($P324&lt;&gt;"", IF($H324="A VISTA", "", IF($H324="1+1", $C324 + CADASTROS!$C$4, IF($H324="1+2", $C324 + CADASTROS!$C$5, IF($H324="1+3", $C324 + CADASTROS!$E$6, "")))), "")</f>
        <v/>
      </c>
      <c r="P324" s="8" t="str">
        <f t="shared" si="23"/>
        <v/>
      </c>
    </row>
    <row r="325" spans="1:16">
      <c r="A325" s="2" t="s">
        <v>460</v>
      </c>
      <c r="B325" s="6" t="s">
        <v>38</v>
      </c>
      <c r="C325" s="7">
        <v>45395</v>
      </c>
      <c r="D325" s="7" t="s">
        <v>87</v>
      </c>
      <c r="E325" s="4" t="s">
        <v>110</v>
      </c>
      <c r="F325" s="4" t="s">
        <v>125</v>
      </c>
      <c r="G325" s="8">
        <v>3972</v>
      </c>
      <c r="H325" s="8" t="s">
        <v>126</v>
      </c>
      <c r="I325" s="3">
        <f>IF($H325="A VISTA", C325 + CADASTROS!$B$3, IF($H325="1+1", C325 + CADASTROS!$B$4, IF(H325="1+2", C325 + CADASTROS!$B$5, IF(H325="1+3", C325 + CADASTROS!$B$6, ""))))</f>
        <v>45396</v>
      </c>
      <c r="J325" s="8">
        <f t="shared" si="20"/>
        <v>3972</v>
      </c>
      <c r="K325" s="3" t="str">
        <f>IF($L325&lt;&gt;"", IF($H325="A VISTA", "", IF($H325="1+1", $C325 + CADASTROS!$C$4, IF($H325="1+2", $C325 + CADASTROS!$C$5, IF($H325="1+3", $C325 + CADASTROS!$E$4, "")))), "")</f>
        <v/>
      </c>
      <c r="L325" s="8" t="str">
        <f t="shared" si="21"/>
        <v/>
      </c>
      <c r="M325" s="3" t="str">
        <f>IF($N325&lt;&gt;"", IF($H325="A VISTA", "", IF($H325="1+1", $C325 + CADASTROS!$C$4, IF($H325="1+2", $C325 + CADASTROS!$D$5, IF($H325="1+3", $C325 + CADASTROS!$D$6, "")))), "")</f>
        <v/>
      </c>
      <c r="N325" s="8" t="str">
        <f t="shared" si="22"/>
        <v/>
      </c>
      <c r="O325" s="3" t="str">
        <f>IF($P325&lt;&gt;"", IF($H325="A VISTA", "", IF($H325="1+1", $C325 + CADASTROS!$C$4, IF($H325="1+2", $C325 + CADASTROS!$C$5, IF($H325="1+3", $C325 + CADASTROS!$E$6, "")))), "")</f>
        <v/>
      </c>
      <c r="P325" s="8" t="str">
        <f t="shared" si="23"/>
        <v/>
      </c>
    </row>
    <row r="326" spans="1:16">
      <c r="A326" s="2" t="s">
        <v>461</v>
      </c>
      <c r="B326" s="6" t="s">
        <v>35</v>
      </c>
      <c r="C326" s="7">
        <v>45069</v>
      </c>
      <c r="D326" s="7" t="s">
        <v>84</v>
      </c>
      <c r="E326" s="4" t="s">
        <v>112</v>
      </c>
      <c r="F326" s="4" t="s">
        <v>122</v>
      </c>
      <c r="G326" s="8">
        <v>4058</v>
      </c>
      <c r="H326" s="8" t="s">
        <v>126</v>
      </c>
      <c r="I326" s="3">
        <f>IF($H326="A VISTA", C326 + CADASTROS!$B$3, IF($H326="1+1", C326 + CADASTROS!$B$4, IF(H326="1+2", C326 + CADASTROS!$B$5, IF(H326="1+3", C326 + CADASTROS!$B$6, ""))))</f>
        <v>45070</v>
      </c>
      <c r="J326" s="8">
        <f t="shared" si="20"/>
        <v>4058</v>
      </c>
      <c r="K326" s="3" t="str">
        <f>IF($L326&lt;&gt;"", IF($H326="A VISTA", "", IF($H326="1+1", $C326 + CADASTROS!$C$4, IF($H326="1+2", $C326 + CADASTROS!$C$5, IF($H326="1+3", $C326 + CADASTROS!$E$4, "")))), "")</f>
        <v/>
      </c>
      <c r="L326" s="8" t="str">
        <f t="shared" si="21"/>
        <v/>
      </c>
      <c r="M326" s="3" t="str">
        <f>IF($N326&lt;&gt;"", IF($H326="A VISTA", "", IF($H326="1+1", $C326 + CADASTROS!$C$4, IF($H326="1+2", $C326 + CADASTROS!$D$5, IF($H326="1+3", $C326 + CADASTROS!$D$6, "")))), "")</f>
        <v/>
      </c>
      <c r="N326" s="8" t="str">
        <f t="shared" si="22"/>
        <v/>
      </c>
      <c r="O326" s="3" t="str">
        <f>IF($P326&lt;&gt;"", IF($H326="A VISTA", "", IF($H326="1+1", $C326 + CADASTROS!$C$4, IF($H326="1+2", $C326 + CADASTROS!$C$5, IF($H326="1+3", $C326 + CADASTROS!$E$6, "")))), "")</f>
        <v/>
      </c>
      <c r="P326" s="8" t="str">
        <f t="shared" si="23"/>
        <v/>
      </c>
    </row>
    <row r="327" spans="1:16">
      <c r="A327" s="2" t="s">
        <v>462</v>
      </c>
      <c r="B327" s="6" t="s">
        <v>21</v>
      </c>
      <c r="C327" s="7">
        <v>45233</v>
      </c>
      <c r="D327" s="7" t="s">
        <v>70</v>
      </c>
      <c r="E327" s="4" t="s">
        <v>110</v>
      </c>
      <c r="F327" s="4" t="s">
        <v>124</v>
      </c>
      <c r="G327" s="8">
        <v>6809</v>
      </c>
      <c r="H327" s="8" t="s">
        <v>137</v>
      </c>
      <c r="I327" s="3">
        <f>IF($H327="A VISTA", C327 + CADASTROS!$B$3, IF($H327="1+1", C327 + CADASTROS!$B$4, IF(H327="1+2", C327 + CADASTROS!$B$5, IF(H327="1+3", C327 + CADASTROS!$B$6, ""))))</f>
        <v>45234</v>
      </c>
      <c r="J327" s="8">
        <f t="shared" si="20"/>
        <v>2269.6666666666665</v>
      </c>
      <c r="K327" s="3">
        <f>IF($L327&lt;&gt;"", IF($H327="A VISTA", "", IF($H327="1+1", $C327 + CADASTROS!$C$4, IF($H327="1+2", $C327 + CADASTROS!$C$5, IF($H327="1+3", $C327 + CADASTROS!$E$4, "")))), "")</f>
        <v>45263</v>
      </c>
      <c r="L327" s="8">
        <f t="shared" si="21"/>
        <v>2269.6666666666665</v>
      </c>
      <c r="M327" s="3">
        <f>IF($N327&lt;&gt;"", IF($H327="A VISTA", "", IF($H327="1+1", $C327 + CADASTROS!$C$4, IF($H327="1+2", $C327 + CADASTROS!$D$5, IF($H327="1+3", $C327 + CADASTROS!$D$6, "")))), "")</f>
        <v>45278</v>
      </c>
      <c r="N327" s="8">
        <f t="shared" si="22"/>
        <v>2269.6666666666674</v>
      </c>
      <c r="O327" s="3" t="str">
        <f>IF($P327&lt;&gt;"", IF($H327="A VISTA", "", IF($H327="1+1", $C327 + CADASTROS!$C$4, IF($H327="1+2", $C327 + CADASTROS!$C$5, IF($H327="1+3", $C327 + CADASTROS!$E$6, "")))), "")</f>
        <v/>
      </c>
      <c r="P327" s="8" t="str">
        <f t="shared" si="23"/>
        <v/>
      </c>
    </row>
    <row r="328" spans="1:16">
      <c r="A328" s="2" t="s">
        <v>463</v>
      </c>
      <c r="B328" s="6" t="s">
        <v>17</v>
      </c>
      <c r="C328" s="7">
        <v>45079</v>
      </c>
      <c r="D328" s="7" t="s">
        <v>66</v>
      </c>
      <c r="E328" s="4" t="s">
        <v>110</v>
      </c>
      <c r="F328" s="4" t="s">
        <v>114</v>
      </c>
      <c r="G328" s="8">
        <v>4005</v>
      </c>
      <c r="H328" s="8" t="s">
        <v>126</v>
      </c>
      <c r="I328" s="3">
        <f>IF($H328="A VISTA", C328 + CADASTROS!$B$3, IF($H328="1+1", C328 + CADASTROS!$B$4, IF(H328="1+2", C328 + CADASTROS!$B$5, IF(H328="1+3", C328 + CADASTROS!$B$6, ""))))</f>
        <v>45080</v>
      </c>
      <c r="J328" s="8">
        <f t="shared" si="20"/>
        <v>4005</v>
      </c>
      <c r="K328" s="3" t="str">
        <f>IF($L328&lt;&gt;"", IF($H328="A VISTA", "", IF($H328="1+1", $C328 + CADASTROS!$C$4, IF($H328="1+2", $C328 + CADASTROS!$C$5, IF($H328="1+3", $C328 + CADASTROS!$E$4, "")))), "")</f>
        <v/>
      </c>
      <c r="L328" s="8" t="str">
        <f t="shared" si="21"/>
        <v/>
      </c>
      <c r="M328" s="3" t="str">
        <f>IF($N328&lt;&gt;"", IF($H328="A VISTA", "", IF($H328="1+1", $C328 + CADASTROS!$C$4, IF($H328="1+2", $C328 + CADASTROS!$D$5, IF($H328="1+3", $C328 + CADASTROS!$D$6, "")))), "")</f>
        <v/>
      </c>
      <c r="N328" s="8" t="str">
        <f t="shared" si="22"/>
        <v/>
      </c>
      <c r="O328" s="3" t="str">
        <f>IF($P328&lt;&gt;"", IF($H328="A VISTA", "", IF($H328="1+1", $C328 + CADASTROS!$C$4, IF($H328="1+2", $C328 + CADASTROS!$C$5, IF($H328="1+3", $C328 + CADASTROS!$E$6, "")))), "")</f>
        <v/>
      </c>
      <c r="P328" s="8" t="str">
        <f t="shared" si="23"/>
        <v/>
      </c>
    </row>
    <row r="329" spans="1:16">
      <c r="A329" s="2" t="s">
        <v>464</v>
      </c>
      <c r="B329" s="6" t="s">
        <v>30</v>
      </c>
      <c r="C329" s="7">
        <v>45347</v>
      </c>
      <c r="D329" s="7" t="s">
        <v>79</v>
      </c>
      <c r="E329" s="4" t="s">
        <v>111</v>
      </c>
      <c r="F329" s="4" t="s">
        <v>118</v>
      </c>
      <c r="G329" s="8">
        <v>7997</v>
      </c>
      <c r="H329" s="8" t="s">
        <v>137</v>
      </c>
      <c r="I329" s="3">
        <f>IF($H329="A VISTA", C329 + CADASTROS!$B$3, IF($H329="1+1", C329 + CADASTROS!$B$4, IF(H329="1+2", C329 + CADASTROS!$B$5, IF(H329="1+3", C329 + CADASTROS!$B$6, ""))))</f>
        <v>45348</v>
      </c>
      <c r="J329" s="8">
        <f t="shared" si="20"/>
        <v>2665.6666666666665</v>
      </c>
      <c r="K329" s="3">
        <f>IF($L329&lt;&gt;"", IF($H329="A VISTA", "", IF($H329="1+1", $C329 + CADASTROS!$C$4, IF($H329="1+2", $C329 + CADASTROS!$C$5, IF($H329="1+3", $C329 + CADASTROS!$E$4, "")))), "")</f>
        <v>45377</v>
      </c>
      <c r="L329" s="8">
        <f t="shared" si="21"/>
        <v>2665.6666666666665</v>
      </c>
      <c r="M329" s="3">
        <f>IF($N329&lt;&gt;"", IF($H329="A VISTA", "", IF($H329="1+1", $C329 + CADASTROS!$C$4, IF($H329="1+2", $C329 + CADASTROS!$D$5, IF($H329="1+3", $C329 + CADASTROS!$D$6, "")))), "")</f>
        <v>45392</v>
      </c>
      <c r="N329" s="8">
        <f t="shared" si="22"/>
        <v>2665.6666666666674</v>
      </c>
      <c r="O329" s="3" t="str">
        <f>IF($P329&lt;&gt;"", IF($H329="A VISTA", "", IF($H329="1+1", $C329 + CADASTROS!$C$4, IF($H329="1+2", $C329 + CADASTROS!$C$5, IF($H329="1+3", $C329 + CADASTROS!$E$6, "")))), "")</f>
        <v/>
      </c>
      <c r="P329" s="8" t="str">
        <f t="shared" si="23"/>
        <v/>
      </c>
    </row>
    <row r="330" spans="1:16">
      <c r="A330" s="2" t="s">
        <v>465</v>
      </c>
      <c r="B330" s="6" t="s">
        <v>53</v>
      </c>
      <c r="C330" s="7">
        <v>45263</v>
      </c>
      <c r="D330" s="7" t="s">
        <v>102</v>
      </c>
      <c r="E330" s="4" t="s">
        <v>111</v>
      </c>
      <c r="F330" s="4" t="s">
        <v>117</v>
      </c>
      <c r="G330" s="8">
        <v>3814</v>
      </c>
      <c r="H330" s="8" t="s">
        <v>137</v>
      </c>
      <c r="I330" s="3">
        <f>IF($H330="A VISTA", C330 + CADASTROS!$B$3, IF($H330="1+1", C330 + CADASTROS!$B$4, IF(H330="1+2", C330 + CADASTROS!$B$5, IF(H330="1+3", C330 + CADASTROS!$B$6, ""))))</f>
        <v>45264</v>
      </c>
      <c r="J330" s="8">
        <f t="shared" si="20"/>
        <v>1271.3333333333333</v>
      </c>
      <c r="K330" s="3">
        <f>IF($L330&lt;&gt;"", IF($H330="A VISTA", "", IF($H330="1+1", $C330 + CADASTROS!$C$4, IF($H330="1+2", $C330 + CADASTROS!$C$5, IF($H330="1+3", $C330 + CADASTROS!$E$4, "")))), "")</f>
        <v>45293</v>
      </c>
      <c r="L330" s="8">
        <f t="shared" si="21"/>
        <v>1271.3333333333333</v>
      </c>
      <c r="M330" s="3">
        <f>IF($N330&lt;&gt;"", IF($H330="A VISTA", "", IF($H330="1+1", $C330 + CADASTROS!$C$4, IF($H330="1+2", $C330 + CADASTROS!$D$5, IF($H330="1+3", $C330 + CADASTROS!$D$6, "")))), "")</f>
        <v>45308</v>
      </c>
      <c r="N330" s="8">
        <f t="shared" si="22"/>
        <v>1271.3333333333337</v>
      </c>
      <c r="O330" s="3" t="str">
        <f>IF($P330&lt;&gt;"", IF($H330="A VISTA", "", IF($H330="1+1", $C330 + CADASTROS!$C$4, IF($H330="1+2", $C330 + CADASTROS!$C$5, IF($H330="1+3", $C330 + CADASTROS!$E$6, "")))), "")</f>
        <v/>
      </c>
      <c r="P330" s="8" t="str">
        <f t="shared" si="23"/>
        <v/>
      </c>
    </row>
    <row r="331" spans="1:16">
      <c r="A331" s="2" t="s">
        <v>466</v>
      </c>
      <c r="B331" s="6" t="s">
        <v>26</v>
      </c>
      <c r="C331" s="7">
        <v>45168</v>
      </c>
      <c r="D331" s="7" t="s">
        <v>75</v>
      </c>
      <c r="E331" s="4" t="s">
        <v>112</v>
      </c>
      <c r="F331" s="4" t="s">
        <v>123</v>
      </c>
      <c r="G331" s="8">
        <v>8017</v>
      </c>
      <c r="H331" s="8" t="s">
        <v>126</v>
      </c>
      <c r="I331" s="3">
        <f>IF($H331="A VISTA", C331 + CADASTROS!$B$3, IF($H331="1+1", C331 + CADASTROS!$B$4, IF(H331="1+2", C331 + CADASTROS!$B$5, IF(H331="1+3", C331 + CADASTROS!$B$6, ""))))</f>
        <v>45169</v>
      </c>
      <c r="J331" s="8">
        <f t="shared" si="20"/>
        <v>8017</v>
      </c>
      <c r="K331" s="3" t="str">
        <f>IF($L331&lt;&gt;"", IF($H331="A VISTA", "", IF($H331="1+1", $C331 + CADASTROS!$C$4, IF($H331="1+2", $C331 + CADASTROS!$C$5, IF($H331="1+3", $C331 + CADASTROS!$E$4, "")))), "")</f>
        <v/>
      </c>
      <c r="L331" s="8" t="str">
        <f t="shared" si="21"/>
        <v/>
      </c>
      <c r="M331" s="3" t="str">
        <f>IF($N331&lt;&gt;"", IF($H331="A VISTA", "", IF($H331="1+1", $C331 + CADASTROS!$C$4, IF($H331="1+2", $C331 + CADASTROS!$D$5, IF($H331="1+3", $C331 + CADASTROS!$D$6, "")))), "")</f>
        <v/>
      </c>
      <c r="N331" s="8" t="str">
        <f t="shared" si="22"/>
        <v/>
      </c>
      <c r="O331" s="3" t="str">
        <f>IF($P331&lt;&gt;"", IF($H331="A VISTA", "", IF($H331="1+1", $C331 + CADASTROS!$C$4, IF($H331="1+2", $C331 + CADASTROS!$C$5, IF($H331="1+3", $C331 + CADASTROS!$E$6, "")))), "")</f>
        <v/>
      </c>
      <c r="P331" s="8" t="str">
        <f t="shared" si="23"/>
        <v/>
      </c>
    </row>
    <row r="332" spans="1:16">
      <c r="A332" s="2" t="s">
        <v>467</v>
      </c>
      <c r="B332" s="6" t="s">
        <v>21</v>
      </c>
      <c r="C332" s="7">
        <v>45250</v>
      </c>
      <c r="D332" s="7" t="s">
        <v>70</v>
      </c>
      <c r="E332" s="4" t="s">
        <v>110</v>
      </c>
      <c r="F332" s="4" t="s">
        <v>124</v>
      </c>
      <c r="G332" s="8">
        <v>7719</v>
      </c>
      <c r="H332" s="8" t="s">
        <v>138</v>
      </c>
      <c r="I332" s="3">
        <f>IF($H332="A VISTA", C332 + CADASTROS!$B$3, IF($H332="1+1", C332 + CADASTROS!$B$4, IF(H332="1+2", C332 + CADASTROS!$B$5, IF(H332="1+3", C332 + CADASTROS!$B$6, ""))))</f>
        <v>45251</v>
      </c>
      <c r="J332" s="8">
        <f t="shared" si="20"/>
        <v>3859.5</v>
      </c>
      <c r="K332" s="3">
        <f>IF($L332&lt;&gt;"", IF($H332="A VISTA", "", IF($H332="1+1", $C332 + CADASTROS!$C$4, IF($H332="1+2", $C332 + CADASTROS!$C$5, IF($H332="1+3", $C332 + CADASTROS!$E$4, "")))), "")</f>
        <v>45280</v>
      </c>
      <c r="L332" s="8">
        <f t="shared" si="21"/>
        <v>3859.5</v>
      </c>
      <c r="M332" s="3" t="str">
        <f>IF($N332&lt;&gt;"", IF($H332="A VISTA", "", IF($H332="1+1", $C332 + CADASTROS!$C$4, IF($H332="1+2", $C332 + CADASTROS!$D$5, IF($H332="1+3", $C332 + CADASTROS!$D$6, "")))), "")</f>
        <v/>
      </c>
      <c r="N332" s="8" t="str">
        <f t="shared" si="22"/>
        <v/>
      </c>
      <c r="O332" s="3" t="str">
        <f>IF($P332&lt;&gt;"", IF($H332="A VISTA", "", IF($H332="1+1", $C332 + CADASTROS!$C$4, IF($H332="1+2", $C332 + CADASTROS!$C$5, IF($H332="1+3", $C332 + CADASTROS!$E$6, "")))), "")</f>
        <v/>
      </c>
      <c r="P332" s="8" t="str">
        <f t="shared" si="23"/>
        <v/>
      </c>
    </row>
    <row r="333" spans="1:16">
      <c r="A333" s="2" t="s">
        <v>468</v>
      </c>
      <c r="B333" s="6" t="s">
        <v>54</v>
      </c>
      <c r="C333" s="7">
        <v>45175</v>
      </c>
      <c r="D333" s="7" t="s">
        <v>103</v>
      </c>
      <c r="E333" s="4" t="s">
        <v>110</v>
      </c>
      <c r="F333" s="4" t="s">
        <v>124</v>
      </c>
      <c r="G333" s="8">
        <v>8837</v>
      </c>
      <c r="H333" s="8" t="s">
        <v>126</v>
      </c>
      <c r="I333" s="3">
        <f>IF($H333="A VISTA", C333 + CADASTROS!$B$3, IF($H333="1+1", C333 + CADASTROS!$B$4, IF(H333="1+2", C333 + CADASTROS!$B$5, IF(H333="1+3", C333 + CADASTROS!$B$6, ""))))</f>
        <v>45176</v>
      </c>
      <c r="J333" s="8">
        <f t="shared" si="20"/>
        <v>8837</v>
      </c>
      <c r="K333" s="3" t="str">
        <f>IF($L333&lt;&gt;"", IF($H333="A VISTA", "", IF($H333="1+1", $C333 + CADASTROS!$C$4, IF($H333="1+2", $C333 + CADASTROS!$C$5, IF($H333="1+3", $C333 + CADASTROS!$E$4, "")))), "")</f>
        <v/>
      </c>
      <c r="L333" s="8" t="str">
        <f t="shared" si="21"/>
        <v/>
      </c>
      <c r="M333" s="3" t="str">
        <f>IF($N333&lt;&gt;"", IF($H333="A VISTA", "", IF($H333="1+1", $C333 + CADASTROS!$C$4, IF($H333="1+2", $C333 + CADASTROS!$D$5, IF($H333="1+3", $C333 + CADASTROS!$D$6, "")))), "")</f>
        <v/>
      </c>
      <c r="N333" s="8" t="str">
        <f t="shared" si="22"/>
        <v/>
      </c>
      <c r="O333" s="3" t="str">
        <f>IF($P333&lt;&gt;"", IF($H333="A VISTA", "", IF($H333="1+1", $C333 + CADASTROS!$C$4, IF($H333="1+2", $C333 + CADASTROS!$C$5, IF($H333="1+3", $C333 + CADASTROS!$E$6, "")))), "")</f>
        <v/>
      </c>
      <c r="P333" s="8" t="str">
        <f t="shared" si="23"/>
        <v/>
      </c>
    </row>
    <row r="334" spans="1:16">
      <c r="A334" s="2" t="s">
        <v>469</v>
      </c>
      <c r="B334" s="6" t="s">
        <v>35</v>
      </c>
      <c r="C334" s="7">
        <v>45114</v>
      </c>
      <c r="D334" s="7" t="s">
        <v>84</v>
      </c>
      <c r="E334" s="4" t="s">
        <v>112</v>
      </c>
      <c r="F334" s="4" t="s">
        <v>122</v>
      </c>
      <c r="G334" s="8">
        <v>3117</v>
      </c>
      <c r="H334" s="8" t="s">
        <v>126</v>
      </c>
      <c r="I334" s="3">
        <f>IF($H334="A VISTA", C334 + CADASTROS!$B$3, IF($H334="1+1", C334 + CADASTROS!$B$4, IF(H334="1+2", C334 + CADASTROS!$B$5, IF(H334="1+3", C334 + CADASTROS!$B$6, ""))))</f>
        <v>45115</v>
      </c>
      <c r="J334" s="8">
        <f t="shared" si="20"/>
        <v>3117</v>
      </c>
      <c r="K334" s="3" t="str">
        <f>IF($L334&lt;&gt;"", IF($H334="A VISTA", "", IF($H334="1+1", $C334 + CADASTROS!$C$4, IF($H334="1+2", $C334 + CADASTROS!$C$5, IF($H334="1+3", $C334 + CADASTROS!$E$4, "")))), "")</f>
        <v/>
      </c>
      <c r="L334" s="8" t="str">
        <f t="shared" si="21"/>
        <v/>
      </c>
      <c r="M334" s="3" t="str">
        <f>IF($N334&lt;&gt;"", IF($H334="A VISTA", "", IF($H334="1+1", $C334 + CADASTROS!$C$4, IF($H334="1+2", $C334 + CADASTROS!$D$5, IF($H334="1+3", $C334 + CADASTROS!$D$6, "")))), "")</f>
        <v/>
      </c>
      <c r="N334" s="8" t="str">
        <f t="shared" si="22"/>
        <v/>
      </c>
      <c r="O334" s="3" t="str">
        <f>IF($P334&lt;&gt;"", IF($H334="A VISTA", "", IF($H334="1+1", $C334 + CADASTROS!$C$4, IF($H334="1+2", $C334 + CADASTROS!$C$5, IF($H334="1+3", $C334 + CADASTROS!$E$6, "")))), "")</f>
        <v/>
      </c>
      <c r="P334" s="8" t="str">
        <f t="shared" si="23"/>
        <v/>
      </c>
    </row>
    <row r="335" spans="1:16">
      <c r="A335" s="2" t="s">
        <v>470</v>
      </c>
      <c r="B335" s="6" t="s">
        <v>20</v>
      </c>
      <c r="C335" s="7">
        <v>45302</v>
      </c>
      <c r="D335" s="7" t="s">
        <v>69</v>
      </c>
      <c r="E335" s="4" t="s">
        <v>111</v>
      </c>
      <c r="F335" s="4" t="s">
        <v>117</v>
      </c>
      <c r="G335" s="8">
        <v>781</v>
      </c>
      <c r="H335" s="8" t="s">
        <v>136</v>
      </c>
      <c r="I335" s="3">
        <f>IF($H335="A VISTA", C335 + CADASTROS!$B$3, IF($H335="1+1", C335 + CADASTROS!$B$4, IF(H335="1+2", C335 + CADASTROS!$B$5, IF(H335="1+3", C335 + CADASTROS!$B$6, ""))))</f>
        <v>45303</v>
      </c>
      <c r="J335" s="8">
        <f t="shared" si="20"/>
        <v>195.25</v>
      </c>
      <c r="K335" s="3">
        <f>IF($L335&lt;&gt;"", IF($H335="A VISTA", "", IF($H335="1+1", $C335 + CADASTROS!$C$4, IF($H335="1+2", $C335 + CADASTROS!$C$5, IF($H335="1+3", $C335 + CADASTROS!$E$4, "")))), "")</f>
        <v>45302</v>
      </c>
      <c r="L335" s="8">
        <f t="shared" si="21"/>
        <v>195.25</v>
      </c>
      <c r="M335" s="3">
        <f>IF($N335&lt;&gt;"", IF($H335="A VISTA", "", IF($H335="1+1", $C335 + CADASTROS!$C$4, IF($H335="1+2", $C335 + CADASTROS!$D$5, IF($H335="1+3", $C335 + CADASTROS!$D$6, "")))), "")</f>
        <v>45347</v>
      </c>
      <c r="N335" s="8">
        <f t="shared" si="22"/>
        <v>195.25</v>
      </c>
      <c r="O335" s="3">
        <f>IF($P335&lt;&gt;"", IF($H335="A VISTA", "", IF($H335="1+1", $C335 + CADASTROS!$C$4, IF($H335="1+2", $C335 + CADASTROS!$C$5, IF($H335="1+3", $C335 + CADASTROS!$E$6, "")))), "")</f>
        <v>45362</v>
      </c>
      <c r="P335" s="8">
        <f t="shared" si="23"/>
        <v>195.25</v>
      </c>
    </row>
    <row r="336" spans="1:16">
      <c r="A336" s="2" t="s">
        <v>471</v>
      </c>
      <c r="B336" s="6" t="s">
        <v>14</v>
      </c>
      <c r="C336" s="7">
        <v>45259</v>
      </c>
      <c r="D336" s="7" t="s">
        <v>61</v>
      </c>
      <c r="E336" s="4" t="s">
        <v>110</v>
      </c>
      <c r="F336" s="4" t="s">
        <v>113</v>
      </c>
      <c r="G336" s="8">
        <v>2684</v>
      </c>
      <c r="H336" s="8" t="s">
        <v>138</v>
      </c>
      <c r="I336" s="3">
        <f>IF($H336="A VISTA", C336 + CADASTROS!$B$3, IF($H336="1+1", C336 + CADASTROS!$B$4, IF(H336="1+2", C336 + CADASTROS!$B$5, IF(H336="1+3", C336 + CADASTROS!$B$6, ""))))</f>
        <v>45260</v>
      </c>
      <c r="J336" s="8">
        <f t="shared" si="20"/>
        <v>1342</v>
      </c>
      <c r="K336" s="3">
        <f>IF($L336&lt;&gt;"", IF($H336="A VISTA", "", IF($H336="1+1", $C336 + CADASTROS!$C$4, IF($H336="1+2", $C336 + CADASTROS!$C$5, IF($H336="1+3", $C336 + CADASTROS!$E$4, "")))), "")</f>
        <v>45289</v>
      </c>
      <c r="L336" s="8">
        <f t="shared" si="21"/>
        <v>1342</v>
      </c>
      <c r="M336" s="3" t="str">
        <f>IF($N336&lt;&gt;"", IF($H336="A VISTA", "", IF($H336="1+1", $C336 + CADASTROS!$C$4, IF($H336="1+2", $C336 + CADASTROS!$D$5, IF($H336="1+3", $C336 + CADASTROS!$D$6, "")))), "")</f>
        <v/>
      </c>
      <c r="N336" s="8" t="str">
        <f t="shared" si="22"/>
        <v/>
      </c>
      <c r="O336" s="3" t="str">
        <f>IF($P336&lt;&gt;"", IF($H336="A VISTA", "", IF($H336="1+1", $C336 + CADASTROS!$C$4, IF($H336="1+2", $C336 + CADASTROS!$C$5, IF($H336="1+3", $C336 + CADASTROS!$E$6, "")))), "")</f>
        <v/>
      </c>
      <c r="P336" s="8" t="str">
        <f t="shared" si="23"/>
        <v/>
      </c>
    </row>
    <row r="337" spans="1:16">
      <c r="A337" s="2" t="s">
        <v>472</v>
      </c>
      <c r="B337" s="6" t="s">
        <v>41</v>
      </c>
      <c r="C337" s="7">
        <v>45076</v>
      </c>
      <c r="D337" s="7" t="s">
        <v>90</v>
      </c>
      <c r="E337" s="4" t="s">
        <v>111</v>
      </c>
      <c r="F337" s="4" t="s">
        <v>118</v>
      </c>
      <c r="G337" s="8">
        <v>5313</v>
      </c>
      <c r="H337" s="8" t="s">
        <v>138</v>
      </c>
      <c r="I337" s="3">
        <f>IF($H337="A VISTA", C337 + CADASTROS!$B$3, IF($H337="1+1", C337 + CADASTROS!$B$4, IF(H337="1+2", C337 + CADASTROS!$B$5, IF(H337="1+3", C337 + CADASTROS!$B$6, ""))))</f>
        <v>45077</v>
      </c>
      <c r="J337" s="8">
        <f t="shared" si="20"/>
        <v>2656.5</v>
      </c>
      <c r="K337" s="3">
        <f>IF($L337&lt;&gt;"", IF($H337="A VISTA", "", IF($H337="1+1", $C337 + CADASTROS!$C$4, IF($H337="1+2", $C337 + CADASTROS!$C$5, IF($H337="1+3", $C337 + CADASTROS!$E$4, "")))), "")</f>
        <v>45106</v>
      </c>
      <c r="L337" s="8">
        <f t="shared" si="21"/>
        <v>2656.5</v>
      </c>
      <c r="M337" s="3" t="str">
        <f>IF($N337&lt;&gt;"", IF($H337="A VISTA", "", IF($H337="1+1", $C337 + CADASTROS!$C$4, IF($H337="1+2", $C337 + CADASTROS!$D$5, IF($H337="1+3", $C337 + CADASTROS!$D$6, "")))), "")</f>
        <v/>
      </c>
      <c r="N337" s="8" t="str">
        <f t="shared" si="22"/>
        <v/>
      </c>
      <c r="O337" s="3" t="str">
        <f>IF($P337&lt;&gt;"", IF($H337="A VISTA", "", IF($H337="1+1", $C337 + CADASTROS!$C$4, IF($H337="1+2", $C337 + CADASTROS!$C$5, IF($H337="1+3", $C337 + CADASTROS!$E$6, "")))), "")</f>
        <v/>
      </c>
      <c r="P337" s="8" t="str">
        <f t="shared" si="23"/>
        <v/>
      </c>
    </row>
    <row r="338" spans="1:16">
      <c r="A338" s="2" t="s">
        <v>473</v>
      </c>
      <c r="B338" s="6" t="s">
        <v>60</v>
      </c>
      <c r="C338" s="7">
        <v>45294</v>
      </c>
      <c r="D338" s="7" t="s">
        <v>109</v>
      </c>
      <c r="E338" s="4" t="s">
        <v>111</v>
      </c>
      <c r="F338" s="4" t="s">
        <v>118</v>
      </c>
      <c r="G338" s="8">
        <v>1085</v>
      </c>
      <c r="H338" s="8" t="s">
        <v>137</v>
      </c>
      <c r="I338" s="3">
        <f>IF($H338="A VISTA", C338 + CADASTROS!$B$3, IF($H338="1+1", C338 + CADASTROS!$B$4, IF(H338="1+2", C338 + CADASTROS!$B$5, IF(H338="1+3", C338 + CADASTROS!$B$6, ""))))</f>
        <v>45295</v>
      </c>
      <c r="J338" s="8">
        <f t="shared" si="20"/>
        <v>361.66666666666669</v>
      </c>
      <c r="K338" s="3">
        <f>IF($L338&lt;&gt;"", IF($H338="A VISTA", "", IF($H338="1+1", $C338 + CADASTROS!$C$4, IF($H338="1+2", $C338 + CADASTROS!$C$5, IF($H338="1+3", $C338 + CADASTROS!$E$4, "")))), "")</f>
        <v>45324</v>
      </c>
      <c r="L338" s="8">
        <f t="shared" si="21"/>
        <v>361.66666666666669</v>
      </c>
      <c r="M338" s="3">
        <f>IF($N338&lt;&gt;"", IF($H338="A VISTA", "", IF($H338="1+1", $C338 + CADASTROS!$C$4, IF($H338="1+2", $C338 + CADASTROS!$D$5, IF($H338="1+3", $C338 + CADASTROS!$D$6, "")))), "")</f>
        <v>45339</v>
      </c>
      <c r="N338" s="8">
        <f t="shared" si="22"/>
        <v>361.66666666666657</v>
      </c>
      <c r="O338" s="3" t="str">
        <f>IF($P338&lt;&gt;"", IF($H338="A VISTA", "", IF($H338="1+1", $C338 + CADASTROS!$C$4, IF($H338="1+2", $C338 + CADASTROS!$C$5, IF($H338="1+3", $C338 + CADASTROS!$E$6, "")))), "")</f>
        <v/>
      </c>
      <c r="P338" s="8" t="str">
        <f t="shared" si="23"/>
        <v/>
      </c>
    </row>
    <row r="339" spans="1:16">
      <c r="A339" s="2" t="s">
        <v>474</v>
      </c>
      <c r="B339" s="6" t="s">
        <v>36</v>
      </c>
      <c r="C339" s="7">
        <v>45272</v>
      </c>
      <c r="D339" s="7" t="s">
        <v>85</v>
      </c>
      <c r="E339" s="4" t="s">
        <v>111</v>
      </c>
      <c r="F339" s="4" t="s">
        <v>120</v>
      </c>
      <c r="G339" s="8">
        <v>9429</v>
      </c>
      <c r="H339" s="8" t="s">
        <v>138</v>
      </c>
      <c r="I339" s="3">
        <f>IF($H339="A VISTA", C339 + CADASTROS!$B$3, IF($H339="1+1", C339 + CADASTROS!$B$4, IF(H339="1+2", C339 + CADASTROS!$B$5, IF(H339="1+3", C339 + CADASTROS!$B$6, ""))))</f>
        <v>45273</v>
      </c>
      <c r="J339" s="8">
        <f t="shared" si="20"/>
        <v>4714.5</v>
      </c>
      <c r="K339" s="3">
        <f>IF($L339&lt;&gt;"", IF($H339="A VISTA", "", IF($H339="1+1", $C339 + CADASTROS!$C$4, IF($H339="1+2", $C339 + CADASTROS!$C$5, IF($H339="1+3", $C339 + CADASTROS!$E$4, "")))), "")</f>
        <v>45302</v>
      </c>
      <c r="L339" s="8">
        <f t="shared" si="21"/>
        <v>4714.5</v>
      </c>
      <c r="M339" s="3" t="str">
        <f>IF($N339&lt;&gt;"", IF($H339="A VISTA", "", IF($H339="1+1", $C339 + CADASTROS!$C$4, IF($H339="1+2", $C339 + CADASTROS!$D$5, IF($H339="1+3", $C339 + CADASTROS!$D$6, "")))), "")</f>
        <v/>
      </c>
      <c r="N339" s="8" t="str">
        <f t="shared" si="22"/>
        <v/>
      </c>
      <c r="O339" s="3" t="str">
        <f>IF($P339&lt;&gt;"", IF($H339="A VISTA", "", IF($H339="1+1", $C339 + CADASTROS!$C$4, IF($H339="1+2", $C339 + CADASTROS!$C$5, IF($H339="1+3", $C339 + CADASTROS!$E$6, "")))), "")</f>
        <v/>
      </c>
      <c r="P339" s="8" t="str">
        <f t="shared" si="23"/>
        <v/>
      </c>
    </row>
    <row r="340" spans="1:16">
      <c r="A340" s="2" t="s">
        <v>475</v>
      </c>
      <c r="B340" s="6" t="s">
        <v>27</v>
      </c>
      <c r="C340" s="7">
        <v>45319</v>
      </c>
      <c r="D340" s="7" t="s">
        <v>76</v>
      </c>
      <c r="E340" s="4" t="s">
        <v>110</v>
      </c>
      <c r="F340" s="4" t="s">
        <v>125</v>
      </c>
      <c r="G340" s="8">
        <v>8504</v>
      </c>
      <c r="H340" s="8" t="s">
        <v>126</v>
      </c>
      <c r="I340" s="3">
        <f>IF($H340="A VISTA", C340 + CADASTROS!$B$3, IF($H340="1+1", C340 + CADASTROS!$B$4, IF(H340="1+2", C340 + CADASTROS!$B$5, IF(H340="1+3", C340 + CADASTROS!$B$6, ""))))</f>
        <v>45320</v>
      </c>
      <c r="J340" s="8">
        <f t="shared" si="20"/>
        <v>8504</v>
      </c>
      <c r="K340" s="3" t="str">
        <f>IF($L340&lt;&gt;"", IF($H340="A VISTA", "", IF($H340="1+1", $C340 + CADASTROS!$C$4, IF($H340="1+2", $C340 + CADASTROS!$C$5, IF($H340="1+3", $C340 + CADASTROS!$E$4, "")))), "")</f>
        <v/>
      </c>
      <c r="L340" s="8" t="str">
        <f t="shared" si="21"/>
        <v/>
      </c>
      <c r="M340" s="3" t="str">
        <f>IF($N340&lt;&gt;"", IF($H340="A VISTA", "", IF($H340="1+1", $C340 + CADASTROS!$C$4, IF($H340="1+2", $C340 + CADASTROS!$D$5, IF($H340="1+3", $C340 + CADASTROS!$D$6, "")))), "")</f>
        <v/>
      </c>
      <c r="N340" s="8" t="str">
        <f t="shared" si="22"/>
        <v/>
      </c>
      <c r="O340" s="3" t="str">
        <f>IF($P340&lt;&gt;"", IF($H340="A VISTA", "", IF($H340="1+1", $C340 + CADASTROS!$C$4, IF($H340="1+2", $C340 + CADASTROS!$C$5, IF($H340="1+3", $C340 + CADASTROS!$E$6, "")))), "")</f>
        <v/>
      </c>
      <c r="P340" s="8" t="str">
        <f t="shared" si="23"/>
        <v/>
      </c>
    </row>
    <row r="341" spans="1:16">
      <c r="A341" s="2" t="s">
        <v>476</v>
      </c>
      <c r="B341" s="6" t="s">
        <v>37</v>
      </c>
      <c r="C341" s="7">
        <v>45101</v>
      </c>
      <c r="D341" s="7" t="s">
        <v>86</v>
      </c>
      <c r="E341" s="4" t="s">
        <v>112</v>
      </c>
      <c r="F341" s="4" t="s">
        <v>123</v>
      </c>
      <c r="G341" s="8">
        <v>1646</v>
      </c>
      <c r="H341" s="8" t="s">
        <v>126</v>
      </c>
      <c r="I341" s="3">
        <f>IF($H341="A VISTA", C341 + CADASTROS!$B$3, IF($H341="1+1", C341 + CADASTROS!$B$4, IF(H341="1+2", C341 + CADASTROS!$B$5, IF(H341="1+3", C341 + CADASTROS!$B$6, ""))))</f>
        <v>45102</v>
      </c>
      <c r="J341" s="8">
        <f t="shared" si="20"/>
        <v>1646</v>
      </c>
      <c r="K341" s="3" t="str">
        <f>IF($L341&lt;&gt;"", IF($H341="A VISTA", "", IF($H341="1+1", $C341 + CADASTROS!$C$4, IF($H341="1+2", $C341 + CADASTROS!$C$5, IF($H341="1+3", $C341 + CADASTROS!$E$4, "")))), "")</f>
        <v/>
      </c>
      <c r="L341" s="8" t="str">
        <f t="shared" si="21"/>
        <v/>
      </c>
      <c r="M341" s="3" t="str">
        <f>IF($N341&lt;&gt;"", IF($H341="A VISTA", "", IF($H341="1+1", $C341 + CADASTROS!$C$4, IF($H341="1+2", $C341 + CADASTROS!$D$5, IF($H341="1+3", $C341 + CADASTROS!$D$6, "")))), "")</f>
        <v/>
      </c>
      <c r="N341" s="8" t="str">
        <f t="shared" si="22"/>
        <v/>
      </c>
      <c r="O341" s="3" t="str">
        <f>IF($P341&lt;&gt;"", IF($H341="A VISTA", "", IF($H341="1+1", $C341 + CADASTROS!$C$4, IF($H341="1+2", $C341 + CADASTROS!$C$5, IF($H341="1+3", $C341 + CADASTROS!$E$6, "")))), "")</f>
        <v/>
      </c>
      <c r="P341" s="8" t="str">
        <f t="shared" si="23"/>
        <v/>
      </c>
    </row>
    <row r="342" spans="1:16">
      <c r="A342" s="2" t="s">
        <v>477</v>
      </c>
      <c r="B342" s="6" t="s">
        <v>28</v>
      </c>
      <c r="C342" s="7">
        <v>45287</v>
      </c>
      <c r="D342" s="7" t="s">
        <v>77</v>
      </c>
      <c r="E342" s="4" t="s">
        <v>110</v>
      </c>
      <c r="F342" s="4" t="s">
        <v>114</v>
      </c>
      <c r="G342" s="8">
        <v>7876</v>
      </c>
      <c r="H342" s="8" t="s">
        <v>136</v>
      </c>
      <c r="I342" s="3">
        <f>IF($H342="A VISTA", C342 + CADASTROS!$B$3, IF($H342="1+1", C342 + CADASTROS!$B$4, IF(H342="1+2", C342 + CADASTROS!$B$5, IF(H342="1+3", C342 + CADASTROS!$B$6, ""))))</f>
        <v>45288</v>
      </c>
      <c r="J342" s="8">
        <f t="shared" si="20"/>
        <v>1969</v>
      </c>
      <c r="K342" s="3">
        <f>IF($L342&lt;&gt;"", IF($H342="A VISTA", "", IF($H342="1+1", $C342 + CADASTROS!$C$4, IF($H342="1+2", $C342 + CADASTROS!$C$5, IF($H342="1+3", $C342 + CADASTROS!$E$4, "")))), "")</f>
        <v>45287</v>
      </c>
      <c r="L342" s="8">
        <f t="shared" si="21"/>
        <v>1969</v>
      </c>
      <c r="M342" s="3">
        <f>IF($N342&lt;&gt;"", IF($H342="A VISTA", "", IF($H342="1+1", $C342 + CADASTROS!$C$4, IF($H342="1+2", $C342 + CADASTROS!$D$5, IF($H342="1+3", $C342 + CADASTROS!$D$6, "")))), "")</f>
        <v>45332</v>
      </c>
      <c r="N342" s="8">
        <f t="shared" si="22"/>
        <v>1969</v>
      </c>
      <c r="O342" s="3">
        <f>IF($P342&lt;&gt;"", IF($H342="A VISTA", "", IF($H342="1+1", $C342 + CADASTROS!$C$4, IF($H342="1+2", $C342 + CADASTROS!$C$5, IF($H342="1+3", $C342 + CADASTROS!$E$6, "")))), "")</f>
        <v>45347</v>
      </c>
      <c r="P342" s="8">
        <f t="shared" si="23"/>
        <v>1969</v>
      </c>
    </row>
    <row r="343" spans="1:16">
      <c r="A343" s="2" t="s">
        <v>478</v>
      </c>
      <c r="B343" s="6" t="s">
        <v>29</v>
      </c>
      <c r="C343" s="7">
        <v>45302</v>
      </c>
      <c r="D343" s="7" t="s">
        <v>78</v>
      </c>
      <c r="E343" s="4" t="s">
        <v>111</v>
      </c>
      <c r="F343" s="4" t="s">
        <v>121</v>
      </c>
      <c r="G343" s="8">
        <v>4203</v>
      </c>
      <c r="H343" s="8" t="s">
        <v>137</v>
      </c>
      <c r="I343" s="3">
        <f>IF($H343="A VISTA", C343 + CADASTROS!$B$3, IF($H343="1+1", C343 + CADASTROS!$B$4, IF(H343="1+2", C343 + CADASTROS!$B$5, IF(H343="1+3", C343 + CADASTROS!$B$6, ""))))</f>
        <v>45303</v>
      </c>
      <c r="J343" s="8">
        <f t="shared" si="20"/>
        <v>1401</v>
      </c>
      <c r="K343" s="3">
        <f>IF($L343&lt;&gt;"", IF($H343="A VISTA", "", IF($H343="1+1", $C343 + CADASTROS!$C$4, IF($H343="1+2", $C343 + CADASTROS!$C$5, IF($H343="1+3", $C343 + CADASTROS!$E$4, "")))), "")</f>
        <v>45332</v>
      </c>
      <c r="L343" s="8">
        <f t="shared" si="21"/>
        <v>1401</v>
      </c>
      <c r="M343" s="3">
        <f>IF($N343&lt;&gt;"", IF($H343="A VISTA", "", IF($H343="1+1", $C343 + CADASTROS!$C$4, IF($H343="1+2", $C343 + CADASTROS!$D$5, IF($H343="1+3", $C343 + CADASTROS!$D$6, "")))), "")</f>
        <v>45347</v>
      </c>
      <c r="N343" s="8">
        <f t="shared" si="22"/>
        <v>1401</v>
      </c>
      <c r="O343" s="3" t="str">
        <f>IF($P343&lt;&gt;"", IF($H343="A VISTA", "", IF($H343="1+1", $C343 + CADASTROS!$C$4, IF($H343="1+2", $C343 + CADASTROS!$C$5, IF($H343="1+3", $C343 + CADASTROS!$E$6, "")))), "")</f>
        <v/>
      </c>
      <c r="P343" s="8" t="str">
        <f t="shared" si="23"/>
        <v/>
      </c>
    </row>
    <row r="344" spans="1:16">
      <c r="A344" s="2" t="s">
        <v>479</v>
      </c>
      <c r="B344" s="6" t="s">
        <v>30</v>
      </c>
      <c r="C344" s="7">
        <v>45223</v>
      </c>
      <c r="D344" s="7" t="s">
        <v>79</v>
      </c>
      <c r="E344" s="4" t="s">
        <v>111</v>
      </c>
      <c r="F344" s="4" t="s">
        <v>118</v>
      </c>
      <c r="G344" s="8">
        <v>5128</v>
      </c>
      <c r="H344" s="8" t="s">
        <v>126</v>
      </c>
      <c r="I344" s="3">
        <f>IF($H344="A VISTA", C344 + CADASTROS!$B$3, IF($H344="1+1", C344 + CADASTROS!$B$4, IF(H344="1+2", C344 + CADASTROS!$B$5, IF(H344="1+3", C344 + CADASTROS!$B$6, ""))))</f>
        <v>45224</v>
      </c>
      <c r="J344" s="8">
        <f t="shared" si="20"/>
        <v>5128</v>
      </c>
      <c r="K344" s="3" t="str">
        <f>IF($L344&lt;&gt;"", IF($H344="A VISTA", "", IF($H344="1+1", $C344 + CADASTROS!$C$4, IF($H344="1+2", $C344 + CADASTROS!$C$5, IF($H344="1+3", $C344 + CADASTROS!$E$4, "")))), "")</f>
        <v/>
      </c>
      <c r="L344" s="8" t="str">
        <f t="shared" si="21"/>
        <v/>
      </c>
      <c r="M344" s="3" t="str">
        <f>IF($N344&lt;&gt;"", IF($H344="A VISTA", "", IF($H344="1+1", $C344 + CADASTROS!$C$4, IF($H344="1+2", $C344 + CADASTROS!$D$5, IF($H344="1+3", $C344 + CADASTROS!$D$6, "")))), "")</f>
        <v/>
      </c>
      <c r="N344" s="8" t="str">
        <f t="shared" si="22"/>
        <v/>
      </c>
      <c r="O344" s="3" t="str">
        <f>IF($P344&lt;&gt;"", IF($H344="A VISTA", "", IF($H344="1+1", $C344 + CADASTROS!$C$4, IF($H344="1+2", $C344 + CADASTROS!$C$5, IF($H344="1+3", $C344 + CADASTROS!$E$6, "")))), "")</f>
        <v/>
      </c>
      <c r="P344" s="8" t="str">
        <f t="shared" si="23"/>
        <v/>
      </c>
    </row>
    <row r="345" spans="1:16">
      <c r="A345" s="2" t="s">
        <v>480</v>
      </c>
      <c r="B345" s="6" t="s">
        <v>16</v>
      </c>
      <c r="C345" s="7">
        <v>45218</v>
      </c>
      <c r="D345" s="7" t="s">
        <v>65</v>
      </c>
      <c r="E345" s="4" t="s">
        <v>110</v>
      </c>
      <c r="F345" s="4" t="s">
        <v>125</v>
      </c>
      <c r="G345" s="8">
        <v>6535</v>
      </c>
      <c r="H345" s="8" t="s">
        <v>138</v>
      </c>
      <c r="I345" s="3">
        <f>IF($H345="A VISTA", C345 + CADASTROS!$B$3, IF($H345="1+1", C345 + CADASTROS!$B$4, IF(H345="1+2", C345 + CADASTROS!$B$5, IF(H345="1+3", C345 + CADASTROS!$B$6, ""))))</f>
        <v>45219</v>
      </c>
      <c r="J345" s="8">
        <f t="shared" si="20"/>
        <v>3267.5</v>
      </c>
      <c r="K345" s="3">
        <f>IF($L345&lt;&gt;"", IF($H345="A VISTA", "", IF($H345="1+1", $C345 + CADASTROS!$C$4, IF($H345="1+2", $C345 + CADASTROS!$C$5, IF($H345="1+3", $C345 + CADASTROS!$E$4, "")))), "")</f>
        <v>45248</v>
      </c>
      <c r="L345" s="8">
        <f t="shared" si="21"/>
        <v>3267.5</v>
      </c>
      <c r="M345" s="3" t="str">
        <f>IF($N345&lt;&gt;"", IF($H345="A VISTA", "", IF($H345="1+1", $C345 + CADASTROS!$C$4, IF($H345="1+2", $C345 + CADASTROS!$D$5, IF($H345="1+3", $C345 + CADASTROS!$D$6, "")))), "")</f>
        <v/>
      </c>
      <c r="N345" s="8" t="str">
        <f t="shared" si="22"/>
        <v/>
      </c>
      <c r="O345" s="3" t="str">
        <f>IF($P345&lt;&gt;"", IF($H345="A VISTA", "", IF($H345="1+1", $C345 + CADASTROS!$C$4, IF($H345="1+2", $C345 + CADASTROS!$C$5, IF($H345="1+3", $C345 + CADASTROS!$E$6, "")))), "")</f>
        <v/>
      </c>
      <c r="P345" s="8" t="str">
        <f t="shared" si="23"/>
        <v/>
      </c>
    </row>
    <row r="346" spans="1:16">
      <c r="A346" s="2" t="s">
        <v>481</v>
      </c>
      <c r="B346" s="6" t="s">
        <v>22</v>
      </c>
      <c r="C346" s="7">
        <v>45268</v>
      </c>
      <c r="D346" s="7" t="s">
        <v>71</v>
      </c>
      <c r="E346" s="4" t="s">
        <v>111</v>
      </c>
      <c r="F346" s="4" t="s">
        <v>119</v>
      </c>
      <c r="G346" s="8">
        <v>9749</v>
      </c>
      <c r="H346" s="8" t="s">
        <v>126</v>
      </c>
      <c r="I346" s="3">
        <f>IF($H346="A VISTA", C346 + CADASTROS!$B$3, IF($H346="1+1", C346 + CADASTROS!$B$4, IF(H346="1+2", C346 + CADASTROS!$B$5, IF(H346="1+3", C346 + CADASTROS!$B$6, ""))))</f>
        <v>45269</v>
      </c>
      <c r="J346" s="8">
        <f t="shared" si="20"/>
        <v>9749</v>
      </c>
      <c r="K346" s="3" t="str">
        <f>IF($L346&lt;&gt;"", IF($H346="A VISTA", "", IF($H346="1+1", $C346 + CADASTROS!$C$4, IF($H346="1+2", $C346 + CADASTROS!$C$5, IF($H346="1+3", $C346 + CADASTROS!$E$4, "")))), "")</f>
        <v/>
      </c>
      <c r="L346" s="8" t="str">
        <f t="shared" si="21"/>
        <v/>
      </c>
      <c r="M346" s="3" t="str">
        <f>IF($N346&lt;&gt;"", IF($H346="A VISTA", "", IF($H346="1+1", $C346 + CADASTROS!$C$4, IF($H346="1+2", $C346 + CADASTROS!$D$5, IF($H346="1+3", $C346 + CADASTROS!$D$6, "")))), "")</f>
        <v/>
      </c>
      <c r="N346" s="8" t="str">
        <f t="shared" si="22"/>
        <v/>
      </c>
      <c r="O346" s="3" t="str">
        <f>IF($P346&lt;&gt;"", IF($H346="A VISTA", "", IF($H346="1+1", $C346 + CADASTROS!$C$4, IF($H346="1+2", $C346 + CADASTROS!$C$5, IF($H346="1+3", $C346 + CADASTROS!$E$6, "")))), "")</f>
        <v/>
      </c>
      <c r="P346" s="8" t="str">
        <f t="shared" si="23"/>
        <v/>
      </c>
    </row>
    <row r="347" spans="1:16">
      <c r="A347" s="2" t="s">
        <v>482</v>
      </c>
      <c r="B347" s="6" t="s">
        <v>49</v>
      </c>
      <c r="C347" s="7">
        <v>45398</v>
      </c>
      <c r="D347" s="7" t="s">
        <v>98</v>
      </c>
      <c r="E347" s="4" t="s">
        <v>110</v>
      </c>
      <c r="F347" s="4" t="s">
        <v>125</v>
      </c>
      <c r="G347" s="8">
        <v>7122</v>
      </c>
      <c r="H347" s="8" t="s">
        <v>138</v>
      </c>
      <c r="I347" s="3">
        <f>IF($H347="A VISTA", C347 + CADASTROS!$B$3, IF($H347="1+1", C347 + CADASTROS!$B$4, IF(H347="1+2", C347 + CADASTROS!$B$5, IF(H347="1+3", C347 + CADASTROS!$B$6, ""))))</f>
        <v>45399</v>
      </c>
      <c r="J347" s="8">
        <f t="shared" si="20"/>
        <v>3561</v>
      </c>
      <c r="K347" s="3">
        <f>IF($L347&lt;&gt;"", IF($H347="A VISTA", "", IF($H347="1+1", $C347 + CADASTROS!$C$4, IF($H347="1+2", $C347 + CADASTROS!$C$5, IF($H347="1+3", $C347 + CADASTROS!$E$4, "")))), "")</f>
        <v>45428</v>
      </c>
      <c r="L347" s="8">
        <f t="shared" si="21"/>
        <v>3561</v>
      </c>
      <c r="M347" s="3" t="str">
        <f>IF($N347&lt;&gt;"", IF($H347="A VISTA", "", IF($H347="1+1", $C347 + CADASTROS!$C$4, IF($H347="1+2", $C347 + CADASTROS!$D$5, IF($H347="1+3", $C347 + CADASTROS!$D$6, "")))), "")</f>
        <v/>
      </c>
      <c r="N347" s="8" t="str">
        <f t="shared" si="22"/>
        <v/>
      </c>
      <c r="O347" s="3" t="str">
        <f>IF($P347&lt;&gt;"", IF($H347="A VISTA", "", IF($H347="1+1", $C347 + CADASTROS!$C$4, IF($H347="1+2", $C347 + CADASTROS!$C$5, IF($H347="1+3", $C347 + CADASTROS!$E$6, "")))), "")</f>
        <v/>
      </c>
      <c r="P347" s="8" t="str">
        <f t="shared" si="23"/>
        <v/>
      </c>
    </row>
    <row r="348" spans="1:16">
      <c r="A348" s="2" t="s">
        <v>483</v>
      </c>
      <c r="B348" s="6" t="s">
        <v>23</v>
      </c>
      <c r="C348" s="7">
        <v>45248</v>
      </c>
      <c r="D348" s="7" t="s">
        <v>72</v>
      </c>
      <c r="E348" s="4" t="s">
        <v>110</v>
      </c>
      <c r="F348" s="4" t="s">
        <v>113</v>
      </c>
      <c r="G348" s="8">
        <v>5829</v>
      </c>
      <c r="H348" s="8" t="s">
        <v>138</v>
      </c>
      <c r="I348" s="3">
        <f>IF($H348="A VISTA", C348 + CADASTROS!$B$3, IF($H348="1+1", C348 + CADASTROS!$B$4, IF(H348="1+2", C348 + CADASTROS!$B$5, IF(H348="1+3", C348 + CADASTROS!$B$6, ""))))</f>
        <v>45249</v>
      </c>
      <c r="J348" s="8">
        <f t="shared" si="20"/>
        <v>2914.5</v>
      </c>
      <c r="K348" s="3">
        <f>IF($L348&lt;&gt;"", IF($H348="A VISTA", "", IF($H348="1+1", $C348 + CADASTROS!$C$4, IF($H348="1+2", $C348 + CADASTROS!$C$5, IF($H348="1+3", $C348 + CADASTROS!$E$4, "")))), "")</f>
        <v>45278</v>
      </c>
      <c r="L348" s="8">
        <f t="shared" si="21"/>
        <v>2914.5</v>
      </c>
      <c r="M348" s="3" t="str">
        <f>IF($N348&lt;&gt;"", IF($H348="A VISTA", "", IF($H348="1+1", $C348 + CADASTROS!$C$4, IF($H348="1+2", $C348 + CADASTROS!$D$5, IF($H348="1+3", $C348 + CADASTROS!$D$6, "")))), "")</f>
        <v/>
      </c>
      <c r="N348" s="8" t="str">
        <f t="shared" si="22"/>
        <v/>
      </c>
      <c r="O348" s="3" t="str">
        <f>IF($P348&lt;&gt;"", IF($H348="A VISTA", "", IF($H348="1+1", $C348 + CADASTROS!$C$4, IF($H348="1+2", $C348 + CADASTROS!$C$5, IF($H348="1+3", $C348 + CADASTROS!$E$6, "")))), "")</f>
        <v/>
      </c>
      <c r="P348" s="8" t="str">
        <f t="shared" si="23"/>
        <v/>
      </c>
    </row>
    <row r="349" spans="1:16">
      <c r="A349" s="2" t="s">
        <v>484</v>
      </c>
      <c r="B349" s="6" t="s">
        <v>15</v>
      </c>
      <c r="C349" s="7">
        <v>45197</v>
      </c>
      <c r="D349" s="7" t="s">
        <v>64</v>
      </c>
      <c r="E349" s="4" t="s">
        <v>112</v>
      </c>
      <c r="F349" s="4" t="s">
        <v>123</v>
      </c>
      <c r="G349" s="8">
        <v>540</v>
      </c>
      <c r="H349" s="8" t="s">
        <v>126</v>
      </c>
      <c r="I349" s="3">
        <f>IF($H349="A VISTA", C349 + CADASTROS!$B$3, IF($H349="1+1", C349 + CADASTROS!$B$4, IF(H349="1+2", C349 + CADASTROS!$B$5, IF(H349="1+3", C349 + CADASTROS!$B$6, ""))))</f>
        <v>45198</v>
      </c>
      <c r="J349" s="8">
        <f t="shared" si="20"/>
        <v>540</v>
      </c>
      <c r="K349" s="3" t="str">
        <f>IF($L349&lt;&gt;"", IF($H349="A VISTA", "", IF($H349="1+1", $C349 + CADASTROS!$C$4, IF($H349="1+2", $C349 + CADASTROS!$C$5, IF($H349="1+3", $C349 + CADASTROS!$E$4, "")))), "")</f>
        <v/>
      </c>
      <c r="L349" s="8" t="str">
        <f t="shared" si="21"/>
        <v/>
      </c>
      <c r="M349" s="3" t="str">
        <f>IF($N349&lt;&gt;"", IF($H349="A VISTA", "", IF($H349="1+1", $C349 + CADASTROS!$C$4, IF($H349="1+2", $C349 + CADASTROS!$D$5, IF($H349="1+3", $C349 + CADASTROS!$D$6, "")))), "")</f>
        <v/>
      </c>
      <c r="N349" s="8" t="str">
        <f t="shared" si="22"/>
        <v/>
      </c>
      <c r="O349" s="3" t="str">
        <f>IF($P349&lt;&gt;"", IF($H349="A VISTA", "", IF($H349="1+1", $C349 + CADASTROS!$C$4, IF($H349="1+2", $C349 + CADASTROS!$C$5, IF($H349="1+3", $C349 + CADASTROS!$E$6, "")))), "")</f>
        <v/>
      </c>
      <c r="P349" s="8" t="str">
        <f t="shared" si="23"/>
        <v/>
      </c>
    </row>
    <row r="350" spans="1:16">
      <c r="A350" s="2" t="s">
        <v>485</v>
      </c>
      <c r="B350" s="6" t="s">
        <v>59</v>
      </c>
      <c r="C350" s="7">
        <v>45176</v>
      </c>
      <c r="D350" s="7" t="s">
        <v>108</v>
      </c>
      <c r="E350" s="4" t="s">
        <v>111</v>
      </c>
      <c r="F350" s="4" t="s">
        <v>121</v>
      </c>
      <c r="G350" s="8">
        <v>8984</v>
      </c>
      <c r="H350" s="8" t="s">
        <v>138</v>
      </c>
      <c r="I350" s="3">
        <f>IF($H350="A VISTA", C350 + CADASTROS!$B$3, IF($H350="1+1", C350 + CADASTROS!$B$4, IF(H350="1+2", C350 + CADASTROS!$B$5, IF(H350="1+3", C350 + CADASTROS!$B$6, ""))))</f>
        <v>45177</v>
      </c>
      <c r="J350" s="8">
        <f t="shared" si="20"/>
        <v>4492</v>
      </c>
      <c r="K350" s="3">
        <f>IF($L350&lt;&gt;"", IF($H350="A VISTA", "", IF($H350="1+1", $C350 + CADASTROS!$C$4, IF($H350="1+2", $C350 + CADASTROS!$C$5, IF($H350="1+3", $C350 + CADASTROS!$E$4, "")))), "")</f>
        <v>45206</v>
      </c>
      <c r="L350" s="8">
        <f t="shared" si="21"/>
        <v>4492</v>
      </c>
      <c r="M350" s="3" t="str">
        <f>IF($N350&lt;&gt;"", IF($H350="A VISTA", "", IF($H350="1+1", $C350 + CADASTROS!$C$4, IF($H350="1+2", $C350 + CADASTROS!$D$5, IF($H350="1+3", $C350 + CADASTROS!$D$6, "")))), "")</f>
        <v/>
      </c>
      <c r="N350" s="8" t="str">
        <f t="shared" si="22"/>
        <v/>
      </c>
      <c r="O350" s="3" t="str">
        <f>IF($P350&lt;&gt;"", IF($H350="A VISTA", "", IF($H350="1+1", $C350 + CADASTROS!$C$4, IF($H350="1+2", $C350 + CADASTROS!$C$5, IF($H350="1+3", $C350 + CADASTROS!$E$6, "")))), "")</f>
        <v/>
      </c>
      <c r="P350" s="8" t="str">
        <f t="shared" si="23"/>
        <v/>
      </c>
    </row>
    <row r="351" spans="1:16">
      <c r="A351" s="2" t="s">
        <v>486</v>
      </c>
      <c r="B351" s="6" t="s">
        <v>27</v>
      </c>
      <c r="C351" s="7">
        <v>45202</v>
      </c>
      <c r="D351" s="7" t="s">
        <v>76</v>
      </c>
      <c r="E351" s="4" t="s">
        <v>110</v>
      </c>
      <c r="F351" s="4" t="s">
        <v>125</v>
      </c>
      <c r="G351" s="8">
        <v>6497</v>
      </c>
      <c r="H351" s="8" t="s">
        <v>126</v>
      </c>
      <c r="I351" s="3">
        <f>IF($H351="A VISTA", C351 + CADASTROS!$B$3, IF($H351="1+1", C351 + CADASTROS!$B$4, IF(H351="1+2", C351 + CADASTROS!$B$5, IF(H351="1+3", C351 + CADASTROS!$B$6, ""))))</f>
        <v>45203</v>
      </c>
      <c r="J351" s="8">
        <f t="shared" si="20"/>
        <v>6497</v>
      </c>
      <c r="K351" s="3" t="str">
        <f>IF($L351&lt;&gt;"", IF($H351="A VISTA", "", IF($H351="1+1", $C351 + CADASTROS!$C$4, IF($H351="1+2", $C351 + CADASTROS!$C$5, IF($H351="1+3", $C351 + CADASTROS!$E$4, "")))), "")</f>
        <v/>
      </c>
      <c r="L351" s="8" t="str">
        <f t="shared" si="21"/>
        <v/>
      </c>
      <c r="M351" s="3" t="str">
        <f>IF($N351&lt;&gt;"", IF($H351="A VISTA", "", IF($H351="1+1", $C351 + CADASTROS!$C$4, IF($H351="1+2", $C351 + CADASTROS!$D$5, IF($H351="1+3", $C351 + CADASTROS!$D$6, "")))), "")</f>
        <v/>
      </c>
      <c r="N351" s="8" t="str">
        <f t="shared" si="22"/>
        <v/>
      </c>
      <c r="O351" s="3" t="str">
        <f>IF($P351&lt;&gt;"", IF($H351="A VISTA", "", IF($H351="1+1", $C351 + CADASTROS!$C$4, IF($H351="1+2", $C351 + CADASTROS!$C$5, IF($H351="1+3", $C351 + CADASTROS!$E$6, "")))), "")</f>
        <v/>
      </c>
      <c r="P351" s="8" t="str">
        <f t="shared" si="23"/>
        <v/>
      </c>
    </row>
    <row r="352" spans="1:16">
      <c r="A352" s="2" t="s">
        <v>487</v>
      </c>
      <c r="B352" s="6" t="s">
        <v>14</v>
      </c>
      <c r="C352" s="7">
        <v>45461</v>
      </c>
      <c r="D352" s="7" t="s">
        <v>61</v>
      </c>
      <c r="E352" s="4" t="s">
        <v>110</v>
      </c>
      <c r="F352" s="4" t="s">
        <v>113</v>
      </c>
      <c r="G352" s="8">
        <v>758</v>
      </c>
      <c r="H352" s="8" t="s">
        <v>138</v>
      </c>
      <c r="I352" s="3">
        <f>IF($H352="A VISTA", C352 + CADASTROS!$B$3, IF($H352="1+1", C352 + CADASTROS!$B$4, IF(H352="1+2", C352 + CADASTROS!$B$5, IF(H352="1+3", C352 + CADASTROS!$B$6, ""))))</f>
        <v>45462</v>
      </c>
      <c r="J352" s="8">
        <f t="shared" si="20"/>
        <v>379</v>
      </c>
      <c r="K352" s="3">
        <f>IF($L352&lt;&gt;"", IF($H352="A VISTA", "", IF($H352="1+1", $C352 + CADASTROS!$C$4, IF($H352="1+2", $C352 + CADASTROS!$C$5, IF($H352="1+3", $C352 + CADASTROS!$E$4, "")))), "")</f>
        <v>45491</v>
      </c>
      <c r="L352" s="8">
        <f t="shared" si="21"/>
        <v>379</v>
      </c>
      <c r="M352" s="3" t="str">
        <f>IF($N352&lt;&gt;"", IF($H352="A VISTA", "", IF($H352="1+1", $C352 + CADASTROS!$C$4, IF($H352="1+2", $C352 + CADASTROS!$D$5, IF($H352="1+3", $C352 + CADASTROS!$D$6, "")))), "")</f>
        <v/>
      </c>
      <c r="N352" s="8" t="str">
        <f t="shared" si="22"/>
        <v/>
      </c>
      <c r="O352" s="3" t="str">
        <f>IF($P352&lt;&gt;"", IF($H352="A VISTA", "", IF($H352="1+1", $C352 + CADASTROS!$C$4, IF($H352="1+2", $C352 + CADASTROS!$C$5, IF($H352="1+3", $C352 + CADASTROS!$E$6, "")))), "")</f>
        <v/>
      </c>
      <c r="P352" s="8" t="str">
        <f t="shared" si="23"/>
        <v/>
      </c>
    </row>
    <row r="353" spans="1:16">
      <c r="A353" s="2" t="s">
        <v>488</v>
      </c>
      <c r="B353" s="6" t="s">
        <v>24</v>
      </c>
      <c r="C353" s="7">
        <v>45379</v>
      </c>
      <c r="D353" s="7" t="s">
        <v>73</v>
      </c>
      <c r="E353" s="4" t="s">
        <v>112</v>
      </c>
      <c r="F353" s="4" t="s">
        <v>122</v>
      </c>
      <c r="G353" s="8">
        <v>4543</v>
      </c>
      <c r="H353" s="8" t="s">
        <v>126</v>
      </c>
      <c r="I353" s="3">
        <f>IF($H353="A VISTA", C353 + CADASTROS!$B$3, IF($H353="1+1", C353 + CADASTROS!$B$4, IF(H353="1+2", C353 + CADASTROS!$B$5, IF(H353="1+3", C353 + CADASTROS!$B$6, ""))))</f>
        <v>45380</v>
      </c>
      <c r="J353" s="8">
        <f t="shared" si="20"/>
        <v>4543</v>
      </c>
      <c r="K353" s="3" t="str">
        <f>IF($L353&lt;&gt;"", IF($H353="A VISTA", "", IF($H353="1+1", $C353 + CADASTROS!$C$4, IF($H353="1+2", $C353 + CADASTROS!$C$5, IF($H353="1+3", $C353 + CADASTROS!$E$4, "")))), "")</f>
        <v/>
      </c>
      <c r="L353" s="8" t="str">
        <f t="shared" si="21"/>
        <v/>
      </c>
      <c r="M353" s="3" t="str">
        <f>IF($N353&lt;&gt;"", IF($H353="A VISTA", "", IF($H353="1+1", $C353 + CADASTROS!$C$4, IF($H353="1+2", $C353 + CADASTROS!$D$5, IF($H353="1+3", $C353 + CADASTROS!$D$6, "")))), "")</f>
        <v/>
      </c>
      <c r="N353" s="8" t="str">
        <f t="shared" si="22"/>
        <v/>
      </c>
      <c r="O353" s="3" t="str">
        <f>IF($P353&lt;&gt;"", IF($H353="A VISTA", "", IF($H353="1+1", $C353 + CADASTROS!$C$4, IF($H353="1+2", $C353 + CADASTROS!$C$5, IF($H353="1+3", $C353 + CADASTROS!$E$6, "")))), "")</f>
        <v/>
      </c>
      <c r="P353" s="8" t="str">
        <f t="shared" si="23"/>
        <v/>
      </c>
    </row>
    <row r="354" spans="1:16">
      <c r="A354" s="2" t="s">
        <v>489</v>
      </c>
      <c r="B354" s="6" t="s">
        <v>28</v>
      </c>
      <c r="C354" s="7">
        <v>45199</v>
      </c>
      <c r="D354" s="7" t="s">
        <v>77</v>
      </c>
      <c r="E354" s="4" t="s">
        <v>110</v>
      </c>
      <c r="F354" s="4" t="s">
        <v>114</v>
      </c>
      <c r="G354" s="8">
        <v>7578</v>
      </c>
      <c r="H354" s="8" t="s">
        <v>126</v>
      </c>
      <c r="I354" s="3">
        <f>IF($H354="A VISTA", C354 + CADASTROS!$B$3, IF($H354="1+1", C354 + CADASTROS!$B$4, IF(H354="1+2", C354 + CADASTROS!$B$5, IF(H354="1+3", C354 + CADASTROS!$B$6, ""))))</f>
        <v>45200</v>
      </c>
      <c r="J354" s="8">
        <f t="shared" si="20"/>
        <v>7578</v>
      </c>
      <c r="K354" s="3" t="str">
        <f>IF($L354&lt;&gt;"", IF($H354="A VISTA", "", IF($H354="1+1", $C354 + CADASTROS!$C$4, IF($H354="1+2", $C354 + CADASTROS!$C$5, IF($H354="1+3", $C354 + CADASTROS!$E$4, "")))), "")</f>
        <v/>
      </c>
      <c r="L354" s="8" t="str">
        <f t="shared" si="21"/>
        <v/>
      </c>
      <c r="M354" s="3" t="str">
        <f>IF($N354&lt;&gt;"", IF($H354="A VISTA", "", IF($H354="1+1", $C354 + CADASTROS!$C$4, IF($H354="1+2", $C354 + CADASTROS!$D$5, IF($H354="1+3", $C354 + CADASTROS!$D$6, "")))), "")</f>
        <v/>
      </c>
      <c r="N354" s="8" t="str">
        <f t="shared" si="22"/>
        <v/>
      </c>
      <c r="O354" s="3" t="str">
        <f>IF($P354&lt;&gt;"", IF($H354="A VISTA", "", IF($H354="1+1", $C354 + CADASTROS!$C$4, IF($H354="1+2", $C354 + CADASTROS!$C$5, IF($H354="1+3", $C354 + CADASTROS!$E$6, "")))), "")</f>
        <v/>
      </c>
      <c r="P354" s="8" t="str">
        <f t="shared" si="23"/>
        <v/>
      </c>
    </row>
    <row r="355" spans="1:16">
      <c r="A355" s="2" t="s">
        <v>490</v>
      </c>
      <c r="B355" s="6" t="s">
        <v>19</v>
      </c>
      <c r="C355" s="7">
        <v>45243</v>
      </c>
      <c r="D355" s="7" t="s">
        <v>68</v>
      </c>
      <c r="E355" s="4" t="s">
        <v>111</v>
      </c>
      <c r="F355" s="4" t="s">
        <v>118</v>
      </c>
      <c r="G355" s="8">
        <v>4592</v>
      </c>
      <c r="H355" s="8" t="s">
        <v>137</v>
      </c>
      <c r="I355" s="3">
        <f>IF($H355="A VISTA", C355 + CADASTROS!$B$3, IF($H355="1+1", C355 + CADASTROS!$B$4, IF(H355="1+2", C355 + CADASTROS!$B$5, IF(H355="1+3", C355 + CADASTROS!$B$6, ""))))</f>
        <v>45244</v>
      </c>
      <c r="J355" s="8">
        <f t="shared" si="20"/>
        <v>1530.6666666666667</v>
      </c>
      <c r="K355" s="3">
        <f>IF($L355&lt;&gt;"", IF($H355="A VISTA", "", IF($H355="1+1", $C355 + CADASTROS!$C$4, IF($H355="1+2", $C355 + CADASTROS!$C$5, IF($H355="1+3", $C355 + CADASTROS!$E$4, "")))), "")</f>
        <v>45273</v>
      </c>
      <c r="L355" s="8">
        <f t="shared" si="21"/>
        <v>1530.6666666666667</v>
      </c>
      <c r="M355" s="3">
        <f>IF($N355&lt;&gt;"", IF($H355="A VISTA", "", IF($H355="1+1", $C355 + CADASTROS!$C$4, IF($H355="1+2", $C355 + CADASTROS!$D$5, IF($H355="1+3", $C355 + CADASTROS!$D$6, "")))), "")</f>
        <v>45288</v>
      </c>
      <c r="N355" s="8">
        <f t="shared" si="22"/>
        <v>1530.6666666666663</v>
      </c>
      <c r="O355" s="3" t="str">
        <f>IF($P355&lt;&gt;"", IF($H355="A VISTA", "", IF($H355="1+1", $C355 + CADASTROS!$C$4, IF($H355="1+2", $C355 + CADASTROS!$C$5, IF($H355="1+3", $C355 + CADASTROS!$E$6, "")))), "")</f>
        <v/>
      </c>
      <c r="P355" s="8" t="str">
        <f t="shared" si="23"/>
        <v/>
      </c>
    </row>
    <row r="356" spans="1:16">
      <c r="A356" s="2" t="s">
        <v>491</v>
      </c>
      <c r="B356" s="6" t="s">
        <v>37</v>
      </c>
      <c r="C356" s="7">
        <v>45183</v>
      </c>
      <c r="D356" s="7" t="s">
        <v>86</v>
      </c>
      <c r="E356" s="4" t="s">
        <v>112</v>
      </c>
      <c r="F356" s="4" t="s">
        <v>123</v>
      </c>
      <c r="G356" s="8">
        <v>5792</v>
      </c>
      <c r="H356" s="8" t="s">
        <v>126</v>
      </c>
      <c r="I356" s="3">
        <f>IF($H356="A VISTA", C356 + CADASTROS!$B$3, IF($H356="1+1", C356 + CADASTROS!$B$4, IF(H356="1+2", C356 + CADASTROS!$B$5, IF(H356="1+3", C356 + CADASTROS!$B$6, ""))))</f>
        <v>45184</v>
      </c>
      <c r="J356" s="8">
        <f t="shared" si="20"/>
        <v>5792</v>
      </c>
      <c r="K356" s="3" t="str">
        <f>IF($L356&lt;&gt;"", IF($H356="A VISTA", "", IF($H356="1+1", $C356 + CADASTROS!$C$4, IF($H356="1+2", $C356 + CADASTROS!$C$5, IF($H356="1+3", $C356 + CADASTROS!$E$4, "")))), "")</f>
        <v/>
      </c>
      <c r="L356" s="8" t="str">
        <f t="shared" si="21"/>
        <v/>
      </c>
      <c r="M356" s="3" t="str">
        <f>IF($N356&lt;&gt;"", IF($H356="A VISTA", "", IF($H356="1+1", $C356 + CADASTROS!$C$4, IF($H356="1+2", $C356 + CADASTROS!$D$5, IF($H356="1+3", $C356 + CADASTROS!$D$6, "")))), "")</f>
        <v/>
      </c>
      <c r="N356" s="8" t="str">
        <f t="shared" si="22"/>
        <v/>
      </c>
      <c r="O356" s="3" t="str">
        <f>IF($P356&lt;&gt;"", IF($H356="A VISTA", "", IF($H356="1+1", $C356 + CADASTROS!$C$4, IF($H356="1+2", $C356 + CADASTROS!$C$5, IF($H356="1+3", $C356 + CADASTROS!$E$6, "")))), "")</f>
        <v/>
      </c>
      <c r="P356" s="8" t="str">
        <f t="shared" si="23"/>
        <v/>
      </c>
    </row>
    <row r="357" spans="1:16">
      <c r="A357" s="2" t="s">
        <v>492</v>
      </c>
      <c r="B357" s="6" t="s">
        <v>57</v>
      </c>
      <c r="C357" s="7">
        <v>45311</v>
      </c>
      <c r="D357" s="7" t="s">
        <v>106</v>
      </c>
      <c r="E357" s="4" t="s">
        <v>112</v>
      </c>
      <c r="F357" s="4" t="s">
        <v>122</v>
      </c>
      <c r="G357" s="8">
        <v>616</v>
      </c>
      <c r="H357" s="8" t="s">
        <v>126</v>
      </c>
      <c r="I357" s="3">
        <f>IF($H357="A VISTA", C357 + CADASTROS!$B$3, IF($H357="1+1", C357 + CADASTROS!$B$4, IF(H357="1+2", C357 + CADASTROS!$B$5, IF(H357="1+3", C357 + CADASTROS!$B$6, ""))))</f>
        <v>45312</v>
      </c>
      <c r="J357" s="8">
        <f t="shared" si="20"/>
        <v>616</v>
      </c>
      <c r="K357" s="3" t="str">
        <f>IF($L357&lt;&gt;"", IF($H357="A VISTA", "", IF($H357="1+1", $C357 + CADASTROS!$C$4, IF($H357="1+2", $C357 + CADASTROS!$C$5, IF($H357="1+3", $C357 + CADASTROS!$E$4, "")))), "")</f>
        <v/>
      </c>
      <c r="L357" s="8" t="str">
        <f t="shared" si="21"/>
        <v/>
      </c>
      <c r="M357" s="3" t="str">
        <f>IF($N357&lt;&gt;"", IF($H357="A VISTA", "", IF($H357="1+1", $C357 + CADASTROS!$C$4, IF($H357="1+2", $C357 + CADASTROS!$D$5, IF($H357="1+3", $C357 + CADASTROS!$D$6, "")))), "")</f>
        <v/>
      </c>
      <c r="N357" s="8" t="str">
        <f t="shared" si="22"/>
        <v/>
      </c>
      <c r="O357" s="3" t="str">
        <f>IF($P357&lt;&gt;"", IF($H357="A VISTA", "", IF($H357="1+1", $C357 + CADASTROS!$C$4, IF($H357="1+2", $C357 + CADASTROS!$C$5, IF($H357="1+3", $C357 + CADASTROS!$E$6, "")))), "")</f>
        <v/>
      </c>
      <c r="P357" s="8" t="str">
        <f t="shared" si="23"/>
        <v/>
      </c>
    </row>
    <row r="358" spans="1:16">
      <c r="A358" s="2" t="s">
        <v>493</v>
      </c>
      <c r="B358" s="6" t="s">
        <v>21</v>
      </c>
      <c r="C358" s="7">
        <v>45478</v>
      </c>
      <c r="D358" s="7" t="s">
        <v>70</v>
      </c>
      <c r="E358" s="4" t="s">
        <v>110</v>
      </c>
      <c r="F358" s="4" t="s">
        <v>124</v>
      </c>
      <c r="G358" s="8">
        <v>4140</v>
      </c>
      <c r="H358" s="8" t="s">
        <v>126</v>
      </c>
      <c r="I358" s="3">
        <f>IF($H358="A VISTA", C358 + CADASTROS!$B$3, IF($H358="1+1", C358 + CADASTROS!$B$4, IF(H358="1+2", C358 + CADASTROS!$B$5, IF(H358="1+3", C358 + CADASTROS!$B$6, ""))))</f>
        <v>45479</v>
      </c>
      <c r="J358" s="8">
        <f t="shared" si="20"/>
        <v>4140</v>
      </c>
      <c r="K358" s="3" t="str">
        <f>IF($L358&lt;&gt;"", IF($H358="A VISTA", "", IF($H358="1+1", $C358 + CADASTROS!$C$4, IF($H358="1+2", $C358 + CADASTROS!$C$5, IF($H358="1+3", $C358 + CADASTROS!$E$4, "")))), "")</f>
        <v/>
      </c>
      <c r="L358" s="8" t="str">
        <f t="shared" si="21"/>
        <v/>
      </c>
      <c r="M358" s="3" t="str">
        <f>IF($N358&lt;&gt;"", IF($H358="A VISTA", "", IF($H358="1+1", $C358 + CADASTROS!$C$4, IF($H358="1+2", $C358 + CADASTROS!$D$5, IF($H358="1+3", $C358 + CADASTROS!$D$6, "")))), "")</f>
        <v/>
      </c>
      <c r="N358" s="8" t="str">
        <f t="shared" si="22"/>
        <v/>
      </c>
      <c r="O358" s="3" t="str">
        <f>IF($P358&lt;&gt;"", IF($H358="A VISTA", "", IF($H358="1+1", $C358 + CADASTROS!$C$4, IF($H358="1+2", $C358 + CADASTROS!$C$5, IF($H358="1+3", $C358 + CADASTROS!$E$6, "")))), "")</f>
        <v/>
      </c>
      <c r="P358" s="8" t="str">
        <f t="shared" si="23"/>
        <v/>
      </c>
    </row>
    <row r="359" spans="1:16">
      <c r="A359" s="2" t="s">
        <v>494</v>
      </c>
      <c r="B359" s="6" t="s">
        <v>30</v>
      </c>
      <c r="C359" s="7">
        <v>45252</v>
      </c>
      <c r="D359" s="7" t="s">
        <v>79</v>
      </c>
      <c r="E359" s="4" t="s">
        <v>111</v>
      </c>
      <c r="F359" s="4" t="s">
        <v>118</v>
      </c>
      <c r="G359" s="8">
        <v>9229</v>
      </c>
      <c r="H359" s="8" t="s">
        <v>138</v>
      </c>
      <c r="I359" s="3">
        <f>IF($H359="A VISTA", C359 + CADASTROS!$B$3, IF($H359="1+1", C359 + CADASTROS!$B$4, IF(H359="1+2", C359 + CADASTROS!$B$5, IF(H359="1+3", C359 + CADASTROS!$B$6, ""))))</f>
        <v>45253</v>
      </c>
      <c r="J359" s="8">
        <f t="shared" si="20"/>
        <v>4614.5</v>
      </c>
      <c r="K359" s="3">
        <f>IF($L359&lt;&gt;"", IF($H359="A VISTA", "", IF($H359="1+1", $C359 + CADASTROS!$C$4, IF($H359="1+2", $C359 + CADASTROS!$C$5, IF($H359="1+3", $C359 + CADASTROS!$E$4, "")))), "")</f>
        <v>45282</v>
      </c>
      <c r="L359" s="8">
        <f t="shared" si="21"/>
        <v>4614.5</v>
      </c>
      <c r="M359" s="3" t="str">
        <f>IF($N359&lt;&gt;"", IF($H359="A VISTA", "", IF($H359="1+1", $C359 + CADASTROS!$C$4, IF($H359="1+2", $C359 + CADASTROS!$D$5, IF($H359="1+3", $C359 + CADASTROS!$D$6, "")))), "")</f>
        <v/>
      </c>
      <c r="N359" s="8" t="str">
        <f t="shared" si="22"/>
        <v/>
      </c>
      <c r="O359" s="3" t="str">
        <f>IF($P359&lt;&gt;"", IF($H359="A VISTA", "", IF($H359="1+1", $C359 + CADASTROS!$C$4, IF($H359="1+2", $C359 + CADASTROS!$C$5, IF($H359="1+3", $C359 + CADASTROS!$E$6, "")))), "")</f>
        <v/>
      </c>
      <c r="P359" s="8" t="str">
        <f t="shared" si="23"/>
        <v/>
      </c>
    </row>
    <row r="360" spans="1:16">
      <c r="A360" s="2" t="s">
        <v>495</v>
      </c>
      <c r="B360" s="6" t="s">
        <v>16</v>
      </c>
      <c r="C360" s="7">
        <v>45061</v>
      </c>
      <c r="D360" s="7" t="s">
        <v>65</v>
      </c>
      <c r="E360" s="4" t="s">
        <v>110</v>
      </c>
      <c r="F360" s="4" t="s">
        <v>125</v>
      </c>
      <c r="G360" s="8">
        <v>3522</v>
      </c>
      <c r="H360" s="8" t="s">
        <v>138</v>
      </c>
      <c r="I360" s="3">
        <f>IF($H360="A VISTA", C360 + CADASTROS!$B$3, IF($H360="1+1", C360 + CADASTROS!$B$4, IF(H360="1+2", C360 + CADASTROS!$B$5, IF(H360="1+3", C360 + CADASTROS!$B$6, ""))))</f>
        <v>45062</v>
      </c>
      <c r="J360" s="8">
        <f t="shared" si="20"/>
        <v>1761</v>
      </c>
      <c r="K360" s="3">
        <f>IF($L360&lt;&gt;"", IF($H360="A VISTA", "", IF($H360="1+1", $C360 + CADASTROS!$C$4, IF($H360="1+2", $C360 + CADASTROS!$C$5, IF($H360="1+3", $C360 + CADASTROS!$E$4, "")))), "")</f>
        <v>45091</v>
      </c>
      <c r="L360" s="8">
        <f t="shared" si="21"/>
        <v>1761</v>
      </c>
      <c r="M360" s="3" t="str">
        <f>IF($N360&lt;&gt;"", IF($H360="A VISTA", "", IF($H360="1+1", $C360 + CADASTROS!$C$4, IF($H360="1+2", $C360 + CADASTROS!$D$5, IF($H360="1+3", $C360 + CADASTROS!$D$6, "")))), "")</f>
        <v/>
      </c>
      <c r="N360" s="8" t="str">
        <f t="shared" si="22"/>
        <v/>
      </c>
      <c r="O360" s="3" t="str">
        <f>IF($P360&lt;&gt;"", IF($H360="A VISTA", "", IF($H360="1+1", $C360 + CADASTROS!$C$4, IF($H360="1+2", $C360 + CADASTROS!$C$5, IF($H360="1+3", $C360 + CADASTROS!$E$6, "")))), "")</f>
        <v/>
      </c>
      <c r="P360" s="8" t="str">
        <f t="shared" si="23"/>
        <v/>
      </c>
    </row>
    <row r="361" spans="1:16">
      <c r="A361" s="2" t="s">
        <v>496</v>
      </c>
      <c r="B361" s="6" t="s">
        <v>44</v>
      </c>
      <c r="C361" s="7">
        <v>45479</v>
      </c>
      <c r="D361" s="7" t="s">
        <v>93</v>
      </c>
      <c r="E361" s="4" t="s">
        <v>111</v>
      </c>
      <c r="F361" s="4" t="s">
        <v>119</v>
      </c>
      <c r="G361" s="8">
        <v>7682</v>
      </c>
      <c r="H361" s="8" t="s">
        <v>126</v>
      </c>
      <c r="I361" s="3">
        <f>IF($H361="A VISTA", C361 + CADASTROS!$B$3, IF($H361="1+1", C361 + CADASTROS!$B$4, IF(H361="1+2", C361 + CADASTROS!$B$5, IF(H361="1+3", C361 + CADASTROS!$B$6, ""))))</f>
        <v>45480</v>
      </c>
      <c r="J361" s="8">
        <f t="shared" si="20"/>
        <v>7682</v>
      </c>
      <c r="K361" s="3" t="str">
        <f>IF($L361&lt;&gt;"", IF($H361="A VISTA", "", IF($H361="1+1", $C361 + CADASTROS!$C$4, IF($H361="1+2", $C361 + CADASTROS!$C$5, IF($H361="1+3", $C361 + CADASTROS!$E$4, "")))), "")</f>
        <v/>
      </c>
      <c r="L361" s="8" t="str">
        <f t="shared" si="21"/>
        <v/>
      </c>
      <c r="M361" s="3" t="str">
        <f>IF($N361&lt;&gt;"", IF($H361="A VISTA", "", IF($H361="1+1", $C361 + CADASTROS!$C$4, IF($H361="1+2", $C361 + CADASTROS!$D$5, IF($H361="1+3", $C361 + CADASTROS!$D$6, "")))), "")</f>
        <v/>
      </c>
      <c r="N361" s="8" t="str">
        <f t="shared" si="22"/>
        <v/>
      </c>
      <c r="O361" s="3" t="str">
        <f>IF($P361&lt;&gt;"", IF($H361="A VISTA", "", IF($H361="1+1", $C361 + CADASTROS!$C$4, IF($H361="1+2", $C361 + CADASTROS!$C$5, IF($H361="1+3", $C361 + CADASTROS!$E$6, "")))), "")</f>
        <v/>
      </c>
      <c r="P361" s="8" t="str">
        <f t="shared" si="23"/>
        <v/>
      </c>
    </row>
    <row r="362" spans="1:16">
      <c r="A362" s="2" t="s">
        <v>497</v>
      </c>
      <c r="B362" s="6" t="s">
        <v>45</v>
      </c>
      <c r="C362" s="7">
        <v>45302</v>
      </c>
      <c r="D362" s="7" t="s">
        <v>94</v>
      </c>
      <c r="E362" s="4" t="s">
        <v>110</v>
      </c>
      <c r="F362" s="4" t="s">
        <v>113</v>
      </c>
      <c r="G362" s="8">
        <v>1237</v>
      </c>
      <c r="H362" s="8" t="s">
        <v>138</v>
      </c>
      <c r="I362" s="3">
        <f>IF($H362="A VISTA", C362 + CADASTROS!$B$3, IF($H362="1+1", C362 + CADASTROS!$B$4, IF(H362="1+2", C362 + CADASTROS!$B$5, IF(H362="1+3", C362 + CADASTROS!$B$6, ""))))</f>
        <v>45303</v>
      </c>
      <c r="J362" s="8">
        <f t="shared" si="20"/>
        <v>618.5</v>
      </c>
      <c r="K362" s="3">
        <f>IF($L362&lt;&gt;"", IF($H362="A VISTA", "", IF($H362="1+1", $C362 + CADASTROS!$C$4, IF($H362="1+2", $C362 + CADASTROS!$C$5, IF($H362="1+3", $C362 + CADASTROS!$E$4, "")))), "")</f>
        <v>45332</v>
      </c>
      <c r="L362" s="8">
        <f t="shared" si="21"/>
        <v>618.5</v>
      </c>
      <c r="M362" s="3" t="str">
        <f>IF($N362&lt;&gt;"", IF($H362="A VISTA", "", IF($H362="1+1", $C362 + CADASTROS!$C$4, IF($H362="1+2", $C362 + CADASTROS!$D$5, IF($H362="1+3", $C362 + CADASTROS!$D$6, "")))), "")</f>
        <v/>
      </c>
      <c r="N362" s="8" t="str">
        <f t="shared" si="22"/>
        <v/>
      </c>
      <c r="O362" s="3" t="str">
        <f>IF($P362&lt;&gt;"", IF($H362="A VISTA", "", IF($H362="1+1", $C362 + CADASTROS!$C$4, IF($H362="1+2", $C362 + CADASTROS!$C$5, IF($H362="1+3", $C362 + CADASTROS!$E$6, "")))), "")</f>
        <v/>
      </c>
      <c r="P362" s="8" t="str">
        <f t="shared" si="23"/>
        <v/>
      </c>
    </row>
    <row r="363" spans="1:16">
      <c r="A363" s="2" t="s">
        <v>498</v>
      </c>
      <c r="B363" s="6" t="s">
        <v>33</v>
      </c>
      <c r="C363" s="7">
        <v>45313</v>
      </c>
      <c r="D363" s="7" t="s">
        <v>82</v>
      </c>
      <c r="E363" s="4" t="s">
        <v>111</v>
      </c>
      <c r="F363" s="4" t="s">
        <v>119</v>
      </c>
      <c r="G363" s="8">
        <v>6432</v>
      </c>
      <c r="H363" s="8" t="s">
        <v>136</v>
      </c>
      <c r="I363" s="3">
        <f>IF($H363="A VISTA", C363 + CADASTROS!$B$3, IF($H363="1+1", C363 + CADASTROS!$B$4, IF(H363="1+2", C363 + CADASTROS!$B$5, IF(H363="1+3", C363 + CADASTROS!$B$6, ""))))</f>
        <v>45314</v>
      </c>
      <c r="J363" s="8">
        <f t="shared" si="20"/>
        <v>1608</v>
      </c>
      <c r="K363" s="3">
        <f>IF($L363&lt;&gt;"", IF($H363="A VISTA", "", IF($H363="1+1", $C363 + CADASTROS!$C$4, IF($H363="1+2", $C363 + CADASTROS!$C$5, IF($H363="1+3", $C363 + CADASTROS!$E$4, "")))), "")</f>
        <v>45313</v>
      </c>
      <c r="L363" s="8">
        <f t="shared" si="21"/>
        <v>1608</v>
      </c>
      <c r="M363" s="3">
        <f>IF($N363&lt;&gt;"", IF($H363="A VISTA", "", IF($H363="1+1", $C363 + CADASTROS!$C$4, IF($H363="1+2", $C363 + CADASTROS!$D$5, IF($H363="1+3", $C363 + CADASTROS!$D$6, "")))), "")</f>
        <v>45358</v>
      </c>
      <c r="N363" s="8">
        <f t="shared" si="22"/>
        <v>1608</v>
      </c>
      <c r="O363" s="3">
        <f>IF($P363&lt;&gt;"", IF($H363="A VISTA", "", IF($H363="1+1", $C363 + CADASTROS!$C$4, IF($H363="1+2", $C363 + CADASTROS!$C$5, IF($H363="1+3", $C363 + CADASTROS!$E$6, "")))), "")</f>
        <v>45373</v>
      </c>
      <c r="P363" s="8">
        <f t="shared" si="23"/>
        <v>1608</v>
      </c>
    </row>
    <row r="364" spans="1:16">
      <c r="A364" s="2" t="s">
        <v>499</v>
      </c>
      <c r="B364" s="6" t="s">
        <v>52</v>
      </c>
      <c r="C364" s="7">
        <v>45357</v>
      </c>
      <c r="D364" s="7" t="s">
        <v>101</v>
      </c>
      <c r="E364" s="4" t="s">
        <v>111</v>
      </c>
      <c r="F364" s="4" t="s">
        <v>118</v>
      </c>
      <c r="G364" s="8">
        <v>3676</v>
      </c>
      <c r="H364" s="8" t="s">
        <v>137</v>
      </c>
      <c r="I364" s="3">
        <f>IF($H364="A VISTA", C364 + CADASTROS!$B$3, IF($H364="1+1", C364 + CADASTROS!$B$4, IF(H364="1+2", C364 + CADASTROS!$B$5, IF(H364="1+3", C364 + CADASTROS!$B$6, ""))))</f>
        <v>45358</v>
      </c>
      <c r="J364" s="8">
        <f t="shared" si="20"/>
        <v>1225.3333333333333</v>
      </c>
      <c r="K364" s="3">
        <f>IF($L364&lt;&gt;"", IF($H364="A VISTA", "", IF($H364="1+1", $C364 + CADASTROS!$C$4, IF($H364="1+2", $C364 + CADASTROS!$C$5, IF($H364="1+3", $C364 + CADASTROS!$E$4, "")))), "")</f>
        <v>45387</v>
      </c>
      <c r="L364" s="8">
        <f t="shared" si="21"/>
        <v>1225.3333333333333</v>
      </c>
      <c r="M364" s="3">
        <f>IF($N364&lt;&gt;"", IF($H364="A VISTA", "", IF($H364="1+1", $C364 + CADASTROS!$C$4, IF($H364="1+2", $C364 + CADASTROS!$D$5, IF($H364="1+3", $C364 + CADASTROS!$D$6, "")))), "")</f>
        <v>45402</v>
      </c>
      <c r="N364" s="8">
        <f t="shared" si="22"/>
        <v>1225.3333333333337</v>
      </c>
      <c r="O364" s="3" t="str">
        <f>IF($P364&lt;&gt;"", IF($H364="A VISTA", "", IF($H364="1+1", $C364 + CADASTROS!$C$4, IF($H364="1+2", $C364 + CADASTROS!$C$5, IF($H364="1+3", $C364 + CADASTROS!$E$6, "")))), "")</f>
        <v/>
      </c>
      <c r="P364" s="8" t="str">
        <f t="shared" si="23"/>
        <v/>
      </c>
    </row>
    <row r="365" spans="1:16">
      <c r="A365" s="2" t="s">
        <v>500</v>
      </c>
      <c r="B365" s="6" t="s">
        <v>55</v>
      </c>
      <c r="C365" s="7">
        <v>45550</v>
      </c>
      <c r="D365" s="7" t="s">
        <v>104</v>
      </c>
      <c r="E365" s="4" t="s">
        <v>111</v>
      </c>
      <c r="F365" s="4" t="s">
        <v>119</v>
      </c>
      <c r="G365" s="8">
        <v>2707</v>
      </c>
      <c r="H365" s="8" t="s">
        <v>136</v>
      </c>
      <c r="I365" s="3">
        <f>IF($H365="A VISTA", C365 + CADASTROS!$B$3, IF($H365="1+1", C365 + CADASTROS!$B$4, IF(H365="1+2", C365 + CADASTROS!$B$5, IF(H365="1+3", C365 + CADASTROS!$B$6, ""))))</f>
        <v>45551</v>
      </c>
      <c r="J365" s="8">
        <f t="shared" si="20"/>
        <v>676.75</v>
      </c>
      <c r="K365" s="3">
        <f>IF($L365&lt;&gt;"", IF($H365="A VISTA", "", IF($H365="1+1", $C365 + CADASTROS!$C$4, IF($H365="1+2", $C365 + CADASTROS!$C$5, IF($H365="1+3", $C365 + CADASTROS!$E$4, "")))), "")</f>
        <v>45550</v>
      </c>
      <c r="L365" s="8">
        <f t="shared" si="21"/>
        <v>676.75</v>
      </c>
      <c r="M365" s="3">
        <f>IF($N365&lt;&gt;"", IF($H365="A VISTA", "", IF($H365="1+1", $C365 + CADASTROS!$C$4, IF($H365="1+2", $C365 + CADASTROS!$D$5, IF($H365="1+3", $C365 + CADASTROS!$D$6, "")))), "")</f>
        <v>45595</v>
      </c>
      <c r="N365" s="8">
        <f t="shared" si="22"/>
        <v>676.75</v>
      </c>
      <c r="O365" s="3">
        <f>IF($P365&lt;&gt;"", IF($H365="A VISTA", "", IF($H365="1+1", $C365 + CADASTROS!$C$4, IF($H365="1+2", $C365 + CADASTROS!$C$5, IF($H365="1+3", $C365 + CADASTROS!$E$6, "")))), "")</f>
        <v>45610</v>
      </c>
      <c r="P365" s="8">
        <f t="shared" si="23"/>
        <v>676.75</v>
      </c>
    </row>
    <row r="366" spans="1:16">
      <c r="A366" s="2" t="s">
        <v>501</v>
      </c>
      <c r="B366" s="6" t="s">
        <v>47</v>
      </c>
      <c r="C366" s="7">
        <v>45153</v>
      </c>
      <c r="D366" s="7" t="s">
        <v>96</v>
      </c>
      <c r="E366" s="4" t="s">
        <v>111</v>
      </c>
      <c r="F366" s="4" t="s">
        <v>120</v>
      </c>
      <c r="G366" s="8">
        <v>4611</v>
      </c>
      <c r="H366" s="8" t="s">
        <v>136</v>
      </c>
      <c r="I366" s="3">
        <f>IF($H366="A VISTA", C366 + CADASTROS!$B$3, IF($H366="1+1", C366 + CADASTROS!$B$4, IF(H366="1+2", C366 + CADASTROS!$B$5, IF(H366="1+3", C366 + CADASTROS!$B$6, ""))))</f>
        <v>45154</v>
      </c>
      <c r="J366" s="8">
        <f t="shared" si="20"/>
        <v>1152.75</v>
      </c>
      <c r="K366" s="3">
        <f>IF($L366&lt;&gt;"", IF($H366="A VISTA", "", IF($H366="1+1", $C366 + CADASTROS!$C$4, IF($H366="1+2", $C366 + CADASTROS!$C$5, IF($H366="1+3", $C366 + CADASTROS!$E$4, "")))), "")</f>
        <v>45153</v>
      </c>
      <c r="L366" s="8">
        <f t="shared" si="21"/>
        <v>1152.75</v>
      </c>
      <c r="M366" s="3">
        <f>IF($N366&lt;&gt;"", IF($H366="A VISTA", "", IF($H366="1+1", $C366 + CADASTROS!$C$4, IF($H366="1+2", $C366 + CADASTROS!$D$5, IF($H366="1+3", $C366 + CADASTROS!$D$6, "")))), "")</f>
        <v>45198</v>
      </c>
      <c r="N366" s="8">
        <f t="shared" si="22"/>
        <v>1152.75</v>
      </c>
      <c r="O366" s="3">
        <f>IF($P366&lt;&gt;"", IF($H366="A VISTA", "", IF($H366="1+1", $C366 + CADASTROS!$C$4, IF($H366="1+2", $C366 + CADASTROS!$C$5, IF($H366="1+3", $C366 + CADASTROS!$E$6, "")))), "")</f>
        <v>45213</v>
      </c>
      <c r="P366" s="8">
        <f t="shared" si="23"/>
        <v>1152.75</v>
      </c>
    </row>
    <row r="367" spans="1:16">
      <c r="A367" s="2" t="s">
        <v>502</v>
      </c>
      <c r="B367" s="6" t="s">
        <v>57</v>
      </c>
      <c r="C367" s="7">
        <v>45503</v>
      </c>
      <c r="D367" s="7" t="s">
        <v>106</v>
      </c>
      <c r="E367" s="4" t="s">
        <v>112</v>
      </c>
      <c r="F367" s="4" t="s">
        <v>122</v>
      </c>
      <c r="G367" s="8">
        <v>7421</v>
      </c>
      <c r="H367" s="8" t="s">
        <v>126</v>
      </c>
      <c r="I367" s="3">
        <f>IF($H367="A VISTA", C367 + CADASTROS!$B$3, IF($H367="1+1", C367 + CADASTROS!$B$4, IF(H367="1+2", C367 + CADASTROS!$B$5, IF(H367="1+3", C367 + CADASTROS!$B$6, ""))))</f>
        <v>45504</v>
      </c>
      <c r="J367" s="8">
        <f t="shared" si="20"/>
        <v>7421</v>
      </c>
      <c r="K367" s="3" t="str">
        <f>IF($L367&lt;&gt;"", IF($H367="A VISTA", "", IF($H367="1+1", $C367 + CADASTROS!$C$4, IF($H367="1+2", $C367 + CADASTROS!$C$5, IF($H367="1+3", $C367 + CADASTROS!$E$4, "")))), "")</f>
        <v/>
      </c>
      <c r="L367" s="8" t="str">
        <f t="shared" si="21"/>
        <v/>
      </c>
      <c r="M367" s="3" t="str">
        <f>IF($N367&lt;&gt;"", IF($H367="A VISTA", "", IF($H367="1+1", $C367 + CADASTROS!$C$4, IF($H367="1+2", $C367 + CADASTROS!$D$5, IF($H367="1+3", $C367 + CADASTROS!$D$6, "")))), "")</f>
        <v/>
      </c>
      <c r="N367" s="8" t="str">
        <f t="shared" si="22"/>
        <v/>
      </c>
      <c r="O367" s="3" t="str">
        <f>IF($P367&lt;&gt;"", IF($H367="A VISTA", "", IF($H367="1+1", $C367 + CADASTROS!$C$4, IF($H367="1+2", $C367 + CADASTROS!$C$5, IF($H367="1+3", $C367 + CADASTROS!$E$6, "")))), "")</f>
        <v/>
      </c>
      <c r="P367" s="8" t="str">
        <f t="shared" si="23"/>
        <v/>
      </c>
    </row>
    <row r="368" spans="1:16">
      <c r="A368" s="2" t="s">
        <v>503</v>
      </c>
      <c r="B368" s="6" t="s">
        <v>34</v>
      </c>
      <c r="C368" s="7">
        <v>45194</v>
      </c>
      <c r="D368" s="7" t="s">
        <v>83</v>
      </c>
      <c r="E368" s="4" t="s">
        <v>110</v>
      </c>
      <c r="F368" s="4" t="s">
        <v>113</v>
      </c>
      <c r="G368" s="8">
        <v>9599</v>
      </c>
      <c r="H368" s="8" t="s">
        <v>126</v>
      </c>
      <c r="I368" s="3">
        <f>IF($H368="A VISTA", C368 + CADASTROS!$B$3, IF($H368="1+1", C368 + CADASTROS!$B$4, IF(H368="1+2", C368 + CADASTROS!$B$5, IF(H368="1+3", C368 + CADASTROS!$B$6, ""))))</f>
        <v>45195</v>
      </c>
      <c r="J368" s="8">
        <f t="shared" si="20"/>
        <v>9599</v>
      </c>
      <c r="K368" s="3" t="str">
        <f>IF($L368&lt;&gt;"", IF($H368="A VISTA", "", IF($H368="1+1", $C368 + CADASTROS!$C$4, IF($H368="1+2", $C368 + CADASTROS!$C$5, IF($H368="1+3", $C368 + CADASTROS!$E$4, "")))), "")</f>
        <v/>
      </c>
      <c r="L368" s="8" t="str">
        <f t="shared" si="21"/>
        <v/>
      </c>
      <c r="M368" s="3" t="str">
        <f>IF($N368&lt;&gt;"", IF($H368="A VISTA", "", IF($H368="1+1", $C368 + CADASTROS!$C$4, IF($H368="1+2", $C368 + CADASTROS!$D$5, IF($H368="1+3", $C368 + CADASTROS!$D$6, "")))), "")</f>
        <v/>
      </c>
      <c r="N368" s="8" t="str">
        <f t="shared" si="22"/>
        <v/>
      </c>
      <c r="O368" s="3" t="str">
        <f>IF($P368&lt;&gt;"", IF($H368="A VISTA", "", IF($H368="1+1", $C368 + CADASTROS!$C$4, IF($H368="1+2", $C368 + CADASTROS!$C$5, IF($H368="1+3", $C368 + CADASTROS!$E$6, "")))), "")</f>
        <v/>
      </c>
      <c r="P368" s="8" t="str">
        <f t="shared" si="23"/>
        <v/>
      </c>
    </row>
    <row r="369" spans="1:16">
      <c r="A369" s="2" t="s">
        <v>504</v>
      </c>
      <c r="B369" s="6" t="s">
        <v>13</v>
      </c>
      <c r="C369" s="7">
        <v>45314</v>
      </c>
      <c r="D369" s="7" t="s">
        <v>63</v>
      </c>
      <c r="E369" s="4" t="s">
        <v>111</v>
      </c>
      <c r="F369" s="4" t="s">
        <v>120</v>
      </c>
      <c r="G369" s="8">
        <v>5255</v>
      </c>
      <c r="H369" s="8" t="s">
        <v>138</v>
      </c>
      <c r="I369" s="3">
        <f>IF($H369="A VISTA", C369 + CADASTROS!$B$3, IF($H369="1+1", C369 + CADASTROS!$B$4, IF(H369="1+2", C369 + CADASTROS!$B$5, IF(H369="1+3", C369 + CADASTROS!$B$6, ""))))</f>
        <v>45315</v>
      </c>
      <c r="J369" s="8">
        <f t="shared" si="20"/>
        <v>2627.5</v>
      </c>
      <c r="K369" s="3">
        <f>IF($L369&lt;&gt;"", IF($H369="A VISTA", "", IF($H369="1+1", $C369 + CADASTROS!$C$4, IF($H369="1+2", $C369 + CADASTROS!$C$5, IF($H369="1+3", $C369 + CADASTROS!$E$4, "")))), "")</f>
        <v>45344</v>
      </c>
      <c r="L369" s="8">
        <f t="shared" si="21"/>
        <v>2627.5</v>
      </c>
      <c r="M369" s="3" t="str">
        <f>IF($N369&lt;&gt;"", IF($H369="A VISTA", "", IF($H369="1+1", $C369 + CADASTROS!$C$4, IF($H369="1+2", $C369 + CADASTROS!$D$5, IF($H369="1+3", $C369 + CADASTROS!$D$6, "")))), "")</f>
        <v/>
      </c>
      <c r="N369" s="8" t="str">
        <f t="shared" si="22"/>
        <v/>
      </c>
      <c r="O369" s="3" t="str">
        <f>IF($P369&lt;&gt;"", IF($H369="A VISTA", "", IF($H369="1+1", $C369 + CADASTROS!$C$4, IF($H369="1+2", $C369 + CADASTROS!$C$5, IF($H369="1+3", $C369 + CADASTROS!$E$6, "")))), "")</f>
        <v/>
      </c>
      <c r="P369" s="8" t="str">
        <f t="shared" si="23"/>
        <v/>
      </c>
    </row>
    <row r="370" spans="1:16">
      <c r="A370" s="2" t="s">
        <v>505</v>
      </c>
      <c r="B370" s="6" t="s">
        <v>34</v>
      </c>
      <c r="C370" s="7">
        <v>45164</v>
      </c>
      <c r="D370" s="7" t="s">
        <v>83</v>
      </c>
      <c r="E370" s="4" t="s">
        <v>110</v>
      </c>
      <c r="F370" s="4" t="s">
        <v>113</v>
      </c>
      <c r="G370" s="8">
        <v>3320</v>
      </c>
      <c r="H370" s="8" t="s">
        <v>137</v>
      </c>
      <c r="I370" s="3">
        <f>IF($H370="A VISTA", C370 + CADASTROS!$B$3, IF($H370="1+1", C370 + CADASTROS!$B$4, IF(H370="1+2", C370 + CADASTROS!$B$5, IF(H370="1+3", C370 + CADASTROS!$B$6, ""))))</f>
        <v>45165</v>
      </c>
      <c r="J370" s="8">
        <f t="shared" si="20"/>
        <v>1106.6666666666667</v>
      </c>
      <c r="K370" s="3">
        <f>IF($L370&lt;&gt;"", IF($H370="A VISTA", "", IF($H370="1+1", $C370 + CADASTROS!$C$4, IF($H370="1+2", $C370 + CADASTROS!$C$5, IF($H370="1+3", $C370 + CADASTROS!$E$4, "")))), "")</f>
        <v>45194</v>
      </c>
      <c r="L370" s="8">
        <f t="shared" si="21"/>
        <v>1106.6666666666667</v>
      </c>
      <c r="M370" s="3">
        <f>IF($N370&lt;&gt;"", IF($H370="A VISTA", "", IF($H370="1+1", $C370 + CADASTROS!$C$4, IF($H370="1+2", $C370 + CADASTROS!$D$5, IF($H370="1+3", $C370 + CADASTROS!$D$6, "")))), "")</f>
        <v>45209</v>
      </c>
      <c r="N370" s="8">
        <f t="shared" si="22"/>
        <v>1106.6666666666663</v>
      </c>
      <c r="O370" s="3" t="str">
        <f>IF($P370&lt;&gt;"", IF($H370="A VISTA", "", IF($H370="1+1", $C370 + CADASTROS!$C$4, IF($H370="1+2", $C370 + CADASTROS!$C$5, IF($H370="1+3", $C370 + CADASTROS!$E$6, "")))), "")</f>
        <v/>
      </c>
      <c r="P370" s="8" t="str">
        <f t="shared" si="23"/>
        <v/>
      </c>
    </row>
    <row r="371" spans="1:16">
      <c r="A371" s="2" t="s">
        <v>506</v>
      </c>
      <c r="B371" s="6" t="s">
        <v>45</v>
      </c>
      <c r="C371" s="7">
        <v>45041</v>
      </c>
      <c r="D371" s="7" t="s">
        <v>94</v>
      </c>
      <c r="E371" s="4" t="s">
        <v>110</v>
      </c>
      <c r="F371" s="4" t="s">
        <v>113</v>
      </c>
      <c r="G371" s="8">
        <v>7447</v>
      </c>
      <c r="H371" s="8" t="s">
        <v>126</v>
      </c>
      <c r="I371" s="3">
        <f>IF($H371="A VISTA", C371 + CADASTROS!$B$3, IF($H371="1+1", C371 + CADASTROS!$B$4, IF(H371="1+2", C371 + CADASTROS!$B$5, IF(H371="1+3", C371 + CADASTROS!$B$6, ""))))</f>
        <v>45042</v>
      </c>
      <c r="J371" s="8">
        <f t="shared" si="20"/>
        <v>7447</v>
      </c>
      <c r="K371" s="3" t="str">
        <f>IF($L371&lt;&gt;"", IF($H371="A VISTA", "", IF($H371="1+1", $C371 + CADASTROS!$C$4, IF($H371="1+2", $C371 + CADASTROS!$C$5, IF($H371="1+3", $C371 + CADASTROS!$E$4, "")))), "")</f>
        <v/>
      </c>
      <c r="L371" s="8" t="str">
        <f t="shared" si="21"/>
        <v/>
      </c>
      <c r="M371" s="3" t="str">
        <f>IF($N371&lt;&gt;"", IF($H371="A VISTA", "", IF($H371="1+1", $C371 + CADASTROS!$C$4, IF($H371="1+2", $C371 + CADASTROS!$D$5, IF($H371="1+3", $C371 + CADASTROS!$D$6, "")))), "")</f>
        <v/>
      </c>
      <c r="N371" s="8" t="str">
        <f t="shared" si="22"/>
        <v/>
      </c>
      <c r="O371" s="3" t="str">
        <f>IF($P371&lt;&gt;"", IF($H371="A VISTA", "", IF($H371="1+1", $C371 + CADASTROS!$C$4, IF($H371="1+2", $C371 + CADASTROS!$C$5, IF($H371="1+3", $C371 + CADASTROS!$E$6, "")))), "")</f>
        <v/>
      </c>
      <c r="P371" s="8" t="str">
        <f t="shared" si="23"/>
        <v/>
      </c>
    </row>
    <row r="372" spans="1:16">
      <c r="A372" s="2" t="s">
        <v>507</v>
      </c>
      <c r="B372" s="6" t="s">
        <v>48</v>
      </c>
      <c r="C372" s="7">
        <v>45516</v>
      </c>
      <c r="D372" s="7" t="s">
        <v>97</v>
      </c>
      <c r="E372" s="4" t="s">
        <v>112</v>
      </c>
      <c r="F372" s="4" t="s">
        <v>123</v>
      </c>
      <c r="G372" s="8">
        <v>3383</v>
      </c>
      <c r="H372" s="8" t="s">
        <v>126</v>
      </c>
      <c r="I372" s="3">
        <f>IF($H372="A VISTA", C372 + CADASTROS!$B$3, IF($H372="1+1", C372 + CADASTROS!$B$4, IF(H372="1+2", C372 + CADASTROS!$B$5, IF(H372="1+3", C372 + CADASTROS!$B$6, ""))))</f>
        <v>45517</v>
      </c>
      <c r="J372" s="8">
        <f t="shared" si="20"/>
        <v>3383</v>
      </c>
      <c r="K372" s="3" t="str">
        <f>IF($L372&lt;&gt;"", IF($H372="A VISTA", "", IF($H372="1+1", $C372 + CADASTROS!$C$4, IF($H372="1+2", $C372 + CADASTROS!$C$5, IF($H372="1+3", $C372 + CADASTROS!$E$4, "")))), "")</f>
        <v/>
      </c>
      <c r="L372" s="8" t="str">
        <f t="shared" si="21"/>
        <v/>
      </c>
      <c r="M372" s="3" t="str">
        <f>IF($N372&lt;&gt;"", IF($H372="A VISTA", "", IF($H372="1+1", $C372 + CADASTROS!$C$4, IF($H372="1+2", $C372 + CADASTROS!$D$5, IF($H372="1+3", $C372 + CADASTROS!$D$6, "")))), "")</f>
        <v/>
      </c>
      <c r="N372" s="8" t="str">
        <f t="shared" si="22"/>
        <v/>
      </c>
      <c r="O372" s="3" t="str">
        <f>IF($P372&lt;&gt;"", IF($H372="A VISTA", "", IF($H372="1+1", $C372 + CADASTROS!$C$4, IF($H372="1+2", $C372 + CADASTROS!$C$5, IF($H372="1+3", $C372 + CADASTROS!$E$6, "")))), "")</f>
        <v/>
      </c>
      <c r="P372" s="8" t="str">
        <f t="shared" si="23"/>
        <v/>
      </c>
    </row>
    <row r="373" spans="1:16">
      <c r="A373" s="2" t="s">
        <v>508</v>
      </c>
      <c r="B373" s="6" t="s">
        <v>16</v>
      </c>
      <c r="C373" s="7">
        <v>45319</v>
      </c>
      <c r="D373" s="7" t="s">
        <v>65</v>
      </c>
      <c r="E373" s="4" t="s">
        <v>110</v>
      </c>
      <c r="F373" s="4" t="s">
        <v>125</v>
      </c>
      <c r="G373" s="8">
        <v>4137</v>
      </c>
      <c r="H373" s="8" t="s">
        <v>136</v>
      </c>
      <c r="I373" s="3">
        <f>IF($H373="A VISTA", C373 + CADASTROS!$B$3, IF($H373="1+1", C373 + CADASTROS!$B$4, IF(H373="1+2", C373 + CADASTROS!$B$5, IF(H373="1+3", C373 + CADASTROS!$B$6, ""))))</f>
        <v>45320</v>
      </c>
      <c r="J373" s="8">
        <f t="shared" si="20"/>
        <v>1034.25</v>
      </c>
      <c r="K373" s="3">
        <f>IF($L373&lt;&gt;"", IF($H373="A VISTA", "", IF($H373="1+1", $C373 + CADASTROS!$C$4, IF($H373="1+2", $C373 + CADASTROS!$C$5, IF($H373="1+3", $C373 + CADASTROS!$E$4, "")))), "")</f>
        <v>45319</v>
      </c>
      <c r="L373" s="8">
        <f t="shared" si="21"/>
        <v>1034.25</v>
      </c>
      <c r="M373" s="3">
        <f>IF($N373&lt;&gt;"", IF($H373="A VISTA", "", IF($H373="1+1", $C373 + CADASTROS!$C$4, IF($H373="1+2", $C373 + CADASTROS!$D$5, IF($H373="1+3", $C373 + CADASTROS!$D$6, "")))), "")</f>
        <v>45364</v>
      </c>
      <c r="N373" s="8">
        <f t="shared" si="22"/>
        <v>1034.25</v>
      </c>
      <c r="O373" s="3">
        <f>IF($P373&lt;&gt;"", IF($H373="A VISTA", "", IF($H373="1+1", $C373 + CADASTROS!$C$4, IF($H373="1+2", $C373 + CADASTROS!$C$5, IF($H373="1+3", $C373 + CADASTROS!$E$6, "")))), "")</f>
        <v>45379</v>
      </c>
      <c r="P373" s="8">
        <f t="shared" si="23"/>
        <v>1034.25</v>
      </c>
    </row>
    <row r="374" spans="1:16">
      <c r="A374" s="2" t="s">
        <v>509</v>
      </c>
      <c r="B374" s="6" t="s">
        <v>17</v>
      </c>
      <c r="C374" s="7">
        <v>45095</v>
      </c>
      <c r="D374" s="7" t="s">
        <v>66</v>
      </c>
      <c r="E374" s="4" t="s">
        <v>110</v>
      </c>
      <c r="F374" s="4" t="s">
        <v>114</v>
      </c>
      <c r="G374" s="8">
        <v>9391</v>
      </c>
      <c r="H374" s="8" t="s">
        <v>126</v>
      </c>
      <c r="I374" s="3">
        <f>IF($H374="A VISTA", C374 + CADASTROS!$B$3, IF($H374="1+1", C374 + CADASTROS!$B$4, IF(H374="1+2", C374 + CADASTROS!$B$5, IF(H374="1+3", C374 + CADASTROS!$B$6, ""))))</f>
        <v>45096</v>
      </c>
      <c r="J374" s="8">
        <f t="shared" si="20"/>
        <v>9391</v>
      </c>
      <c r="K374" s="3" t="str">
        <f>IF($L374&lt;&gt;"", IF($H374="A VISTA", "", IF($H374="1+1", $C374 + CADASTROS!$C$4, IF($H374="1+2", $C374 + CADASTROS!$C$5, IF($H374="1+3", $C374 + CADASTROS!$E$4, "")))), "")</f>
        <v/>
      </c>
      <c r="L374" s="8" t="str">
        <f t="shared" si="21"/>
        <v/>
      </c>
      <c r="M374" s="3" t="str">
        <f>IF($N374&lt;&gt;"", IF($H374="A VISTA", "", IF($H374="1+1", $C374 + CADASTROS!$C$4, IF($H374="1+2", $C374 + CADASTROS!$D$5, IF($H374="1+3", $C374 + CADASTROS!$D$6, "")))), "")</f>
        <v/>
      </c>
      <c r="N374" s="8" t="str">
        <f t="shared" si="22"/>
        <v/>
      </c>
      <c r="O374" s="3" t="str">
        <f>IF($P374&lt;&gt;"", IF($H374="A VISTA", "", IF($H374="1+1", $C374 + CADASTROS!$C$4, IF($H374="1+2", $C374 + CADASTROS!$C$5, IF($H374="1+3", $C374 + CADASTROS!$E$6, "")))), "")</f>
        <v/>
      </c>
      <c r="P374" s="8" t="str">
        <f t="shared" si="23"/>
        <v/>
      </c>
    </row>
    <row r="375" spans="1:16">
      <c r="A375" s="2" t="s">
        <v>510</v>
      </c>
      <c r="B375" s="6" t="s">
        <v>12</v>
      </c>
      <c r="C375" s="7">
        <v>45061</v>
      </c>
      <c r="D375" s="7" t="s">
        <v>62</v>
      </c>
      <c r="E375" s="4" t="s">
        <v>112</v>
      </c>
      <c r="F375" s="4" t="s">
        <v>122</v>
      </c>
      <c r="G375" s="8">
        <v>8548</v>
      </c>
      <c r="H375" s="8" t="s">
        <v>126</v>
      </c>
      <c r="I375" s="3">
        <f>IF($H375="A VISTA", C375 + CADASTROS!$B$3, IF($H375="1+1", C375 + CADASTROS!$B$4, IF(H375="1+2", C375 + CADASTROS!$B$5, IF(H375="1+3", C375 + CADASTROS!$B$6, ""))))</f>
        <v>45062</v>
      </c>
      <c r="J375" s="8">
        <f t="shared" si="20"/>
        <v>8548</v>
      </c>
      <c r="K375" s="3" t="str">
        <f>IF($L375&lt;&gt;"", IF($H375="A VISTA", "", IF($H375="1+1", $C375 + CADASTROS!$C$4, IF($H375="1+2", $C375 + CADASTROS!$C$5, IF($H375="1+3", $C375 + CADASTROS!$E$4, "")))), "")</f>
        <v/>
      </c>
      <c r="L375" s="8" t="str">
        <f t="shared" si="21"/>
        <v/>
      </c>
      <c r="M375" s="3" t="str">
        <f>IF($N375&lt;&gt;"", IF($H375="A VISTA", "", IF($H375="1+1", $C375 + CADASTROS!$C$4, IF($H375="1+2", $C375 + CADASTROS!$D$5, IF($H375="1+3", $C375 + CADASTROS!$D$6, "")))), "")</f>
        <v/>
      </c>
      <c r="N375" s="8" t="str">
        <f t="shared" si="22"/>
        <v/>
      </c>
      <c r="O375" s="3" t="str">
        <f>IF($P375&lt;&gt;"", IF($H375="A VISTA", "", IF($H375="1+1", $C375 + CADASTROS!$C$4, IF($H375="1+2", $C375 + CADASTROS!$C$5, IF($H375="1+3", $C375 + CADASTROS!$E$6, "")))), "")</f>
        <v/>
      </c>
      <c r="P375" s="8" t="str">
        <f t="shared" si="23"/>
        <v/>
      </c>
    </row>
    <row r="376" spans="1:16">
      <c r="A376" s="2" t="s">
        <v>511</v>
      </c>
      <c r="B376" s="6" t="s">
        <v>57</v>
      </c>
      <c r="C376" s="7">
        <v>45122</v>
      </c>
      <c r="D376" s="7" t="s">
        <v>106</v>
      </c>
      <c r="E376" s="4" t="s">
        <v>112</v>
      </c>
      <c r="F376" s="4" t="s">
        <v>122</v>
      </c>
      <c r="G376" s="8">
        <v>8952</v>
      </c>
      <c r="H376" s="8" t="s">
        <v>126</v>
      </c>
      <c r="I376" s="3">
        <f>IF($H376="A VISTA", C376 + CADASTROS!$B$3, IF($H376="1+1", C376 + CADASTROS!$B$4, IF(H376="1+2", C376 + CADASTROS!$B$5, IF(H376="1+3", C376 + CADASTROS!$B$6, ""))))</f>
        <v>45123</v>
      </c>
      <c r="J376" s="8">
        <f t="shared" si="20"/>
        <v>8952</v>
      </c>
      <c r="K376" s="3" t="str">
        <f>IF($L376&lt;&gt;"", IF($H376="A VISTA", "", IF($H376="1+1", $C376 + CADASTROS!$C$4, IF($H376="1+2", $C376 + CADASTROS!$C$5, IF($H376="1+3", $C376 + CADASTROS!$E$4, "")))), "")</f>
        <v/>
      </c>
      <c r="L376" s="8" t="str">
        <f t="shared" si="21"/>
        <v/>
      </c>
      <c r="M376" s="3" t="str">
        <f>IF($N376&lt;&gt;"", IF($H376="A VISTA", "", IF($H376="1+1", $C376 + CADASTROS!$C$4, IF($H376="1+2", $C376 + CADASTROS!$D$5, IF($H376="1+3", $C376 + CADASTROS!$D$6, "")))), "")</f>
        <v/>
      </c>
      <c r="N376" s="8" t="str">
        <f t="shared" si="22"/>
        <v/>
      </c>
      <c r="O376" s="3" t="str">
        <f>IF($P376&lt;&gt;"", IF($H376="A VISTA", "", IF($H376="1+1", $C376 + CADASTROS!$C$4, IF($H376="1+2", $C376 + CADASTROS!$C$5, IF($H376="1+3", $C376 + CADASTROS!$E$6, "")))), "")</f>
        <v/>
      </c>
      <c r="P376" s="8" t="str">
        <f t="shared" si="23"/>
        <v/>
      </c>
    </row>
    <row r="377" spans="1:16">
      <c r="A377" s="2" t="s">
        <v>512</v>
      </c>
      <c r="B377" s="6" t="s">
        <v>50</v>
      </c>
      <c r="C377" s="7">
        <v>45364</v>
      </c>
      <c r="D377" s="7" t="s">
        <v>99</v>
      </c>
      <c r="E377" s="4" t="s">
        <v>110</v>
      </c>
      <c r="F377" s="4" t="s">
        <v>114</v>
      </c>
      <c r="G377" s="8">
        <v>2638</v>
      </c>
      <c r="H377" s="8" t="s">
        <v>136</v>
      </c>
      <c r="I377" s="3">
        <f>IF($H377="A VISTA", C377 + CADASTROS!$B$3, IF($H377="1+1", C377 + CADASTROS!$B$4, IF(H377="1+2", C377 + CADASTROS!$B$5, IF(H377="1+3", C377 + CADASTROS!$B$6, ""))))</f>
        <v>45365</v>
      </c>
      <c r="J377" s="8">
        <f t="shared" si="20"/>
        <v>659.5</v>
      </c>
      <c r="K377" s="3">
        <f>IF($L377&lt;&gt;"", IF($H377="A VISTA", "", IF($H377="1+1", $C377 + CADASTROS!$C$4, IF($H377="1+2", $C377 + CADASTROS!$C$5, IF($H377="1+3", $C377 + CADASTROS!$E$4, "")))), "")</f>
        <v>45364</v>
      </c>
      <c r="L377" s="8">
        <f t="shared" si="21"/>
        <v>659.5</v>
      </c>
      <c r="M377" s="3">
        <f>IF($N377&lt;&gt;"", IF($H377="A VISTA", "", IF($H377="1+1", $C377 + CADASTROS!$C$4, IF($H377="1+2", $C377 + CADASTROS!$D$5, IF($H377="1+3", $C377 + CADASTROS!$D$6, "")))), "")</f>
        <v>45409</v>
      </c>
      <c r="N377" s="8">
        <f t="shared" si="22"/>
        <v>659.5</v>
      </c>
      <c r="O377" s="3">
        <f>IF($P377&lt;&gt;"", IF($H377="A VISTA", "", IF($H377="1+1", $C377 + CADASTROS!$C$4, IF($H377="1+2", $C377 + CADASTROS!$C$5, IF($H377="1+3", $C377 + CADASTROS!$E$6, "")))), "")</f>
        <v>45424</v>
      </c>
      <c r="P377" s="8">
        <f t="shared" si="23"/>
        <v>659.5</v>
      </c>
    </row>
    <row r="378" spans="1:16">
      <c r="A378" s="2" t="s">
        <v>513</v>
      </c>
      <c r="B378" s="6" t="s">
        <v>36</v>
      </c>
      <c r="C378" s="7">
        <v>45218</v>
      </c>
      <c r="D378" s="7" t="s">
        <v>85</v>
      </c>
      <c r="E378" s="4" t="s">
        <v>111</v>
      </c>
      <c r="F378" s="4" t="s">
        <v>120</v>
      </c>
      <c r="G378" s="8">
        <v>5176</v>
      </c>
      <c r="H378" s="8" t="s">
        <v>138</v>
      </c>
      <c r="I378" s="3">
        <f>IF($H378="A VISTA", C378 + CADASTROS!$B$3, IF($H378="1+1", C378 + CADASTROS!$B$4, IF(H378="1+2", C378 + CADASTROS!$B$5, IF(H378="1+3", C378 + CADASTROS!$B$6, ""))))</f>
        <v>45219</v>
      </c>
      <c r="J378" s="8">
        <f t="shared" si="20"/>
        <v>2588</v>
      </c>
      <c r="K378" s="3">
        <f>IF($L378&lt;&gt;"", IF($H378="A VISTA", "", IF($H378="1+1", $C378 + CADASTROS!$C$4, IF($H378="1+2", $C378 + CADASTROS!$C$5, IF($H378="1+3", $C378 + CADASTROS!$E$4, "")))), "")</f>
        <v>45248</v>
      </c>
      <c r="L378" s="8">
        <f t="shared" si="21"/>
        <v>2588</v>
      </c>
      <c r="M378" s="3" t="str">
        <f>IF($N378&lt;&gt;"", IF($H378="A VISTA", "", IF($H378="1+1", $C378 + CADASTROS!$C$4, IF($H378="1+2", $C378 + CADASTROS!$D$5, IF($H378="1+3", $C378 + CADASTROS!$D$6, "")))), "")</f>
        <v/>
      </c>
      <c r="N378" s="8" t="str">
        <f t="shared" si="22"/>
        <v/>
      </c>
      <c r="O378" s="3" t="str">
        <f>IF($P378&lt;&gt;"", IF($H378="A VISTA", "", IF($H378="1+1", $C378 + CADASTROS!$C$4, IF($H378="1+2", $C378 + CADASTROS!$C$5, IF($H378="1+3", $C378 + CADASTROS!$E$6, "")))), "")</f>
        <v/>
      </c>
      <c r="P378" s="8" t="str">
        <f t="shared" si="23"/>
        <v/>
      </c>
    </row>
    <row r="379" spans="1:16">
      <c r="A379" s="2" t="s">
        <v>514</v>
      </c>
      <c r="B379" s="6" t="s">
        <v>12</v>
      </c>
      <c r="C379" s="7">
        <v>45145</v>
      </c>
      <c r="D379" s="7" t="s">
        <v>62</v>
      </c>
      <c r="E379" s="4" t="s">
        <v>112</v>
      </c>
      <c r="F379" s="4" t="s">
        <v>122</v>
      </c>
      <c r="G379" s="8">
        <v>7900</v>
      </c>
      <c r="H379" s="8" t="s">
        <v>126</v>
      </c>
      <c r="I379" s="3">
        <f>IF($H379="A VISTA", C379 + CADASTROS!$B$3, IF($H379="1+1", C379 + CADASTROS!$B$4, IF(H379="1+2", C379 + CADASTROS!$B$5, IF(H379="1+3", C379 + CADASTROS!$B$6, ""))))</f>
        <v>45146</v>
      </c>
      <c r="J379" s="8">
        <f t="shared" si="20"/>
        <v>7900</v>
      </c>
      <c r="K379" s="3" t="str">
        <f>IF($L379&lt;&gt;"", IF($H379="A VISTA", "", IF($H379="1+1", $C379 + CADASTROS!$C$4, IF($H379="1+2", $C379 + CADASTROS!$C$5, IF($H379="1+3", $C379 + CADASTROS!$E$4, "")))), "")</f>
        <v/>
      </c>
      <c r="L379" s="8" t="str">
        <f t="shared" si="21"/>
        <v/>
      </c>
      <c r="M379" s="3" t="str">
        <f>IF($N379&lt;&gt;"", IF($H379="A VISTA", "", IF($H379="1+1", $C379 + CADASTROS!$C$4, IF($H379="1+2", $C379 + CADASTROS!$D$5, IF($H379="1+3", $C379 + CADASTROS!$D$6, "")))), "")</f>
        <v/>
      </c>
      <c r="N379" s="8" t="str">
        <f t="shared" si="22"/>
        <v/>
      </c>
      <c r="O379" s="3" t="str">
        <f>IF($P379&lt;&gt;"", IF($H379="A VISTA", "", IF($H379="1+1", $C379 + CADASTROS!$C$4, IF($H379="1+2", $C379 + CADASTROS!$C$5, IF($H379="1+3", $C379 + CADASTROS!$E$6, "")))), "")</f>
        <v/>
      </c>
      <c r="P379" s="8" t="str">
        <f t="shared" si="23"/>
        <v/>
      </c>
    </row>
    <row r="380" spans="1:16">
      <c r="A380" s="2" t="s">
        <v>515</v>
      </c>
      <c r="B380" s="6" t="s">
        <v>42</v>
      </c>
      <c r="C380" s="7">
        <v>45159</v>
      </c>
      <c r="D380" s="7" t="s">
        <v>91</v>
      </c>
      <c r="E380" s="4" t="s">
        <v>111</v>
      </c>
      <c r="F380" s="4" t="s">
        <v>117</v>
      </c>
      <c r="G380" s="8">
        <v>7627</v>
      </c>
      <c r="H380" s="8" t="s">
        <v>137</v>
      </c>
      <c r="I380" s="3">
        <f>IF($H380="A VISTA", C380 + CADASTROS!$B$3, IF($H380="1+1", C380 + CADASTROS!$B$4, IF(H380="1+2", C380 + CADASTROS!$B$5, IF(H380="1+3", C380 + CADASTROS!$B$6, ""))))</f>
        <v>45160</v>
      </c>
      <c r="J380" s="8">
        <f t="shared" si="20"/>
        <v>2542.3333333333335</v>
      </c>
      <c r="K380" s="3">
        <f>IF($L380&lt;&gt;"", IF($H380="A VISTA", "", IF($H380="1+1", $C380 + CADASTROS!$C$4, IF($H380="1+2", $C380 + CADASTROS!$C$5, IF($H380="1+3", $C380 + CADASTROS!$E$4, "")))), "")</f>
        <v>45189</v>
      </c>
      <c r="L380" s="8">
        <f t="shared" si="21"/>
        <v>2542.3333333333335</v>
      </c>
      <c r="M380" s="3">
        <f>IF($N380&lt;&gt;"", IF($H380="A VISTA", "", IF($H380="1+1", $C380 + CADASTROS!$C$4, IF($H380="1+2", $C380 + CADASTROS!$D$5, IF($H380="1+3", $C380 + CADASTROS!$D$6, "")))), "")</f>
        <v>45204</v>
      </c>
      <c r="N380" s="8">
        <f t="shared" si="22"/>
        <v>2542.3333333333326</v>
      </c>
      <c r="O380" s="3" t="str">
        <f>IF($P380&lt;&gt;"", IF($H380="A VISTA", "", IF($H380="1+1", $C380 + CADASTROS!$C$4, IF($H380="1+2", $C380 + CADASTROS!$C$5, IF($H380="1+3", $C380 + CADASTROS!$E$6, "")))), "")</f>
        <v/>
      </c>
      <c r="P380" s="8" t="str">
        <f t="shared" si="23"/>
        <v/>
      </c>
    </row>
    <row r="381" spans="1:16">
      <c r="A381" s="2" t="s">
        <v>516</v>
      </c>
      <c r="B381" s="6" t="s">
        <v>57</v>
      </c>
      <c r="C381" s="7">
        <v>45283</v>
      </c>
      <c r="D381" s="7" t="s">
        <v>106</v>
      </c>
      <c r="E381" s="4" t="s">
        <v>112</v>
      </c>
      <c r="F381" s="4" t="s">
        <v>122</v>
      </c>
      <c r="G381" s="8">
        <v>1758</v>
      </c>
      <c r="H381" s="8" t="s">
        <v>126</v>
      </c>
      <c r="I381" s="3">
        <f>IF($H381="A VISTA", C381 + CADASTROS!$B$3, IF($H381="1+1", C381 + CADASTROS!$B$4, IF(H381="1+2", C381 + CADASTROS!$B$5, IF(H381="1+3", C381 + CADASTROS!$B$6, ""))))</f>
        <v>45284</v>
      </c>
      <c r="J381" s="8">
        <f t="shared" si="20"/>
        <v>1758</v>
      </c>
      <c r="K381" s="3" t="str">
        <f>IF($L381&lt;&gt;"", IF($H381="A VISTA", "", IF($H381="1+1", $C381 + CADASTROS!$C$4, IF($H381="1+2", $C381 + CADASTROS!$C$5, IF($H381="1+3", $C381 + CADASTROS!$E$4, "")))), "")</f>
        <v/>
      </c>
      <c r="L381" s="8" t="str">
        <f t="shared" si="21"/>
        <v/>
      </c>
      <c r="M381" s="3" t="str">
        <f>IF($N381&lt;&gt;"", IF($H381="A VISTA", "", IF($H381="1+1", $C381 + CADASTROS!$C$4, IF($H381="1+2", $C381 + CADASTROS!$D$5, IF($H381="1+3", $C381 + CADASTROS!$D$6, "")))), "")</f>
        <v/>
      </c>
      <c r="N381" s="8" t="str">
        <f t="shared" si="22"/>
        <v/>
      </c>
      <c r="O381" s="3" t="str">
        <f>IF($P381&lt;&gt;"", IF($H381="A VISTA", "", IF($H381="1+1", $C381 + CADASTROS!$C$4, IF($H381="1+2", $C381 + CADASTROS!$C$5, IF($H381="1+3", $C381 + CADASTROS!$E$6, "")))), "")</f>
        <v/>
      </c>
      <c r="P381" s="8" t="str">
        <f t="shared" si="23"/>
        <v/>
      </c>
    </row>
    <row r="382" spans="1:16">
      <c r="A382" s="2" t="s">
        <v>517</v>
      </c>
      <c r="B382" s="6" t="s">
        <v>48</v>
      </c>
      <c r="C382" s="7">
        <v>45297</v>
      </c>
      <c r="D382" s="7" t="s">
        <v>97</v>
      </c>
      <c r="E382" s="4" t="s">
        <v>112</v>
      </c>
      <c r="F382" s="4" t="s">
        <v>123</v>
      </c>
      <c r="G382" s="8">
        <v>5753</v>
      </c>
      <c r="H382" s="8" t="s">
        <v>126</v>
      </c>
      <c r="I382" s="3">
        <f>IF($H382="A VISTA", C382 + CADASTROS!$B$3, IF($H382="1+1", C382 + CADASTROS!$B$4, IF(H382="1+2", C382 + CADASTROS!$B$5, IF(H382="1+3", C382 + CADASTROS!$B$6, ""))))</f>
        <v>45298</v>
      </c>
      <c r="J382" s="8">
        <f t="shared" si="20"/>
        <v>5753</v>
      </c>
      <c r="K382" s="3" t="str">
        <f>IF($L382&lt;&gt;"", IF($H382="A VISTA", "", IF($H382="1+1", $C382 + CADASTROS!$C$4, IF($H382="1+2", $C382 + CADASTROS!$C$5, IF($H382="1+3", $C382 + CADASTROS!$E$4, "")))), "")</f>
        <v/>
      </c>
      <c r="L382" s="8" t="str">
        <f t="shared" si="21"/>
        <v/>
      </c>
      <c r="M382" s="3" t="str">
        <f>IF($N382&lt;&gt;"", IF($H382="A VISTA", "", IF($H382="1+1", $C382 + CADASTROS!$C$4, IF($H382="1+2", $C382 + CADASTROS!$D$5, IF($H382="1+3", $C382 + CADASTROS!$D$6, "")))), "")</f>
        <v/>
      </c>
      <c r="N382" s="8" t="str">
        <f t="shared" si="22"/>
        <v/>
      </c>
      <c r="O382" s="3" t="str">
        <f>IF($P382&lt;&gt;"", IF($H382="A VISTA", "", IF($H382="1+1", $C382 + CADASTROS!$C$4, IF($H382="1+2", $C382 + CADASTROS!$C$5, IF($H382="1+3", $C382 + CADASTROS!$E$6, "")))), "")</f>
        <v/>
      </c>
      <c r="P382" s="8" t="str">
        <f t="shared" si="23"/>
        <v/>
      </c>
    </row>
    <row r="383" spans="1:16">
      <c r="A383" s="2" t="s">
        <v>518</v>
      </c>
      <c r="B383" s="6" t="s">
        <v>52</v>
      </c>
      <c r="C383" s="7">
        <v>45398</v>
      </c>
      <c r="D383" s="7" t="s">
        <v>101</v>
      </c>
      <c r="E383" s="4" t="s">
        <v>111</v>
      </c>
      <c r="F383" s="4" t="s">
        <v>118</v>
      </c>
      <c r="G383" s="8">
        <v>7056</v>
      </c>
      <c r="H383" s="8" t="s">
        <v>137</v>
      </c>
      <c r="I383" s="3">
        <f>IF($H383="A VISTA", C383 + CADASTROS!$B$3, IF($H383="1+1", C383 + CADASTROS!$B$4, IF(H383="1+2", C383 + CADASTROS!$B$5, IF(H383="1+3", C383 + CADASTROS!$B$6, ""))))</f>
        <v>45399</v>
      </c>
      <c r="J383" s="8">
        <f t="shared" si="20"/>
        <v>2352</v>
      </c>
      <c r="K383" s="3">
        <f>IF($L383&lt;&gt;"", IF($H383="A VISTA", "", IF($H383="1+1", $C383 + CADASTROS!$C$4, IF($H383="1+2", $C383 + CADASTROS!$C$5, IF($H383="1+3", $C383 + CADASTROS!$E$4, "")))), "")</f>
        <v>45428</v>
      </c>
      <c r="L383" s="8">
        <f t="shared" si="21"/>
        <v>2352</v>
      </c>
      <c r="M383" s="3">
        <f>IF($N383&lt;&gt;"", IF($H383="A VISTA", "", IF($H383="1+1", $C383 + CADASTROS!$C$4, IF($H383="1+2", $C383 + CADASTROS!$D$5, IF($H383="1+3", $C383 + CADASTROS!$D$6, "")))), "")</f>
        <v>45443</v>
      </c>
      <c r="N383" s="8">
        <f t="shared" si="22"/>
        <v>2352</v>
      </c>
      <c r="O383" s="3" t="str">
        <f>IF($P383&lt;&gt;"", IF($H383="A VISTA", "", IF($H383="1+1", $C383 + CADASTROS!$C$4, IF($H383="1+2", $C383 + CADASTROS!$C$5, IF($H383="1+3", $C383 + CADASTROS!$E$6, "")))), "")</f>
        <v/>
      </c>
      <c r="P383" s="8" t="str">
        <f t="shared" si="23"/>
        <v/>
      </c>
    </row>
    <row r="384" spans="1:16">
      <c r="A384" s="2" t="s">
        <v>519</v>
      </c>
      <c r="B384" s="6" t="s">
        <v>35</v>
      </c>
      <c r="C384" s="7">
        <v>45551</v>
      </c>
      <c r="D384" s="7" t="s">
        <v>84</v>
      </c>
      <c r="E384" s="4" t="s">
        <v>112</v>
      </c>
      <c r="F384" s="4" t="s">
        <v>122</v>
      </c>
      <c r="G384" s="8">
        <v>2451</v>
      </c>
      <c r="H384" s="8" t="s">
        <v>126</v>
      </c>
      <c r="I384" s="3">
        <f>IF($H384="A VISTA", C384 + CADASTROS!$B$3, IF($H384="1+1", C384 + CADASTROS!$B$4, IF(H384="1+2", C384 + CADASTROS!$B$5, IF(H384="1+3", C384 + CADASTROS!$B$6, ""))))</f>
        <v>45552</v>
      </c>
      <c r="J384" s="8">
        <f t="shared" si="20"/>
        <v>2451</v>
      </c>
      <c r="K384" s="3" t="str">
        <f>IF($L384&lt;&gt;"", IF($H384="A VISTA", "", IF($H384="1+1", $C384 + CADASTROS!$C$4, IF($H384="1+2", $C384 + CADASTROS!$C$5, IF($H384="1+3", $C384 + CADASTROS!$E$4, "")))), "")</f>
        <v/>
      </c>
      <c r="L384" s="8" t="str">
        <f t="shared" si="21"/>
        <v/>
      </c>
      <c r="M384" s="3" t="str">
        <f>IF($N384&lt;&gt;"", IF($H384="A VISTA", "", IF($H384="1+1", $C384 + CADASTROS!$C$4, IF($H384="1+2", $C384 + CADASTROS!$D$5, IF($H384="1+3", $C384 + CADASTROS!$D$6, "")))), "")</f>
        <v/>
      </c>
      <c r="N384" s="8" t="str">
        <f t="shared" si="22"/>
        <v/>
      </c>
      <c r="O384" s="3" t="str">
        <f>IF($P384&lt;&gt;"", IF($H384="A VISTA", "", IF($H384="1+1", $C384 + CADASTROS!$C$4, IF($H384="1+2", $C384 + CADASTROS!$C$5, IF($H384="1+3", $C384 + CADASTROS!$E$6, "")))), "")</f>
        <v/>
      </c>
      <c r="P384" s="8" t="str">
        <f t="shared" si="23"/>
        <v/>
      </c>
    </row>
    <row r="385" spans="1:16">
      <c r="A385" s="2" t="s">
        <v>520</v>
      </c>
      <c r="B385" s="6" t="s">
        <v>41</v>
      </c>
      <c r="C385" s="7">
        <v>45276</v>
      </c>
      <c r="D385" s="7" t="s">
        <v>90</v>
      </c>
      <c r="E385" s="4" t="s">
        <v>111</v>
      </c>
      <c r="F385" s="4" t="s">
        <v>118</v>
      </c>
      <c r="G385" s="8">
        <v>4909</v>
      </c>
      <c r="H385" s="8" t="s">
        <v>136</v>
      </c>
      <c r="I385" s="3">
        <f>IF($H385="A VISTA", C385 + CADASTROS!$B$3, IF($H385="1+1", C385 + CADASTROS!$B$4, IF(H385="1+2", C385 + CADASTROS!$B$5, IF(H385="1+3", C385 + CADASTROS!$B$6, ""))))</f>
        <v>45277</v>
      </c>
      <c r="J385" s="8">
        <f t="shared" si="20"/>
        <v>1227.25</v>
      </c>
      <c r="K385" s="3">
        <f>IF($L385&lt;&gt;"", IF($H385="A VISTA", "", IF($H385="1+1", $C385 + CADASTROS!$C$4, IF($H385="1+2", $C385 + CADASTROS!$C$5, IF($H385="1+3", $C385 + CADASTROS!$E$4, "")))), "")</f>
        <v>45276</v>
      </c>
      <c r="L385" s="8">
        <f t="shared" si="21"/>
        <v>1227.25</v>
      </c>
      <c r="M385" s="3">
        <f>IF($N385&lt;&gt;"", IF($H385="A VISTA", "", IF($H385="1+1", $C385 + CADASTROS!$C$4, IF($H385="1+2", $C385 + CADASTROS!$D$5, IF($H385="1+3", $C385 + CADASTROS!$D$6, "")))), "")</f>
        <v>45321</v>
      </c>
      <c r="N385" s="8">
        <f t="shared" si="22"/>
        <v>1227.25</v>
      </c>
      <c r="O385" s="3">
        <f>IF($P385&lt;&gt;"", IF($H385="A VISTA", "", IF($H385="1+1", $C385 + CADASTROS!$C$4, IF($H385="1+2", $C385 + CADASTROS!$C$5, IF($H385="1+3", $C385 + CADASTROS!$E$6, "")))), "")</f>
        <v>45336</v>
      </c>
      <c r="P385" s="8">
        <f t="shared" si="23"/>
        <v>1227.25</v>
      </c>
    </row>
    <row r="386" spans="1:16">
      <c r="A386" s="2" t="s">
        <v>521</v>
      </c>
      <c r="B386" s="6" t="s">
        <v>39</v>
      </c>
      <c r="C386" s="7">
        <v>45300</v>
      </c>
      <c r="D386" s="7" t="s">
        <v>88</v>
      </c>
      <c r="E386" s="4" t="s">
        <v>110</v>
      </c>
      <c r="F386" s="4" t="s">
        <v>114</v>
      </c>
      <c r="G386" s="8">
        <v>443</v>
      </c>
      <c r="H386" s="8" t="s">
        <v>137</v>
      </c>
      <c r="I386" s="3">
        <f>IF($H386="A VISTA", C386 + CADASTROS!$B$3, IF($H386="1+1", C386 + CADASTROS!$B$4, IF(H386="1+2", C386 + CADASTROS!$B$5, IF(H386="1+3", C386 + CADASTROS!$B$6, ""))))</f>
        <v>45301</v>
      </c>
      <c r="J386" s="8">
        <f t="shared" si="20"/>
        <v>147.66666666666666</v>
      </c>
      <c r="K386" s="3">
        <f>IF($L386&lt;&gt;"", IF($H386="A VISTA", "", IF($H386="1+1", $C386 + CADASTROS!$C$4, IF($H386="1+2", $C386 + CADASTROS!$C$5, IF($H386="1+3", $C386 + CADASTROS!$E$4, "")))), "")</f>
        <v>45330</v>
      </c>
      <c r="L386" s="8">
        <f t="shared" si="21"/>
        <v>147.66666666666666</v>
      </c>
      <c r="M386" s="3">
        <f>IF($N386&lt;&gt;"", IF($H386="A VISTA", "", IF($H386="1+1", $C386 + CADASTROS!$C$4, IF($H386="1+2", $C386 + CADASTROS!$D$5, IF($H386="1+3", $C386 + CADASTROS!$D$6, "")))), "")</f>
        <v>45345</v>
      </c>
      <c r="N386" s="8">
        <f t="shared" si="22"/>
        <v>147.66666666666671</v>
      </c>
      <c r="O386" s="3" t="str">
        <f>IF($P386&lt;&gt;"", IF($H386="A VISTA", "", IF($H386="1+1", $C386 + CADASTROS!$C$4, IF($H386="1+2", $C386 + CADASTROS!$C$5, IF($H386="1+3", $C386 + CADASTROS!$E$6, "")))), "")</f>
        <v/>
      </c>
      <c r="P386" s="8" t="str">
        <f t="shared" si="23"/>
        <v/>
      </c>
    </row>
    <row r="387" spans="1:16">
      <c r="A387" s="2" t="s">
        <v>522</v>
      </c>
      <c r="B387" s="6" t="s">
        <v>37</v>
      </c>
      <c r="C387" s="7">
        <v>45370</v>
      </c>
      <c r="D387" s="7" t="s">
        <v>86</v>
      </c>
      <c r="E387" s="4" t="s">
        <v>112</v>
      </c>
      <c r="F387" s="4" t="s">
        <v>123</v>
      </c>
      <c r="G387" s="8">
        <v>3426</v>
      </c>
      <c r="H387" s="8" t="s">
        <v>126</v>
      </c>
      <c r="I387" s="3">
        <f>IF($H387="A VISTA", C387 + CADASTROS!$B$3, IF($H387="1+1", C387 + CADASTROS!$B$4, IF(H387="1+2", C387 + CADASTROS!$B$5, IF(H387="1+3", C387 + CADASTROS!$B$6, ""))))</f>
        <v>45371</v>
      </c>
      <c r="J387" s="8">
        <f t="shared" ref="J387:J450" si="24">IF($H387="A VISTA", $G387, IF($H387="1+1", $G387/2, IF($H387="1+2", $G387/3, IF($H387="1+3", $G387/4, ""))))</f>
        <v>3426</v>
      </c>
      <c r="K387" s="3" t="str">
        <f>IF($L387&lt;&gt;"", IF($H387="A VISTA", "", IF($H387="1+1", $C387 + CADASTROS!$C$4, IF($H387="1+2", $C387 + CADASTROS!$C$5, IF($H387="1+3", $C387 + CADASTROS!$E$4, "")))), "")</f>
        <v/>
      </c>
      <c r="L387" s="8" t="str">
        <f t="shared" ref="L387:L450" si="25">IF($H387="A VISTA", "", IF($H387="1+1", $G387-$J387, IF($H387="1+2", $G387/3, IF($H387="1+3", ($G387-$J387)/3, ""))))</f>
        <v/>
      </c>
      <c r="M387" s="3" t="str">
        <f>IF($N387&lt;&gt;"", IF($H387="A VISTA", "", IF($H387="1+1", $C387 + CADASTROS!$C$4, IF($H387="1+2", $C387 + CADASTROS!$D$5, IF($H387="1+3", $C387 + CADASTROS!$D$6, "")))), "")</f>
        <v/>
      </c>
      <c r="N387" s="8" t="str">
        <f t="shared" ref="N387:N450" si="26">IF($H387="A VISTA","",IF($H387="1+2",$G387-$J387-$L387,IF($H387="1+3",($G387-$J387-$L387)/2,"")))</f>
        <v/>
      </c>
      <c r="O387" s="3" t="str">
        <f>IF($P387&lt;&gt;"", IF($H387="A VISTA", "", IF($H387="1+1", $C387 + CADASTROS!$C$4, IF($H387="1+2", $C387 + CADASTROS!$C$5, IF($H387="1+3", $C387 + CADASTROS!$E$6, "")))), "")</f>
        <v/>
      </c>
      <c r="P387" s="8" t="str">
        <f t="shared" ref="P387:P450" si="27">IF($H387="A VISTA", "", IF($H387="1+3", $G387-$J387-$L387-$N387, ""))</f>
        <v/>
      </c>
    </row>
    <row r="388" spans="1:16">
      <c r="A388" s="2" t="s">
        <v>523</v>
      </c>
      <c r="B388" s="6" t="s">
        <v>32</v>
      </c>
      <c r="C388" s="7">
        <v>45203</v>
      </c>
      <c r="D388" s="7" t="s">
        <v>81</v>
      </c>
      <c r="E388" s="4" t="s">
        <v>110</v>
      </c>
      <c r="F388" s="4" t="s">
        <v>124</v>
      </c>
      <c r="G388" s="8">
        <v>6332</v>
      </c>
      <c r="H388" s="8" t="s">
        <v>138</v>
      </c>
      <c r="I388" s="3">
        <f>IF($H388="A VISTA", C388 + CADASTROS!$B$3, IF($H388="1+1", C388 + CADASTROS!$B$4, IF(H388="1+2", C388 + CADASTROS!$B$5, IF(H388="1+3", C388 + CADASTROS!$B$6, ""))))</f>
        <v>45204</v>
      </c>
      <c r="J388" s="8">
        <f t="shared" si="24"/>
        <v>3166</v>
      </c>
      <c r="K388" s="3">
        <f>IF($L388&lt;&gt;"", IF($H388="A VISTA", "", IF($H388="1+1", $C388 + CADASTROS!$C$4, IF($H388="1+2", $C388 + CADASTROS!$C$5, IF($H388="1+3", $C388 + CADASTROS!$E$4, "")))), "")</f>
        <v>45233</v>
      </c>
      <c r="L388" s="8">
        <f t="shared" si="25"/>
        <v>3166</v>
      </c>
      <c r="M388" s="3" t="str">
        <f>IF($N388&lt;&gt;"", IF($H388="A VISTA", "", IF($H388="1+1", $C388 + CADASTROS!$C$4, IF($H388="1+2", $C388 + CADASTROS!$D$5, IF($H388="1+3", $C388 + CADASTROS!$D$6, "")))), "")</f>
        <v/>
      </c>
      <c r="N388" s="8" t="str">
        <f t="shared" si="26"/>
        <v/>
      </c>
      <c r="O388" s="3" t="str">
        <f>IF($P388&lt;&gt;"", IF($H388="A VISTA", "", IF($H388="1+1", $C388 + CADASTROS!$C$4, IF($H388="1+2", $C388 + CADASTROS!$C$5, IF($H388="1+3", $C388 + CADASTROS!$E$6, "")))), "")</f>
        <v/>
      </c>
      <c r="P388" s="8" t="str">
        <f t="shared" si="27"/>
        <v/>
      </c>
    </row>
    <row r="389" spans="1:16">
      <c r="A389" s="2" t="s">
        <v>524</v>
      </c>
      <c r="B389" s="6" t="s">
        <v>18</v>
      </c>
      <c r="C389" s="7">
        <v>45124</v>
      </c>
      <c r="D389" s="7" t="s">
        <v>67</v>
      </c>
      <c r="E389" s="4" t="s">
        <v>111</v>
      </c>
      <c r="F389" s="4" t="s">
        <v>121</v>
      </c>
      <c r="G389" s="8">
        <v>3681</v>
      </c>
      <c r="H389" s="8" t="s">
        <v>126</v>
      </c>
      <c r="I389" s="3">
        <f>IF($H389="A VISTA", C389 + CADASTROS!$B$3, IF($H389="1+1", C389 + CADASTROS!$B$4, IF(H389="1+2", C389 + CADASTROS!$B$5, IF(H389="1+3", C389 + CADASTROS!$B$6, ""))))</f>
        <v>45125</v>
      </c>
      <c r="J389" s="8">
        <f t="shared" si="24"/>
        <v>3681</v>
      </c>
      <c r="K389" s="3" t="str">
        <f>IF($L389&lt;&gt;"", IF($H389="A VISTA", "", IF($H389="1+1", $C389 + CADASTROS!$C$4, IF($H389="1+2", $C389 + CADASTROS!$C$5, IF($H389="1+3", $C389 + CADASTROS!$E$4, "")))), "")</f>
        <v/>
      </c>
      <c r="L389" s="8" t="str">
        <f t="shared" si="25"/>
        <v/>
      </c>
      <c r="M389" s="3" t="str">
        <f>IF($N389&lt;&gt;"", IF($H389="A VISTA", "", IF($H389="1+1", $C389 + CADASTROS!$C$4, IF($H389="1+2", $C389 + CADASTROS!$D$5, IF($H389="1+3", $C389 + CADASTROS!$D$6, "")))), "")</f>
        <v/>
      </c>
      <c r="N389" s="8" t="str">
        <f t="shared" si="26"/>
        <v/>
      </c>
      <c r="O389" s="3" t="str">
        <f>IF($P389&lt;&gt;"", IF($H389="A VISTA", "", IF($H389="1+1", $C389 + CADASTROS!$C$4, IF($H389="1+2", $C389 + CADASTROS!$C$5, IF($H389="1+3", $C389 + CADASTROS!$E$6, "")))), "")</f>
        <v/>
      </c>
      <c r="P389" s="8" t="str">
        <f t="shared" si="27"/>
        <v/>
      </c>
    </row>
    <row r="390" spans="1:16">
      <c r="A390" s="2" t="s">
        <v>525</v>
      </c>
      <c r="B390" s="6" t="s">
        <v>59</v>
      </c>
      <c r="C390" s="7">
        <v>45303</v>
      </c>
      <c r="D390" s="7" t="s">
        <v>108</v>
      </c>
      <c r="E390" s="4" t="s">
        <v>111</v>
      </c>
      <c r="F390" s="4" t="s">
        <v>121</v>
      </c>
      <c r="G390" s="8">
        <v>5515</v>
      </c>
      <c r="H390" s="8" t="s">
        <v>136</v>
      </c>
      <c r="I390" s="3">
        <f>IF($H390="A VISTA", C390 + CADASTROS!$B$3, IF($H390="1+1", C390 + CADASTROS!$B$4, IF(H390="1+2", C390 + CADASTROS!$B$5, IF(H390="1+3", C390 + CADASTROS!$B$6, ""))))</f>
        <v>45304</v>
      </c>
      <c r="J390" s="8">
        <f t="shared" si="24"/>
        <v>1378.75</v>
      </c>
      <c r="K390" s="3">
        <f>IF($L390&lt;&gt;"", IF($H390="A VISTA", "", IF($H390="1+1", $C390 + CADASTROS!$C$4, IF($H390="1+2", $C390 + CADASTROS!$C$5, IF($H390="1+3", $C390 + CADASTROS!$E$4, "")))), "")</f>
        <v>45303</v>
      </c>
      <c r="L390" s="8">
        <f t="shared" si="25"/>
        <v>1378.75</v>
      </c>
      <c r="M390" s="3">
        <f>IF($N390&lt;&gt;"", IF($H390="A VISTA", "", IF($H390="1+1", $C390 + CADASTROS!$C$4, IF($H390="1+2", $C390 + CADASTROS!$D$5, IF($H390="1+3", $C390 + CADASTROS!$D$6, "")))), "")</f>
        <v>45348</v>
      </c>
      <c r="N390" s="8">
        <f t="shared" si="26"/>
        <v>1378.75</v>
      </c>
      <c r="O390" s="3">
        <f>IF($P390&lt;&gt;"", IF($H390="A VISTA", "", IF($H390="1+1", $C390 + CADASTROS!$C$4, IF($H390="1+2", $C390 + CADASTROS!$C$5, IF($H390="1+3", $C390 + CADASTROS!$E$6, "")))), "")</f>
        <v>45363</v>
      </c>
      <c r="P390" s="8">
        <f t="shared" si="27"/>
        <v>1378.75</v>
      </c>
    </row>
    <row r="391" spans="1:16">
      <c r="A391" s="2" t="s">
        <v>526</v>
      </c>
      <c r="B391" s="6" t="s">
        <v>30</v>
      </c>
      <c r="C391" s="7">
        <v>45285</v>
      </c>
      <c r="D391" s="7" t="s">
        <v>79</v>
      </c>
      <c r="E391" s="4" t="s">
        <v>111</v>
      </c>
      <c r="F391" s="4" t="s">
        <v>118</v>
      </c>
      <c r="G391" s="8">
        <v>2110</v>
      </c>
      <c r="H391" s="8" t="s">
        <v>137</v>
      </c>
      <c r="I391" s="3">
        <f>IF($H391="A VISTA", C391 + CADASTROS!$B$3, IF($H391="1+1", C391 + CADASTROS!$B$4, IF(H391="1+2", C391 + CADASTROS!$B$5, IF(H391="1+3", C391 + CADASTROS!$B$6, ""))))</f>
        <v>45286</v>
      </c>
      <c r="J391" s="8">
        <f t="shared" si="24"/>
        <v>703.33333333333337</v>
      </c>
      <c r="K391" s="3">
        <f>IF($L391&lt;&gt;"", IF($H391="A VISTA", "", IF($H391="1+1", $C391 + CADASTROS!$C$4, IF($H391="1+2", $C391 + CADASTROS!$C$5, IF($H391="1+3", $C391 + CADASTROS!$E$4, "")))), "")</f>
        <v>45315</v>
      </c>
      <c r="L391" s="8">
        <f t="shared" si="25"/>
        <v>703.33333333333337</v>
      </c>
      <c r="M391" s="3">
        <f>IF($N391&lt;&gt;"", IF($H391="A VISTA", "", IF($H391="1+1", $C391 + CADASTROS!$C$4, IF($H391="1+2", $C391 + CADASTROS!$D$5, IF($H391="1+3", $C391 + CADASTROS!$D$6, "")))), "")</f>
        <v>45330</v>
      </c>
      <c r="N391" s="8">
        <f t="shared" si="26"/>
        <v>703.33333333333314</v>
      </c>
      <c r="O391" s="3" t="str">
        <f>IF($P391&lt;&gt;"", IF($H391="A VISTA", "", IF($H391="1+1", $C391 + CADASTROS!$C$4, IF($H391="1+2", $C391 + CADASTROS!$C$5, IF($H391="1+3", $C391 + CADASTROS!$E$6, "")))), "")</f>
        <v/>
      </c>
      <c r="P391" s="8" t="str">
        <f t="shared" si="27"/>
        <v/>
      </c>
    </row>
    <row r="392" spans="1:16">
      <c r="A392" s="2" t="s">
        <v>527</v>
      </c>
      <c r="B392" s="6" t="s">
        <v>28</v>
      </c>
      <c r="C392" s="7">
        <v>45369</v>
      </c>
      <c r="D392" s="7" t="s">
        <v>77</v>
      </c>
      <c r="E392" s="4" t="s">
        <v>110</v>
      </c>
      <c r="F392" s="4" t="s">
        <v>114</v>
      </c>
      <c r="G392" s="8">
        <v>3168</v>
      </c>
      <c r="H392" s="8" t="s">
        <v>137</v>
      </c>
      <c r="I392" s="3">
        <f>IF($H392="A VISTA", C392 + CADASTROS!$B$3, IF($H392="1+1", C392 + CADASTROS!$B$4, IF(H392="1+2", C392 + CADASTROS!$B$5, IF(H392="1+3", C392 + CADASTROS!$B$6, ""))))</f>
        <v>45370</v>
      </c>
      <c r="J392" s="8">
        <f t="shared" si="24"/>
        <v>1056</v>
      </c>
      <c r="K392" s="3">
        <f>IF($L392&lt;&gt;"", IF($H392="A VISTA", "", IF($H392="1+1", $C392 + CADASTROS!$C$4, IF($H392="1+2", $C392 + CADASTROS!$C$5, IF($H392="1+3", $C392 + CADASTROS!$E$4, "")))), "")</f>
        <v>45399</v>
      </c>
      <c r="L392" s="8">
        <f t="shared" si="25"/>
        <v>1056</v>
      </c>
      <c r="M392" s="3">
        <f>IF($N392&lt;&gt;"", IF($H392="A VISTA", "", IF($H392="1+1", $C392 + CADASTROS!$C$4, IF($H392="1+2", $C392 + CADASTROS!$D$5, IF($H392="1+3", $C392 + CADASTROS!$D$6, "")))), "")</f>
        <v>45414</v>
      </c>
      <c r="N392" s="8">
        <f t="shared" si="26"/>
        <v>1056</v>
      </c>
      <c r="O392" s="3" t="str">
        <f>IF($P392&lt;&gt;"", IF($H392="A VISTA", "", IF($H392="1+1", $C392 + CADASTROS!$C$4, IF($H392="1+2", $C392 + CADASTROS!$C$5, IF($H392="1+3", $C392 + CADASTROS!$E$6, "")))), "")</f>
        <v/>
      </c>
      <c r="P392" s="8" t="str">
        <f t="shared" si="27"/>
        <v/>
      </c>
    </row>
    <row r="393" spans="1:16">
      <c r="A393" s="2" t="s">
        <v>528</v>
      </c>
      <c r="B393" s="6" t="s">
        <v>18</v>
      </c>
      <c r="C393" s="7">
        <v>45320</v>
      </c>
      <c r="D393" s="7" t="s">
        <v>67</v>
      </c>
      <c r="E393" s="4" t="s">
        <v>111</v>
      </c>
      <c r="F393" s="4" t="s">
        <v>121</v>
      </c>
      <c r="G393" s="8">
        <v>2393</v>
      </c>
      <c r="H393" s="8" t="s">
        <v>138</v>
      </c>
      <c r="I393" s="3">
        <f>IF($H393="A VISTA", C393 + CADASTROS!$B$3, IF($H393="1+1", C393 + CADASTROS!$B$4, IF(H393="1+2", C393 + CADASTROS!$B$5, IF(H393="1+3", C393 + CADASTROS!$B$6, ""))))</f>
        <v>45321</v>
      </c>
      <c r="J393" s="8">
        <f t="shared" si="24"/>
        <v>1196.5</v>
      </c>
      <c r="K393" s="3">
        <f>IF($L393&lt;&gt;"", IF($H393="A VISTA", "", IF($H393="1+1", $C393 + CADASTROS!$C$4, IF($H393="1+2", $C393 + CADASTROS!$C$5, IF($H393="1+3", $C393 + CADASTROS!$E$4, "")))), "")</f>
        <v>45350</v>
      </c>
      <c r="L393" s="8">
        <f t="shared" si="25"/>
        <v>1196.5</v>
      </c>
      <c r="M393" s="3" t="str">
        <f>IF($N393&lt;&gt;"", IF($H393="A VISTA", "", IF($H393="1+1", $C393 + CADASTROS!$C$4, IF($H393="1+2", $C393 + CADASTROS!$D$5, IF($H393="1+3", $C393 + CADASTROS!$D$6, "")))), "")</f>
        <v/>
      </c>
      <c r="N393" s="8" t="str">
        <f t="shared" si="26"/>
        <v/>
      </c>
      <c r="O393" s="3" t="str">
        <f>IF($P393&lt;&gt;"", IF($H393="A VISTA", "", IF($H393="1+1", $C393 + CADASTROS!$C$4, IF($H393="1+2", $C393 + CADASTROS!$C$5, IF($H393="1+3", $C393 + CADASTROS!$E$6, "")))), "")</f>
        <v/>
      </c>
      <c r="P393" s="8" t="str">
        <f t="shared" si="27"/>
        <v/>
      </c>
    </row>
    <row r="394" spans="1:16">
      <c r="A394" s="2" t="s">
        <v>529</v>
      </c>
      <c r="B394" s="6" t="s">
        <v>32</v>
      </c>
      <c r="C394" s="7">
        <v>45197</v>
      </c>
      <c r="D394" s="7" t="s">
        <v>81</v>
      </c>
      <c r="E394" s="4" t="s">
        <v>110</v>
      </c>
      <c r="F394" s="4" t="s">
        <v>124</v>
      </c>
      <c r="G394" s="8">
        <v>7652</v>
      </c>
      <c r="H394" s="8" t="s">
        <v>137</v>
      </c>
      <c r="I394" s="3">
        <f>IF($H394="A VISTA", C394 + CADASTROS!$B$3, IF($H394="1+1", C394 + CADASTROS!$B$4, IF(H394="1+2", C394 + CADASTROS!$B$5, IF(H394="1+3", C394 + CADASTROS!$B$6, ""))))</f>
        <v>45198</v>
      </c>
      <c r="J394" s="8">
        <f t="shared" si="24"/>
        <v>2550.6666666666665</v>
      </c>
      <c r="K394" s="3">
        <f>IF($L394&lt;&gt;"", IF($H394="A VISTA", "", IF($H394="1+1", $C394 + CADASTROS!$C$4, IF($H394="1+2", $C394 + CADASTROS!$C$5, IF($H394="1+3", $C394 + CADASTROS!$E$4, "")))), "")</f>
        <v>45227</v>
      </c>
      <c r="L394" s="8">
        <f t="shared" si="25"/>
        <v>2550.6666666666665</v>
      </c>
      <c r="M394" s="3">
        <f>IF($N394&lt;&gt;"", IF($H394="A VISTA", "", IF($H394="1+1", $C394 + CADASTROS!$C$4, IF($H394="1+2", $C394 + CADASTROS!$D$5, IF($H394="1+3", $C394 + CADASTROS!$D$6, "")))), "")</f>
        <v>45242</v>
      </c>
      <c r="N394" s="8">
        <f t="shared" si="26"/>
        <v>2550.6666666666674</v>
      </c>
      <c r="O394" s="3" t="str">
        <f>IF($P394&lt;&gt;"", IF($H394="A VISTA", "", IF($H394="1+1", $C394 + CADASTROS!$C$4, IF($H394="1+2", $C394 + CADASTROS!$C$5, IF($H394="1+3", $C394 + CADASTROS!$E$6, "")))), "")</f>
        <v/>
      </c>
      <c r="P394" s="8" t="str">
        <f t="shared" si="27"/>
        <v/>
      </c>
    </row>
    <row r="395" spans="1:16">
      <c r="A395" s="2" t="s">
        <v>530</v>
      </c>
      <c r="B395" s="6" t="s">
        <v>49</v>
      </c>
      <c r="C395" s="7">
        <v>45199</v>
      </c>
      <c r="D395" s="7" t="s">
        <v>98</v>
      </c>
      <c r="E395" s="4" t="s">
        <v>110</v>
      </c>
      <c r="F395" s="4" t="s">
        <v>125</v>
      </c>
      <c r="G395" s="8">
        <v>4050</v>
      </c>
      <c r="H395" s="8" t="s">
        <v>136</v>
      </c>
      <c r="I395" s="3">
        <f>IF($H395="A VISTA", C395 + CADASTROS!$B$3, IF($H395="1+1", C395 + CADASTROS!$B$4, IF(H395="1+2", C395 + CADASTROS!$B$5, IF(H395="1+3", C395 + CADASTROS!$B$6, ""))))</f>
        <v>45200</v>
      </c>
      <c r="J395" s="8">
        <f t="shared" si="24"/>
        <v>1012.5</v>
      </c>
      <c r="K395" s="3">
        <f>IF($L395&lt;&gt;"", IF($H395="A VISTA", "", IF($H395="1+1", $C395 + CADASTROS!$C$4, IF($H395="1+2", $C395 + CADASTROS!$C$5, IF($H395="1+3", $C395 + CADASTROS!$E$4, "")))), "")</f>
        <v>45199</v>
      </c>
      <c r="L395" s="8">
        <f t="shared" si="25"/>
        <v>1012.5</v>
      </c>
      <c r="M395" s="3">
        <f>IF($N395&lt;&gt;"", IF($H395="A VISTA", "", IF($H395="1+1", $C395 + CADASTROS!$C$4, IF($H395="1+2", $C395 + CADASTROS!$D$5, IF($H395="1+3", $C395 + CADASTROS!$D$6, "")))), "")</f>
        <v>45244</v>
      </c>
      <c r="N395" s="8">
        <f t="shared" si="26"/>
        <v>1012.5</v>
      </c>
      <c r="O395" s="3">
        <f>IF($P395&lt;&gt;"", IF($H395="A VISTA", "", IF($H395="1+1", $C395 + CADASTROS!$C$4, IF($H395="1+2", $C395 + CADASTROS!$C$5, IF($H395="1+3", $C395 + CADASTROS!$E$6, "")))), "")</f>
        <v>45259</v>
      </c>
      <c r="P395" s="8">
        <f t="shared" si="27"/>
        <v>1012.5</v>
      </c>
    </row>
    <row r="396" spans="1:16">
      <c r="A396" s="2" t="s">
        <v>531</v>
      </c>
      <c r="B396" s="6" t="s">
        <v>14</v>
      </c>
      <c r="C396" s="7">
        <v>45289</v>
      </c>
      <c r="D396" s="7" t="s">
        <v>61</v>
      </c>
      <c r="E396" s="4" t="s">
        <v>110</v>
      </c>
      <c r="F396" s="4" t="s">
        <v>113</v>
      </c>
      <c r="G396" s="8">
        <v>2336</v>
      </c>
      <c r="H396" s="8" t="s">
        <v>136</v>
      </c>
      <c r="I396" s="3">
        <f>IF($H396="A VISTA", C396 + CADASTROS!$B$3, IF($H396="1+1", C396 + CADASTROS!$B$4, IF(H396="1+2", C396 + CADASTROS!$B$5, IF(H396="1+3", C396 + CADASTROS!$B$6, ""))))</f>
        <v>45290</v>
      </c>
      <c r="J396" s="8">
        <f t="shared" si="24"/>
        <v>584</v>
      </c>
      <c r="K396" s="3">
        <f>IF($L396&lt;&gt;"", IF($H396="A VISTA", "", IF($H396="1+1", $C396 + CADASTROS!$C$4, IF($H396="1+2", $C396 + CADASTROS!$C$5, IF($H396="1+3", $C396 + CADASTROS!$E$4, "")))), "")</f>
        <v>45289</v>
      </c>
      <c r="L396" s="8">
        <f t="shared" si="25"/>
        <v>584</v>
      </c>
      <c r="M396" s="3">
        <f>IF($N396&lt;&gt;"", IF($H396="A VISTA", "", IF($H396="1+1", $C396 + CADASTROS!$C$4, IF($H396="1+2", $C396 + CADASTROS!$D$5, IF($H396="1+3", $C396 + CADASTROS!$D$6, "")))), "")</f>
        <v>45334</v>
      </c>
      <c r="N396" s="8">
        <f t="shared" si="26"/>
        <v>584</v>
      </c>
      <c r="O396" s="3">
        <f>IF($P396&lt;&gt;"", IF($H396="A VISTA", "", IF($H396="1+1", $C396 + CADASTROS!$C$4, IF($H396="1+2", $C396 + CADASTROS!$C$5, IF($H396="1+3", $C396 + CADASTROS!$E$6, "")))), "")</f>
        <v>45349</v>
      </c>
      <c r="P396" s="8">
        <f t="shared" si="27"/>
        <v>584</v>
      </c>
    </row>
    <row r="397" spans="1:16">
      <c r="A397" s="2" t="s">
        <v>532</v>
      </c>
      <c r="B397" s="6" t="s">
        <v>28</v>
      </c>
      <c r="C397" s="7">
        <v>45297</v>
      </c>
      <c r="D397" s="7" t="s">
        <v>77</v>
      </c>
      <c r="E397" s="4" t="s">
        <v>110</v>
      </c>
      <c r="F397" s="4" t="s">
        <v>114</v>
      </c>
      <c r="G397" s="8">
        <v>3078</v>
      </c>
      <c r="H397" s="8" t="s">
        <v>138</v>
      </c>
      <c r="I397" s="3">
        <f>IF($H397="A VISTA", C397 + CADASTROS!$B$3, IF($H397="1+1", C397 + CADASTROS!$B$4, IF(H397="1+2", C397 + CADASTROS!$B$5, IF(H397="1+3", C397 + CADASTROS!$B$6, ""))))</f>
        <v>45298</v>
      </c>
      <c r="J397" s="8">
        <f t="shared" si="24"/>
        <v>1539</v>
      </c>
      <c r="K397" s="3">
        <f>IF($L397&lt;&gt;"", IF($H397="A VISTA", "", IF($H397="1+1", $C397 + CADASTROS!$C$4, IF($H397="1+2", $C397 + CADASTROS!$C$5, IF($H397="1+3", $C397 + CADASTROS!$E$4, "")))), "")</f>
        <v>45327</v>
      </c>
      <c r="L397" s="8">
        <f t="shared" si="25"/>
        <v>1539</v>
      </c>
      <c r="M397" s="3" t="str">
        <f>IF($N397&lt;&gt;"", IF($H397="A VISTA", "", IF($H397="1+1", $C397 + CADASTROS!$C$4, IF($H397="1+2", $C397 + CADASTROS!$D$5, IF($H397="1+3", $C397 + CADASTROS!$D$6, "")))), "")</f>
        <v/>
      </c>
      <c r="N397" s="8" t="str">
        <f t="shared" si="26"/>
        <v/>
      </c>
      <c r="O397" s="3" t="str">
        <f>IF($P397&lt;&gt;"", IF($H397="A VISTA", "", IF($H397="1+1", $C397 + CADASTROS!$C$4, IF($H397="1+2", $C397 + CADASTROS!$C$5, IF($H397="1+3", $C397 + CADASTROS!$E$6, "")))), "")</f>
        <v/>
      </c>
      <c r="P397" s="8" t="str">
        <f t="shared" si="27"/>
        <v/>
      </c>
    </row>
    <row r="398" spans="1:16">
      <c r="A398" s="2" t="s">
        <v>533</v>
      </c>
      <c r="B398" s="6" t="s">
        <v>39</v>
      </c>
      <c r="C398" s="7">
        <v>45391</v>
      </c>
      <c r="D398" s="7" t="s">
        <v>88</v>
      </c>
      <c r="E398" s="4" t="s">
        <v>110</v>
      </c>
      <c r="F398" s="4" t="s">
        <v>114</v>
      </c>
      <c r="G398" s="8">
        <v>1063</v>
      </c>
      <c r="H398" s="8" t="s">
        <v>138</v>
      </c>
      <c r="I398" s="3">
        <f>IF($H398="A VISTA", C398 + CADASTROS!$B$3, IF($H398="1+1", C398 + CADASTROS!$B$4, IF(H398="1+2", C398 + CADASTROS!$B$5, IF(H398="1+3", C398 + CADASTROS!$B$6, ""))))</f>
        <v>45392</v>
      </c>
      <c r="J398" s="8">
        <f t="shared" si="24"/>
        <v>531.5</v>
      </c>
      <c r="K398" s="3">
        <f>IF($L398&lt;&gt;"", IF($H398="A VISTA", "", IF($H398="1+1", $C398 + CADASTROS!$C$4, IF($H398="1+2", $C398 + CADASTROS!$C$5, IF($H398="1+3", $C398 + CADASTROS!$E$4, "")))), "")</f>
        <v>45421</v>
      </c>
      <c r="L398" s="8">
        <f t="shared" si="25"/>
        <v>531.5</v>
      </c>
      <c r="M398" s="3" t="str">
        <f>IF($N398&lt;&gt;"", IF($H398="A VISTA", "", IF($H398="1+1", $C398 + CADASTROS!$C$4, IF($H398="1+2", $C398 + CADASTROS!$D$5, IF($H398="1+3", $C398 + CADASTROS!$D$6, "")))), "")</f>
        <v/>
      </c>
      <c r="N398" s="8" t="str">
        <f t="shared" si="26"/>
        <v/>
      </c>
      <c r="O398" s="3" t="str">
        <f>IF($P398&lt;&gt;"", IF($H398="A VISTA", "", IF($H398="1+1", $C398 + CADASTROS!$C$4, IF($H398="1+2", $C398 + CADASTROS!$C$5, IF($H398="1+3", $C398 + CADASTROS!$E$6, "")))), "")</f>
        <v/>
      </c>
      <c r="P398" s="8" t="str">
        <f t="shared" si="27"/>
        <v/>
      </c>
    </row>
    <row r="399" spans="1:16">
      <c r="A399" s="2" t="s">
        <v>534</v>
      </c>
      <c r="B399" s="6" t="s">
        <v>12</v>
      </c>
      <c r="C399" s="7">
        <v>45284</v>
      </c>
      <c r="D399" s="7" t="s">
        <v>62</v>
      </c>
      <c r="E399" s="4" t="s">
        <v>112</v>
      </c>
      <c r="F399" s="4" t="s">
        <v>122</v>
      </c>
      <c r="G399" s="8">
        <v>5061</v>
      </c>
      <c r="H399" s="8" t="s">
        <v>126</v>
      </c>
      <c r="I399" s="3">
        <f>IF($H399="A VISTA", C399 + CADASTROS!$B$3, IF($H399="1+1", C399 + CADASTROS!$B$4, IF(H399="1+2", C399 + CADASTROS!$B$5, IF(H399="1+3", C399 + CADASTROS!$B$6, ""))))</f>
        <v>45285</v>
      </c>
      <c r="J399" s="8">
        <f t="shared" si="24"/>
        <v>5061</v>
      </c>
      <c r="K399" s="3" t="str">
        <f>IF($L399&lt;&gt;"", IF($H399="A VISTA", "", IF($H399="1+1", $C399 + CADASTROS!$C$4, IF($H399="1+2", $C399 + CADASTROS!$C$5, IF($H399="1+3", $C399 + CADASTROS!$E$4, "")))), "")</f>
        <v/>
      </c>
      <c r="L399" s="8" t="str">
        <f t="shared" si="25"/>
        <v/>
      </c>
      <c r="M399" s="3" t="str">
        <f>IF($N399&lt;&gt;"", IF($H399="A VISTA", "", IF($H399="1+1", $C399 + CADASTROS!$C$4, IF($H399="1+2", $C399 + CADASTROS!$D$5, IF($H399="1+3", $C399 + CADASTROS!$D$6, "")))), "")</f>
        <v/>
      </c>
      <c r="N399" s="8" t="str">
        <f t="shared" si="26"/>
        <v/>
      </c>
      <c r="O399" s="3" t="str">
        <f>IF($P399&lt;&gt;"", IF($H399="A VISTA", "", IF($H399="1+1", $C399 + CADASTROS!$C$4, IF($H399="1+2", $C399 + CADASTROS!$C$5, IF($H399="1+3", $C399 + CADASTROS!$E$6, "")))), "")</f>
        <v/>
      </c>
      <c r="P399" s="8" t="str">
        <f t="shared" si="27"/>
        <v/>
      </c>
    </row>
    <row r="400" spans="1:16">
      <c r="A400" s="2" t="s">
        <v>535</v>
      </c>
      <c r="B400" s="6" t="s">
        <v>59</v>
      </c>
      <c r="C400" s="7">
        <v>45348</v>
      </c>
      <c r="D400" s="7" t="s">
        <v>108</v>
      </c>
      <c r="E400" s="4" t="s">
        <v>111</v>
      </c>
      <c r="F400" s="4" t="s">
        <v>121</v>
      </c>
      <c r="G400" s="8">
        <v>4323</v>
      </c>
      <c r="H400" s="8" t="s">
        <v>137</v>
      </c>
      <c r="I400" s="3">
        <f>IF($H400="A VISTA", C400 + CADASTROS!$B$3, IF($H400="1+1", C400 + CADASTROS!$B$4, IF(H400="1+2", C400 + CADASTROS!$B$5, IF(H400="1+3", C400 + CADASTROS!$B$6, ""))))</f>
        <v>45349</v>
      </c>
      <c r="J400" s="8">
        <f t="shared" si="24"/>
        <v>1441</v>
      </c>
      <c r="K400" s="3">
        <f>IF($L400&lt;&gt;"", IF($H400="A VISTA", "", IF($H400="1+1", $C400 + CADASTROS!$C$4, IF($H400="1+2", $C400 + CADASTROS!$C$5, IF($H400="1+3", $C400 + CADASTROS!$E$4, "")))), "")</f>
        <v>45378</v>
      </c>
      <c r="L400" s="8">
        <f t="shared" si="25"/>
        <v>1441</v>
      </c>
      <c r="M400" s="3">
        <f>IF($N400&lt;&gt;"", IF($H400="A VISTA", "", IF($H400="1+1", $C400 + CADASTROS!$C$4, IF($H400="1+2", $C400 + CADASTROS!$D$5, IF($H400="1+3", $C400 + CADASTROS!$D$6, "")))), "")</f>
        <v>45393</v>
      </c>
      <c r="N400" s="8">
        <f t="shared" si="26"/>
        <v>1441</v>
      </c>
      <c r="O400" s="3" t="str">
        <f>IF($P400&lt;&gt;"", IF($H400="A VISTA", "", IF($H400="1+1", $C400 + CADASTROS!$C$4, IF($H400="1+2", $C400 + CADASTROS!$C$5, IF($H400="1+3", $C400 + CADASTROS!$E$6, "")))), "")</f>
        <v/>
      </c>
      <c r="P400" s="8" t="str">
        <f t="shared" si="27"/>
        <v/>
      </c>
    </row>
    <row r="401" spans="1:16">
      <c r="A401" s="2" t="s">
        <v>536</v>
      </c>
      <c r="B401" s="6" t="s">
        <v>43</v>
      </c>
      <c r="C401" s="7">
        <v>45170</v>
      </c>
      <c r="D401" s="7" t="s">
        <v>92</v>
      </c>
      <c r="E401" s="4" t="s">
        <v>110</v>
      </c>
      <c r="F401" s="4" t="s">
        <v>124</v>
      </c>
      <c r="G401" s="8">
        <v>5282</v>
      </c>
      <c r="H401" s="8" t="s">
        <v>137</v>
      </c>
      <c r="I401" s="3">
        <f>IF($H401="A VISTA", C401 + CADASTROS!$B$3, IF($H401="1+1", C401 + CADASTROS!$B$4, IF(H401="1+2", C401 + CADASTROS!$B$5, IF(H401="1+3", C401 + CADASTROS!$B$6, ""))))</f>
        <v>45171</v>
      </c>
      <c r="J401" s="8">
        <f t="shared" si="24"/>
        <v>1760.6666666666667</v>
      </c>
      <c r="K401" s="3">
        <f>IF($L401&lt;&gt;"", IF($H401="A VISTA", "", IF($H401="1+1", $C401 + CADASTROS!$C$4, IF($H401="1+2", $C401 + CADASTROS!$C$5, IF($H401="1+3", $C401 + CADASTROS!$E$4, "")))), "")</f>
        <v>45200</v>
      </c>
      <c r="L401" s="8">
        <f t="shared" si="25"/>
        <v>1760.6666666666667</v>
      </c>
      <c r="M401" s="3">
        <f>IF($N401&lt;&gt;"", IF($H401="A VISTA", "", IF($H401="1+1", $C401 + CADASTROS!$C$4, IF($H401="1+2", $C401 + CADASTROS!$D$5, IF($H401="1+3", $C401 + CADASTROS!$D$6, "")))), "")</f>
        <v>45215</v>
      </c>
      <c r="N401" s="8">
        <f t="shared" si="26"/>
        <v>1760.6666666666663</v>
      </c>
      <c r="O401" s="3" t="str">
        <f>IF($P401&lt;&gt;"", IF($H401="A VISTA", "", IF($H401="1+1", $C401 + CADASTROS!$C$4, IF($H401="1+2", $C401 + CADASTROS!$C$5, IF($H401="1+3", $C401 + CADASTROS!$E$6, "")))), "")</f>
        <v/>
      </c>
      <c r="P401" s="8" t="str">
        <f t="shared" si="27"/>
        <v/>
      </c>
    </row>
    <row r="402" spans="1:16">
      <c r="A402" s="2" t="s">
        <v>537</v>
      </c>
      <c r="B402" s="6" t="s">
        <v>18</v>
      </c>
      <c r="C402" s="7">
        <v>45161</v>
      </c>
      <c r="D402" s="7" t="s">
        <v>67</v>
      </c>
      <c r="E402" s="4" t="s">
        <v>111</v>
      </c>
      <c r="F402" s="4" t="s">
        <v>121</v>
      </c>
      <c r="G402" s="8">
        <v>2837</v>
      </c>
      <c r="H402" s="8" t="s">
        <v>126</v>
      </c>
      <c r="I402" s="3">
        <f>IF($H402="A VISTA", C402 + CADASTROS!$B$3, IF($H402="1+1", C402 + CADASTROS!$B$4, IF(H402="1+2", C402 + CADASTROS!$B$5, IF(H402="1+3", C402 + CADASTROS!$B$6, ""))))</f>
        <v>45162</v>
      </c>
      <c r="J402" s="8">
        <f t="shared" si="24"/>
        <v>2837</v>
      </c>
      <c r="K402" s="3" t="str">
        <f>IF($L402&lt;&gt;"", IF($H402="A VISTA", "", IF($H402="1+1", $C402 + CADASTROS!$C$4, IF($H402="1+2", $C402 + CADASTROS!$C$5, IF($H402="1+3", $C402 + CADASTROS!$E$4, "")))), "")</f>
        <v/>
      </c>
      <c r="L402" s="8" t="str">
        <f t="shared" si="25"/>
        <v/>
      </c>
      <c r="M402" s="3" t="str">
        <f>IF($N402&lt;&gt;"", IF($H402="A VISTA", "", IF($H402="1+1", $C402 + CADASTROS!$C$4, IF($H402="1+2", $C402 + CADASTROS!$D$5, IF($H402="1+3", $C402 + CADASTROS!$D$6, "")))), "")</f>
        <v/>
      </c>
      <c r="N402" s="8" t="str">
        <f t="shared" si="26"/>
        <v/>
      </c>
      <c r="O402" s="3" t="str">
        <f>IF($P402&lt;&gt;"", IF($H402="A VISTA", "", IF($H402="1+1", $C402 + CADASTROS!$C$4, IF($H402="1+2", $C402 + CADASTROS!$C$5, IF($H402="1+3", $C402 + CADASTROS!$E$6, "")))), "")</f>
        <v/>
      </c>
      <c r="P402" s="8" t="str">
        <f t="shared" si="27"/>
        <v/>
      </c>
    </row>
    <row r="403" spans="1:16">
      <c r="A403" s="2" t="s">
        <v>538</v>
      </c>
      <c r="B403" s="6" t="s">
        <v>37</v>
      </c>
      <c r="C403" s="7">
        <v>45332</v>
      </c>
      <c r="D403" s="7" t="s">
        <v>86</v>
      </c>
      <c r="E403" s="4" t="s">
        <v>112</v>
      </c>
      <c r="F403" s="4" t="s">
        <v>123</v>
      </c>
      <c r="G403" s="8">
        <v>7874</v>
      </c>
      <c r="H403" s="8" t="s">
        <v>126</v>
      </c>
      <c r="I403" s="3">
        <f>IF($H403="A VISTA", C403 + CADASTROS!$B$3, IF($H403="1+1", C403 + CADASTROS!$B$4, IF(H403="1+2", C403 + CADASTROS!$B$5, IF(H403="1+3", C403 + CADASTROS!$B$6, ""))))</f>
        <v>45333</v>
      </c>
      <c r="J403" s="8">
        <f t="shared" si="24"/>
        <v>7874</v>
      </c>
      <c r="K403" s="3" t="str">
        <f>IF($L403&lt;&gt;"", IF($H403="A VISTA", "", IF($H403="1+1", $C403 + CADASTROS!$C$4, IF($H403="1+2", $C403 + CADASTROS!$C$5, IF($H403="1+3", $C403 + CADASTROS!$E$4, "")))), "")</f>
        <v/>
      </c>
      <c r="L403" s="8" t="str">
        <f t="shared" si="25"/>
        <v/>
      </c>
      <c r="M403" s="3" t="str">
        <f>IF($N403&lt;&gt;"", IF($H403="A VISTA", "", IF($H403="1+1", $C403 + CADASTROS!$C$4, IF($H403="1+2", $C403 + CADASTROS!$D$5, IF($H403="1+3", $C403 + CADASTROS!$D$6, "")))), "")</f>
        <v/>
      </c>
      <c r="N403" s="8" t="str">
        <f t="shared" si="26"/>
        <v/>
      </c>
      <c r="O403" s="3" t="str">
        <f>IF($P403&lt;&gt;"", IF($H403="A VISTA", "", IF($H403="1+1", $C403 + CADASTROS!$C$4, IF($H403="1+2", $C403 + CADASTROS!$C$5, IF($H403="1+3", $C403 + CADASTROS!$E$6, "")))), "")</f>
        <v/>
      </c>
      <c r="P403" s="8" t="str">
        <f t="shared" si="27"/>
        <v/>
      </c>
    </row>
    <row r="404" spans="1:16">
      <c r="A404" s="2" t="s">
        <v>539</v>
      </c>
      <c r="B404" s="6" t="s">
        <v>35</v>
      </c>
      <c r="C404" s="7">
        <v>45112</v>
      </c>
      <c r="D404" s="7" t="s">
        <v>84</v>
      </c>
      <c r="E404" s="4" t="s">
        <v>112</v>
      </c>
      <c r="F404" s="4" t="s">
        <v>122</v>
      </c>
      <c r="G404" s="8">
        <v>8182</v>
      </c>
      <c r="H404" s="8" t="s">
        <v>126</v>
      </c>
      <c r="I404" s="3">
        <f>IF($H404="A VISTA", C404 + CADASTROS!$B$3, IF($H404="1+1", C404 + CADASTROS!$B$4, IF(H404="1+2", C404 + CADASTROS!$B$5, IF(H404="1+3", C404 + CADASTROS!$B$6, ""))))</f>
        <v>45113</v>
      </c>
      <c r="J404" s="8">
        <f t="shared" si="24"/>
        <v>8182</v>
      </c>
      <c r="K404" s="3" t="str">
        <f>IF($L404&lt;&gt;"", IF($H404="A VISTA", "", IF($H404="1+1", $C404 + CADASTROS!$C$4, IF($H404="1+2", $C404 + CADASTROS!$C$5, IF($H404="1+3", $C404 + CADASTROS!$E$4, "")))), "")</f>
        <v/>
      </c>
      <c r="L404" s="8" t="str">
        <f t="shared" si="25"/>
        <v/>
      </c>
      <c r="M404" s="3" t="str">
        <f>IF($N404&lt;&gt;"", IF($H404="A VISTA", "", IF($H404="1+1", $C404 + CADASTROS!$C$4, IF($H404="1+2", $C404 + CADASTROS!$D$5, IF($H404="1+3", $C404 + CADASTROS!$D$6, "")))), "")</f>
        <v/>
      </c>
      <c r="N404" s="8" t="str">
        <f t="shared" si="26"/>
        <v/>
      </c>
      <c r="O404" s="3" t="str">
        <f>IF($P404&lt;&gt;"", IF($H404="A VISTA", "", IF($H404="1+1", $C404 + CADASTROS!$C$4, IF($H404="1+2", $C404 + CADASTROS!$C$5, IF($H404="1+3", $C404 + CADASTROS!$E$6, "")))), "")</f>
        <v/>
      </c>
      <c r="P404" s="8" t="str">
        <f t="shared" si="27"/>
        <v/>
      </c>
    </row>
    <row r="405" spans="1:16">
      <c r="A405" s="2" t="s">
        <v>540</v>
      </c>
      <c r="B405" s="6" t="s">
        <v>45</v>
      </c>
      <c r="C405" s="7">
        <v>45141</v>
      </c>
      <c r="D405" s="7" t="s">
        <v>94</v>
      </c>
      <c r="E405" s="4" t="s">
        <v>110</v>
      </c>
      <c r="F405" s="4" t="s">
        <v>113</v>
      </c>
      <c r="G405" s="8">
        <v>3563</v>
      </c>
      <c r="H405" s="8" t="s">
        <v>136</v>
      </c>
      <c r="I405" s="3">
        <f>IF($H405="A VISTA", C405 + CADASTROS!$B$3, IF($H405="1+1", C405 + CADASTROS!$B$4, IF(H405="1+2", C405 + CADASTROS!$B$5, IF(H405="1+3", C405 + CADASTROS!$B$6, ""))))</f>
        <v>45142</v>
      </c>
      <c r="J405" s="8">
        <f t="shared" si="24"/>
        <v>890.75</v>
      </c>
      <c r="K405" s="3">
        <f>IF($L405&lt;&gt;"", IF($H405="A VISTA", "", IF($H405="1+1", $C405 + CADASTROS!$C$4, IF($H405="1+2", $C405 + CADASTROS!$C$5, IF($H405="1+3", $C405 + CADASTROS!$E$4, "")))), "")</f>
        <v>45141</v>
      </c>
      <c r="L405" s="8">
        <f t="shared" si="25"/>
        <v>890.75</v>
      </c>
      <c r="M405" s="3">
        <f>IF($N405&lt;&gt;"", IF($H405="A VISTA", "", IF($H405="1+1", $C405 + CADASTROS!$C$4, IF($H405="1+2", $C405 + CADASTROS!$D$5, IF($H405="1+3", $C405 + CADASTROS!$D$6, "")))), "")</f>
        <v>45186</v>
      </c>
      <c r="N405" s="8">
        <f t="shared" si="26"/>
        <v>890.75</v>
      </c>
      <c r="O405" s="3">
        <f>IF($P405&lt;&gt;"", IF($H405="A VISTA", "", IF($H405="1+1", $C405 + CADASTROS!$C$4, IF($H405="1+2", $C405 + CADASTROS!$C$5, IF($H405="1+3", $C405 + CADASTROS!$E$6, "")))), "")</f>
        <v>45201</v>
      </c>
      <c r="P405" s="8">
        <f t="shared" si="27"/>
        <v>890.75</v>
      </c>
    </row>
    <row r="406" spans="1:16">
      <c r="A406" s="2" t="s">
        <v>541</v>
      </c>
      <c r="B406" s="6" t="s">
        <v>37</v>
      </c>
      <c r="C406" s="7">
        <v>45342</v>
      </c>
      <c r="D406" s="7" t="s">
        <v>86</v>
      </c>
      <c r="E406" s="4" t="s">
        <v>112</v>
      </c>
      <c r="F406" s="4" t="s">
        <v>123</v>
      </c>
      <c r="G406" s="8">
        <v>2295</v>
      </c>
      <c r="H406" s="8" t="s">
        <v>126</v>
      </c>
      <c r="I406" s="3">
        <f>IF($H406="A VISTA", C406 + CADASTROS!$B$3, IF($H406="1+1", C406 + CADASTROS!$B$4, IF(H406="1+2", C406 + CADASTROS!$B$5, IF(H406="1+3", C406 + CADASTROS!$B$6, ""))))</f>
        <v>45343</v>
      </c>
      <c r="J406" s="8">
        <f t="shared" si="24"/>
        <v>2295</v>
      </c>
      <c r="K406" s="3" t="str">
        <f>IF($L406&lt;&gt;"", IF($H406="A VISTA", "", IF($H406="1+1", $C406 + CADASTROS!$C$4, IF($H406="1+2", $C406 + CADASTROS!$C$5, IF($H406="1+3", $C406 + CADASTROS!$E$4, "")))), "")</f>
        <v/>
      </c>
      <c r="L406" s="8" t="str">
        <f t="shared" si="25"/>
        <v/>
      </c>
      <c r="M406" s="3" t="str">
        <f>IF($N406&lt;&gt;"", IF($H406="A VISTA", "", IF($H406="1+1", $C406 + CADASTROS!$C$4, IF($H406="1+2", $C406 + CADASTROS!$D$5, IF($H406="1+3", $C406 + CADASTROS!$D$6, "")))), "")</f>
        <v/>
      </c>
      <c r="N406" s="8" t="str">
        <f t="shared" si="26"/>
        <v/>
      </c>
      <c r="O406" s="3" t="str">
        <f>IF($P406&lt;&gt;"", IF($H406="A VISTA", "", IF($H406="1+1", $C406 + CADASTROS!$C$4, IF($H406="1+2", $C406 + CADASTROS!$C$5, IF($H406="1+3", $C406 + CADASTROS!$E$6, "")))), "")</f>
        <v/>
      </c>
      <c r="P406" s="8" t="str">
        <f t="shared" si="27"/>
        <v/>
      </c>
    </row>
    <row r="407" spans="1:16">
      <c r="A407" s="2" t="s">
        <v>542</v>
      </c>
      <c r="B407" s="6" t="s">
        <v>26</v>
      </c>
      <c r="C407" s="7">
        <v>45184</v>
      </c>
      <c r="D407" s="7" t="s">
        <v>75</v>
      </c>
      <c r="E407" s="4" t="s">
        <v>112</v>
      </c>
      <c r="F407" s="4" t="s">
        <v>123</v>
      </c>
      <c r="G407" s="8">
        <v>5621</v>
      </c>
      <c r="H407" s="8" t="s">
        <v>126</v>
      </c>
      <c r="I407" s="3">
        <f>IF($H407="A VISTA", C407 + CADASTROS!$B$3, IF($H407="1+1", C407 + CADASTROS!$B$4, IF(H407="1+2", C407 + CADASTROS!$B$5, IF(H407="1+3", C407 + CADASTROS!$B$6, ""))))</f>
        <v>45185</v>
      </c>
      <c r="J407" s="8">
        <f t="shared" si="24"/>
        <v>5621</v>
      </c>
      <c r="K407" s="3" t="str">
        <f>IF($L407&lt;&gt;"", IF($H407="A VISTA", "", IF($H407="1+1", $C407 + CADASTROS!$C$4, IF($H407="1+2", $C407 + CADASTROS!$C$5, IF($H407="1+3", $C407 + CADASTROS!$E$4, "")))), "")</f>
        <v/>
      </c>
      <c r="L407" s="8" t="str">
        <f t="shared" si="25"/>
        <v/>
      </c>
      <c r="M407" s="3" t="str">
        <f>IF($N407&lt;&gt;"", IF($H407="A VISTA", "", IF($H407="1+1", $C407 + CADASTROS!$C$4, IF($H407="1+2", $C407 + CADASTROS!$D$5, IF($H407="1+3", $C407 + CADASTROS!$D$6, "")))), "")</f>
        <v/>
      </c>
      <c r="N407" s="8" t="str">
        <f t="shared" si="26"/>
        <v/>
      </c>
      <c r="O407" s="3" t="str">
        <f>IF($P407&lt;&gt;"", IF($H407="A VISTA", "", IF($H407="1+1", $C407 + CADASTROS!$C$4, IF($H407="1+2", $C407 + CADASTROS!$C$5, IF($H407="1+3", $C407 + CADASTROS!$E$6, "")))), "")</f>
        <v/>
      </c>
      <c r="P407" s="8" t="str">
        <f t="shared" si="27"/>
        <v/>
      </c>
    </row>
    <row r="408" spans="1:16">
      <c r="A408" s="2" t="s">
        <v>543</v>
      </c>
      <c r="B408" s="6" t="s">
        <v>52</v>
      </c>
      <c r="C408" s="7">
        <v>45334</v>
      </c>
      <c r="D408" s="7" t="s">
        <v>101</v>
      </c>
      <c r="E408" s="4" t="s">
        <v>111</v>
      </c>
      <c r="F408" s="4" t="s">
        <v>118</v>
      </c>
      <c r="G408" s="8">
        <v>5611</v>
      </c>
      <c r="H408" s="8" t="s">
        <v>126</v>
      </c>
      <c r="I408" s="3">
        <f>IF($H408="A VISTA", C408 + CADASTROS!$B$3, IF($H408="1+1", C408 + CADASTROS!$B$4, IF(H408="1+2", C408 + CADASTROS!$B$5, IF(H408="1+3", C408 + CADASTROS!$B$6, ""))))</f>
        <v>45335</v>
      </c>
      <c r="J408" s="8">
        <f t="shared" si="24"/>
        <v>5611</v>
      </c>
      <c r="K408" s="3" t="str">
        <f>IF($L408&lt;&gt;"", IF($H408="A VISTA", "", IF($H408="1+1", $C408 + CADASTROS!$C$4, IF($H408="1+2", $C408 + CADASTROS!$C$5, IF($H408="1+3", $C408 + CADASTROS!$E$4, "")))), "")</f>
        <v/>
      </c>
      <c r="L408" s="8" t="str">
        <f t="shared" si="25"/>
        <v/>
      </c>
      <c r="M408" s="3" t="str">
        <f>IF($N408&lt;&gt;"", IF($H408="A VISTA", "", IF($H408="1+1", $C408 + CADASTROS!$C$4, IF($H408="1+2", $C408 + CADASTROS!$D$5, IF($H408="1+3", $C408 + CADASTROS!$D$6, "")))), "")</f>
        <v/>
      </c>
      <c r="N408" s="8" t="str">
        <f t="shared" si="26"/>
        <v/>
      </c>
      <c r="O408" s="3" t="str">
        <f>IF($P408&lt;&gt;"", IF($H408="A VISTA", "", IF($H408="1+1", $C408 + CADASTROS!$C$4, IF($H408="1+2", $C408 + CADASTROS!$C$5, IF($H408="1+3", $C408 + CADASTROS!$E$6, "")))), "")</f>
        <v/>
      </c>
      <c r="P408" s="8" t="str">
        <f t="shared" si="27"/>
        <v/>
      </c>
    </row>
    <row r="409" spans="1:16">
      <c r="A409" s="2" t="s">
        <v>544</v>
      </c>
      <c r="B409" s="6" t="s">
        <v>43</v>
      </c>
      <c r="C409" s="7">
        <v>45471</v>
      </c>
      <c r="D409" s="7" t="s">
        <v>92</v>
      </c>
      <c r="E409" s="4" t="s">
        <v>110</v>
      </c>
      <c r="F409" s="4" t="s">
        <v>124</v>
      </c>
      <c r="G409" s="8">
        <v>9978</v>
      </c>
      <c r="H409" s="8" t="s">
        <v>138</v>
      </c>
      <c r="I409" s="3">
        <f>IF($H409="A VISTA", C409 + CADASTROS!$B$3, IF($H409="1+1", C409 + CADASTROS!$B$4, IF(H409="1+2", C409 + CADASTROS!$B$5, IF(H409="1+3", C409 + CADASTROS!$B$6, ""))))</f>
        <v>45472</v>
      </c>
      <c r="J409" s="8">
        <f t="shared" si="24"/>
        <v>4989</v>
      </c>
      <c r="K409" s="3">
        <f>IF($L409&lt;&gt;"", IF($H409="A VISTA", "", IF($H409="1+1", $C409 + CADASTROS!$C$4, IF($H409="1+2", $C409 + CADASTROS!$C$5, IF($H409="1+3", $C409 + CADASTROS!$E$4, "")))), "")</f>
        <v>45501</v>
      </c>
      <c r="L409" s="8">
        <f t="shared" si="25"/>
        <v>4989</v>
      </c>
      <c r="M409" s="3" t="str">
        <f>IF($N409&lt;&gt;"", IF($H409="A VISTA", "", IF($H409="1+1", $C409 + CADASTROS!$C$4, IF($H409="1+2", $C409 + CADASTROS!$D$5, IF($H409="1+3", $C409 + CADASTROS!$D$6, "")))), "")</f>
        <v/>
      </c>
      <c r="N409" s="8" t="str">
        <f t="shared" si="26"/>
        <v/>
      </c>
      <c r="O409" s="3" t="str">
        <f>IF($P409&lt;&gt;"", IF($H409="A VISTA", "", IF($H409="1+1", $C409 + CADASTROS!$C$4, IF($H409="1+2", $C409 + CADASTROS!$C$5, IF($H409="1+3", $C409 + CADASTROS!$E$6, "")))), "")</f>
        <v/>
      </c>
      <c r="P409" s="8" t="str">
        <f t="shared" si="27"/>
        <v/>
      </c>
    </row>
    <row r="410" spans="1:16">
      <c r="A410" s="2" t="s">
        <v>545</v>
      </c>
      <c r="B410" s="6" t="s">
        <v>30</v>
      </c>
      <c r="C410" s="7">
        <v>45236</v>
      </c>
      <c r="D410" s="7" t="s">
        <v>79</v>
      </c>
      <c r="E410" s="4" t="s">
        <v>111</v>
      </c>
      <c r="F410" s="4" t="s">
        <v>118</v>
      </c>
      <c r="G410" s="8">
        <v>8750</v>
      </c>
      <c r="H410" s="8" t="s">
        <v>138</v>
      </c>
      <c r="I410" s="3">
        <f>IF($H410="A VISTA", C410 + CADASTROS!$B$3, IF($H410="1+1", C410 + CADASTROS!$B$4, IF(H410="1+2", C410 + CADASTROS!$B$5, IF(H410="1+3", C410 + CADASTROS!$B$6, ""))))</f>
        <v>45237</v>
      </c>
      <c r="J410" s="8">
        <f t="shared" si="24"/>
        <v>4375</v>
      </c>
      <c r="K410" s="3">
        <f>IF($L410&lt;&gt;"", IF($H410="A VISTA", "", IF($H410="1+1", $C410 + CADASTROS!$C$4, IF($H410="1+2", $C410 + CADASTROS!$C$5, IF($H410="1+3", $C410 + CADASTROS!$E$4, "")))), "")</f>
        <v>45266</v>
      </c>
      <c r="L410" s="8">
        <f t="shared" si="25"/>
        <v>4375</v>
      </c>
      <c r="M410" s="3" t="str">
        <f>IF($N410&lt;&gt;"", IF($H410="A VISTA", "", IF($H410="1+1", $C410 + CADASTROS!$C$4, IF($H410="1+2", $C410 + CADASTROS!$D$5, IF($H410="1+3", $C410 + CADASTROS!$D$6, "")))), "")</f>
        <v/>
      </c>
      <c r="N410" s="8" t="str">
        <f t="shared" si="26"/>
        <v/>
      </c>
      <c r="O410" s="3" t="str">
        <f>IF($P410&lt;&gt;"", IF($H410="A VISTA", "", IF($H410="1+1", $C410 + CADASTROS!$C$4, IF($H410="1+2", $C410 + CADASTROS!$C$5, IF($H410="1+3", $C410 + CADASTROS!$E$6, "")))), "")</f>
        <v/>
      </c>
      <c r="P410" s="8" t="str">
        <f t="shared" si="27"/>
        <v/>
      </c>
    </row>
    <row r="411" spans="1:16">
      <c r="A411" s="2" t="s">
        <v>546</v>
      </c>
      <c r="B411" s="6" t="s">
        <v>51</v>
      </c>
      <c r="C411" s="7">
        <v>45107</v>
      </c>
      <c r="D411" s="7" t="s">
        <v>100</v>
      </c>
      <c r="E411" s="4" t="s">
        <v>111</v>
      </c>
      <c r="F411" s="4" t="s">
        <v>121</v>
      </c>
      <c r="G411" s="8">
        <v>8236</v>
      </c>
      <c r="H411" s="8" t="s">
        <v>136</v>
      </c>
      <c r="I411" s="3">
        <f>IF($H411="A VISTA", C411 + CADASTROS!$B$3, IF($H411="1+1", C411 + CADASTROS!$B$4, IF(H411="1+2", C411 + CADASTROS!$B$5, IF(H411="1+3", C411 + CADASTROS!$B$6, ""))))</f>
        <v>45108</v>
      </c>
      <c r="J411" s="8">
        <f t="shared" si="24"/>
        <v>2059</v>
      </c>
      <c r="K411" s="3">
        <f>IF($L411&lt;&gt;"", IF($H411="A VISTA", "", IF($H411="1+1", $C411 + CADASTROS!$C$4, IF($H411="1+2", $C411 + CADASTROS!$C$5, IF($H411="1+3", $C411 + CADASTROS!$E$4, "")))), "")</f>
        <v>45107</v>
      </c>
      <c r="L411" s="8">
        <f t="shared" si="25"/>
        <v>2059</v>
      </c>
      <c r="M411" s="3">
        <f>IF($N411&lt;&gt;"", IF($H411="A VISTA", "", IF($H411="1+1", $C411 + CADASTROS!$C$4, IF($H411="1+2", $C411 + CADASTROS!$D$5, IF($H411="1+3", $C411 + CADASTROS!$D$6, "")))), "")</f>
        <v>45152</v>
      </c>
      <c r="N411" s="8">
        <f t="shared" si="26"/>
        <v>2059</v>
      </c>
      <c r="O411" s="3">
        <f>IF($P411&lt;&gt;"", IF($H411="A VISTA", "", IF($H411="1+1", $C411 + CADASTROS!$C$4, IF($H411="1+2", $C411 + CADASTROS!$C$5, IF($H411="1+3", $C411 + CADASTROS!$E$6, "")))), "")</f>
        <v>45167</v>
      </c>
      <c r="P411" s="8">
        <f t="shared" si="27"/>
        <v>2059</v>
      </c>
    </row>
    <row r="412" spans="1:16">
      <c r="A412" s="2" t="s">
        <v>547</v>
      </c>
      <c r="B412" s="6" t="s">
        <v>46</v>
      </c>
      <c r="C412" s="7">
        <v>45307</v>
      </c>
      <c r="D412" s="7" t="s">
        <v>95</v>
      </c>
      <c r="E412" s="4" t="s">
        <v>112</v>
      </c>
      <c r="F412" s="4" t="s">
        <v>122</v>
      </c>
      <c r="G412" s="8">
        <v>1065</v>
      </c>
      <c r="H412" s="8" t="s">
        <v>126</v>
      </c>
      <c r="I412" s="3">
        <f>IF($H412="A VISTA", C412 + CADASTROS!$B$3, IF($H412="1+1", C412 + CADASTROS!$B$4, IF(H412="1+2", C412 + CADASTROS!$B$5, IF(H412="1+3", C412 + CADASTROS!$B$6, ""))))</f>
        <v>45308</v>
      </c>
      <c r="J412" s="8">
        <f t="shared" si="24"/>
        <v>1065</v>
      </c>
      <c r="K412" s="3" t="str">
        <f>IF($L412&lt;&gt;"", IF($H412="A VISTA", "", IF($H412="1+1", $C412 + CADASTROS!$C$4, IF($H412="1+2", $C412 + CADASTROS!$C$5, IF($H412="1+3", $C412 + CADASTROS!$E$4, "")))), "")</f>
        <v/>
      </c>
      <c r="L412" s="8" t="str">
        <f t="shared" si="25"/>
        <v/>
      </c>
      <c r="M412" s="3" t="str">
        <f>IF($N412&lt;&gt;"", IF($H412="A VISTA", "", IF($H412="1+1", $C412 + CADASTROS!$C$4, IF($H412="1+2", $C412 + CADASTROS!$D$5, IF($H412="1+3", $C412 + CADASTROS!$D$6, "")))), "")</f>
        <v/>
      </c>
      <c r="N412" s="8" t="str">
        <f t="shared" si="26"/>
        <v/>
      </c>
      <c r="O412" s="3" t="str">
        <f>IF($P412&lt;&gt;"", IF($H412="A VISTA", "", IF($H412="1+1", $C412 + CADASTROS!$C$4, IF($H412="1+2", $C412 + CADASTROS!$C$5, IF($H412="1+3", $C412 + CADASTROS!$E$6, "")))), "")</f>
        <v/>
      </c>
      <c r="P412" s="8" t="str">
        <f t="shared" si="27"/>
        <v/>
      </c>
    </row>
    <row r="413" spans="1:16">
      <c r="A413" s="2" t="s">
        <v>548</v>
      </c>
      <c r="B413" s="6" t="s">
        <v>12</v>
      </c>
      <c r="C413" s="7">
        <v>45371</v>
      </c>
      <c r="D413" s="7" t="s">
        <v>62</v>
      </c>
      <c r="E413" s="4" t="s">
        <v>112</v>
      </c>
      <c r="F413" s="4" t="s">
        <v>122</v>
      </c>
      <c r="G413" s="8">
        <v>486</v>
      </c>
      <c r="H413" s="8" t="s">
        <v>126</v>
      </c>
      <c r="I413" s="3">
        <f>IF($H413="A VISTA", C413 + CADASTROS!$B$3, IF($H413="1+1", C413 + CADASTROS!$B$4, IF(H413="1+2", C413 + CADASTROS!$B$5, IF(H413="1+3", C413 + CADASTROS!$B$6, ""))))</f>
        <v>45372</v>
      </c>
      <c r="J413" s="8">
        <f t="shared" si="24"/>
        <v>486</v>
      </c>
      <c r="K413" s="3" t="str">
        <f>IF($L413&lt;&gt;"", IF($H413="A VISTA", "", IF($H413="1+1", $C413 + CADASTROS!$C$4, IF($H413="1+2", $C413 + CADASTROS!$C$5, IF($H413="1+3", $C413 + CADASTROS!$E$4, "")))), "")</f>
        <v/>
      </c>
      <c r="L413" s="8" t="str">
        <f t="shared" si="25"/>
        <v/>
      </c>
      <c r="M413" s="3" t="str">
        <f>IF($N413&lt;&gt;"", IF($H413="A VISTA", "", IF($H413="1+1", $C413 + CADASTROS!$C$4, IF($H413="1+2", $C413 + CADASTROS!$D$5, IF($H413="1+3", $C413 + CADASTROS!$D$6, "")))), "")</f>
        <v/>
      </c>
      <c r="N413" s="8" t="str">
        <f t="shared" si="26"/>
        <v/>
      </c>
      <c r="O413" s="3" t="str">
        <f>IF($P413&lt;&gt;"", IF($H413="A VISTA", "", IF($H413="1+1", $C413 + CADASTROS!$C$4, IF($H413="1+2", $C413 + CADASTROS!$C$5, IF($H413="1+3", $C413 + CADASTROS!$E$6, "")))), "")</f>
        <v/>
      </c>
      <c r="P413" s="8" t="str">
        <f t="shared" si="27"/>
        <v/>
      </c>
    </row>
    <row r="414" spans="1:16">
      <c r="A414" s="2" t="s">
        <v>549</v>
      </c>
      <c r="B414" s="6" t="s">
        <v>49</v>
      </c>
      <c r="C414" s="7">
        <v>45271</v>
      </c>
      <c r="D414" s="7" t="s">
        <v>98</v>
      </c>
      <c r="E414" s="4" t="s">
        <v>110</v>
      </c>
      <c r="F414" s="4" t="s">
        <v>125</v>
      </c>
      <c r="G414" s="8">
        <v>8422</v>
      </c>
      <c r="H414" s="8" t="s">
        <v>138</v>
      </c>
      <c r="I414" s="3">
        <f>IF($H414="A VISTA", C414 + CADASTROS!$B$3, IF($H414="1+1", C414 + CADASTROS!$B$4, IF(H414="1+2", C414 + CADASTROS!$B$5, IF(H414="1+3", C414 + CADASTROS!$B$6, ""))))</f>
        <v>45272</v>
      </c>
      <c r="J414" s="8">
        <f t="shared" si="24"/>
        <v>4211</v>
      </c>
      <c r="K414" s="3">
        <f>IF($L414&lt;&gt;"", IF($H414="A VISTA", "", IF($H414="1+1", $C414 + CADASTROS!$C$4, IF($H414="1+2", $C414 + CADASTROS!$C$5, IF($H414="1+3", $C414 + CADASTROS!$E$4, "")))), "")</f>
        <v>45301</v>
      </c>
      <c r="L414" s="8">
        <f t="shared" si="25"/>
        <v>4211</v>
      </c>
      <c r="M414" s="3" t="str">
        <f>IF($N414&lt;&gt;"", IF($H414="A VISTA", "", IF($H414="1+1", $C414 + CADASTROS!$C$4, IF($H414="1+2", $C414 + CADASTROS!$D$5, IF($H414="1+3", $C414 + CADASTROS!$D$6, "")))), "")</f>
        <v/>
      </c>
      <c r="N414" s="8" t="str">
        <f t="shared" si="26"/>
        <v/>
      </c>
      <c r="O414" s="3" t="str">
        <f>IF($P414&lt;&gt;"", IF($H414="A VISTA", "", IF($H414="1+1", $C414 + CADASTROS!$C$4, IF($H414="1+2", $C414 + CADASTROS!$C$5, IF($H414="1+3", $C414 + CADASTROS!$E$6, "")))), "")</f>
        <v/>
      </c>
      <c r="P414" s="8" t="str">
        <f t="shared" si="27"/>
        <v/>
      </c>
    </row>
    <row r="415" spans="1:16">
      <c r="A415" s="2" t="s">
        <v>550</v>
      </c>
      <c r="B415" s="6" t="s">
        <v>37</v>
      </c>
      <c r="C415" s="7">
        <v>45414</v>
      </c>
      <c r="D415" s="7" t="s">
        <v>86</v>
      </c>
      <c r="E415" s="4" t="s">
        <v>112</v>
      </c>
      <c r="F415" s="4" t="s">
        <v>123</v>
      </c>
      <c r="G415" s="8">
        <v>5339</v>
      </c>
      <c r="H415" s="8" t="s">
        <v>126</v>
      </c>
      <c r="I415" s="3">
        <f>IF($H415="A VISTA", C415 + CADASTROS!$B$3, IF($H415="1+1", C415 + CADASTROS!$B$4, IF(H415="1+2", C415 + CADASTROS!$B$5, IF(H415="1+3", C415 + CADASTROS!$B$6, ""))))</f>
        <v>45415</v>
      </c>
      <c r="J415" s="8">
        <f t="shared" si="24"/>
        <v>5339</v>
      </c>
      <c r="K415" s="3" t="str">
        <f>IF($L415&lt;&gt;"", IF($H415="A VISTA", "", IF($H415="1+1", $C415 + CADASTROS!$C$4, IF($H415="1+2", $C415 + CADASTROS!$C$5, IF($H415="1+3", $C415 + CADASTROS!$E$4, "")))), "")</f>
        <v/>
      </c>
      <c r="L415" s="8" t="str">
        <f t="shared" si="25"/>
        <v/>
      </c>
      <c r="M415" s="3" t="str">
        <f>IF($N415&lt;&gt;"", IF($H415="A VISTA", "", IF($H415="1+1", $C415 + CADASTROS!$C$4, IF($H415="1+2", $C415 + CADASTROS!$D$5, IF($H415="1+3", $C415 + CADASTROS!$D$6, "")))), "")</f>
        <v/>
      </c>
      <c r="N415" s="8" t="str">
        <f t="shared" si="26"/>
        <v/>
      </c>
      <c r="O415" s="3" t="str">
        <f>IF($P415&lt;&gt;"", IF($H415="A VISTA", "", IF($H415="1+1", $C415 + CADASTROS!$C$4, IF($H415="1+2", $C415 + CADASTROS!$C$5, IF($H415="1+3", $C415 + CADASTROS!$E$6, "")))), "")</f>
        <v/>
      </c>
      <c r="P415" s="8" t="str">
        <f t="shared" si="27"/>
        <v/>
      </c>
    </row>
    <row r="416" spans="1:16">
      <c r="A416" s="2" t="s">
        <v>551</v>
      </c>
      <c r="B416" s="6" t="s">
        <v>47</v>
      </c>
      <c r="C416" s="7">
        <v>45421</v>
      </c>
      <c r="D416" s="7" t="s">
        <v>96</v>
      </c>
      <c r="E416" s="4" t="s">
        <v>111</v>
      </c>
      <c r="F416" s="4" t="s">
        <v>120</v>
      </c>
      <c r="G416" s="8">
        <v>1109</v>
      </c>
      <c r="H416" s="8" t="s">
        <v>126</v>
      </c>
      <c r="I416" s="3">
        <f>IF($H416="A VISTA", C416 + CADASTROS!$B$3, IF($H416="1+1", C416 + CADASTROS!$B$4, IF(H416="1+2", C416 + CADASTROS!$B$5, IF(H416="1+3", C416 + CADASTROS!$B$6, ""))))</f>
        <v>45422</v>
      </c>
      <c r="J416" s="8">
        <f t="shared" si="24"/>
        <v>1109</v>
      </c>
      <c r="K416" s="3" t="str">
        <f>IF($L416&lt;&gt;"", IF($H416="A VISTA", "", IF($H416="1+1", $C416 + CADASTROS!$C$4, IF($H416="1+2", $C416 + CADASTROS!$C$5, IF($H416="1+3", $C416 + CADASTROS!$E$4, "")))), "")</f>
        <v/>
      </c>
      <c r="L416" s="8" t="str">
        <f t="shared" si="25"/>
        <v/>
      </c>
      <c r="M416" s="3" t="str">
        <f>IF($N416&lt;&gt;"", IF($H416="A VISTA", "", IF($H416="1+1", $C416 + CADASTROS!$C$4, IF($H416="1+2", $C416 + CADASTROS!$D$5, IF($H416="1+3", $C416 + CADASTROS!$D$6, "")))), "")</f>
        <v/>
      </c>
      <c r="N416" s="8" t="str">
        <f t="shared" si="26"/>
        <v/>
      </c>
      <c r="O416" s="3" t="str">
        <f>IF($P416&lt;&gt;"", IF($H416="A VISTA", "", IF($H416="1+1", $C416 + CADASTROS!$C$4, IF($H416="1+2", $C416 + CADASTROS!$C$5, IF($H416="1+3", $C416 + CADASTROS!$E$6, "")))), "")</f>
        <v/>
      </c>
      <c r="P416" s="8" t="str">
        <f t="shared" si="27"/>
        <v/>
      </c>
    </row>
    <row r="417" spans="1:16">
      <c r="A417" s="2" t="s">
        <v>552</v>
      </c>
      <c r="B417" s="6" t="s">
        <v>17</v>
      </c>
      <c r="C417" s="7">
        <v>45087</v>
      </c>
      <c r="D417" s="7" t="s">
        <v>66</v>
      </c>
      <c r="E417" s="4" t="s">
        <v>110</v>
      </c>
      <c r="F417" s="4" t="s">
        <v>114</v>
      </c>
      <c r="G417" s="8">
        <v>9579</v>
      </c>
      <c r="H417" s="8" t="s">
        <v>138</v>
      </c>
      <c r="I417" s="3">
        <f>IF($H417="A VISTA", C417 + CADASTROS!$B$3, IF($H417="1+1", C417 + CADASTROS!$B$4, IF(H417="1+2", C417 + CADASTROS!$B$5, IF(H417="1+3", C417 + CADASTROS!$B$6, ""))))</f>
        <v>45088</v>
      </c>
      <c r="J417" s="8">
        <f t="shared" si="24"/>
        <v>4789.5</v>
      </c>
      <c r="K417" s="3">
        <f>IF($L417&lt;&gt;"", IF($H417="A VISTA", "", IF($H417="1+1", $C417 + CADASTROS!$C$4, IF($H417="1+2", $C417 + CADASTROS!$C$5, IF($H417="1+3", $C417 + CADASTROS!$E$4, "")))), "")</f>
        <v>45117</v>
      </c>
      <c r="L417" s="8">
        <f t="shared" si="25"/>
        <v>4789.5</v>
      </c>
      <c r="M417" s="3" t="str">
        <f>IF($N417&lt;&gt;"", IF($H417="A VISTA", "", IF($H417="1+1", $C417 + CADASTROS!$C$4, IF($H417="1+2", $C417 + CADASTROS!$D$5, IF($H417="1+3", $C417 + CADASTROS!$D$6, "")))), "")</f>
        <v/>
      </c>
      <c r="N417" s="8" t="str">
        <f t="shared" si="26"/>
        <v/>
      </c>
      <c r="O417" s="3" t="str">
        <f>IF($P417&lt;&gt;"", IF($H417="A VISTA", "", IF($H417="1+1", $C417 + CADASTROS!$C$4, IF($H417="1+2", $C417 + CADASTROS!$C$5, IF($H417="1+3", $C417 + CADASTROS!$E$6, "")))), "")</f>
        <v/>
      </c>
      <c r="P417" s="8" t="str">
        <f t="shared" si="27"/>
        <v/>
      </c>
    </row>
    <row r="418" spans="1:16">
      <c r="A418" s="2" t="s">
        <v>553</v>
      </c>
      <c r="B418" s="6" t="s">
        <v>43</v>
      </c>
      <c r="C418" s="7">
        <v>45239</v>
      </c>
      <c r="D418" s="7" t="s">
        <v>92</v>
      </c>
      <c r="E418" s="4" t="s">
        <v>110</v>
      </c>
      <c r="F418" s="4" t="s">
        <v>124</v>
      </c>
      <c r="G418" s="8">
        <v>7776</v>
      </c>
      <c r="H418" s="8" t="s">
        <v>136</v>
      </c>
      <c r="I418" s="3">
        <f>IF($H418="A VISTA", C418 + CADASTROS!$B$3, IF($H418="1+1", C418 + CADASTROS!$B$4, IF(H418="1+2", C418 + CADASTROS!$B$5, IF(H418="1+3", C418 + CADASTROS!$B$6, ""))))</f>
        <v>45240</v>
      </c>
      <c r="J418" s="8">
        <f t="shared" si="24"/>
        <v>1944</v>
      </c>
      <c r="K418" s="3">
        <f>IF($L418&lt;&gt;"", IF($H418="A VISTA", "", IF($H418="1+1", $C418 + CADASTROS!$C$4, IF($H418="1+2", $C418 + CADASTROS!$C$5, IF($H418="1+3", $C418 + CADASTROS!$E$4, "")))), "")</f>
        <v>45239</v>
      </c>
      <c r="L418" s="8">
        <f t="shared" si="25"/>
        <v>1944</v>
      </c>
      <c r="M418" s="3">
        <f>IF($N418&lt;&gt;"", IF($H418="A VISTA", "", IF($H418="1+1", $C418 + CADASTROS!$C$4, IF($H418="1+2", $C418 + CADASTROS!$D$5, IF($H418="1+3", $C418 + CADASTROS!$D$6, "")))), "")</f>
        <v>45284</v>
      </c>
      <c r="N418" s="8">
        <f t="shared" si="26"/>
        <v>1944</v>
      </c>
      <c r="O418" s="3">
        <f>IF($P418&lt;&gt;"", IF($H418="A VISTA", "", IF($H418="1+1", $C418 + CADASTROS!$C$4, IF($H418="1+2", $C418 + CADASTROS!$C$5, IF($H418="1+3", $C418 + CADASTROS!$E$6, "")))), "")</f>
        <v>45299</v>
      </c>
      <c r="P418" s="8">
        <f t="shared" si="27"/>
        <v>1944</v>
      </c>
    </row>
    <row r="419" spans="1:16">
      <c r="A419" s="2" t="s">
        <v>554</v>
      </c>
      <c r="B419" s="6" t="s">
        <v>60</v>
      </c>
      <c r="C419" s="7">
        <v>45276</v>
      </c>
      <c r="D419" s="7" t="s">
        <v>109</v>
      </c>
      <c r="E419" s="4" t="s">
        <v>111</v>
      </c>
      <c r="F419" s="4" t="s">
        <v>118</v>
      </c>
      <c r="G419" s="8">
        <v>2584</v>
      </c>
      <c r="H419" s="8" t="s">
        <v>136</v>
      </c>
      <c r="I419" s="3">
        <f>IF($H419="A VISTA", C419 + CADASTROS!$B$3, IF($H419="1+1", C419 + CADASTROS!$B$4, IF(H419="1+2", C419 + CADASTROS!$B$5, IF(H419="1+3", C419 + CADASTROS!$B$6, ""))))</f>
        <v>45277</v>
      </c>
      <c r="J419" s="8">
        <f t="shared" si="24"/>
        <v>646</v>
      </c>
      <c r="K419" s="3">
        <f>IF($L419&lt;&gt;"", IF($H419="A VISTA", "", IF($H419="1+1", $C419 + CADASTROS!$C$4, IF($H419="1+2", $C419 + CADASTROS!$C$5, IF($H419="1+3", $C419 + CADASTROS!$E$4, "")))), "")</f>
        <v>45276</v>
      </c>
      <c r="L419" s="8">
        <f t="shared" si="25"/>
        <v>646</v>
      </c>
      <c r="M419" s="3">
        <f>IF($N419&lt;&gt;"", IF($H419="A VISTA", "", IF($H419="1+1", $C419 + CADASTROS!$C$4, IF($H419="1+2", $C419 + CADASTROS!$D$5, IF($H419="1+3", $C419 + CADASTROS!$D$6, "")))), "")</f>
        <v>45321</v>
      </c>
      <c r="N419" s="8">
        <f t="shared" si="26"/>
        <v>646</v>
      </c>
      <c r="O419" s="3">
        <f>IF($P419&lt;&gt;"", IF($H419="A VISTA", "", IF($H419="1+1", $C419 + CADASTROS!$C$4, IF($H419="1+2", $C419 + CADASTROS!$C$5, IF($H419="1+3", $C419 + CADASTROS!$E$6, "")))), "")</f>
        <v>45336</v>
      </c>
      <c r="P419" s="8">
        <f t="shared" si="27"/>
        <v>646</v>
      </c>
    </row>
    <row r="420" spans="1:16">
      <c r="A420" s="2" t="s">
        <v>555</v>
      </c>
      <c r="B420" s="6" t="s">
        <v>41</v>
      </c>
      <c r="C420" s="7">
        <v>45388</v>
      </c>
      <c r="D420" s="7" t="s">
        <v>90</v>
      </c>
      <c r="E420" s="4" t="s">
        <v>111</v>
      </c>
      <c r="F420" s="4" t="s">
        <v>118</v>
      </c>
      <c r="G420" s="8">
        <v>6415</v>
      </c>
      <c r="H420" s="8" t="s">
        <v>136</v>
      </c>
      <c r="I420" s="3">
        <f>IF($H420="A VISTA", C420 + CADASTROS!$B$3, IF($H420="1+1", C420 + CADASTROS!$B$4, IF(H420="1+2", C420 + CADASTROS!$B$5, IF(H420="1+3", C420 + CADASTROS!$B$6, ""))))</f>
        <v>45389</v>
      </c>
      <c r="J420" s="8">
        <f t="shared" si="24"/>
        <v>1603.75</v>
      </c>
      <c r="K420" s="3">
        <f>IF($L420&lt;&gt;"", IF($H420="A VISTA", "", IF($H420="1+1", $C420 + CADASTROS!$C$4, IF($H420="1+2", $C420 + CADASTROS!$C$5, IF($H420="1+3", $C420 + CADASTROS!$E$4, "")))), "")</f>
        <v>45388</v>
      </c>
      <c r="L420" s="8">
        <f t="shared" si="25"/>
        <v>1603.75</v>
      </c>
      <c r="M420" s="3">
        <f>IF($N420&lt;&gt;"", IF($H420="A VISTA", "", IF($H420="1+1", $C420 + CADASTROS!$C$4, IF($H420="1+2", $C420 + CADASTROS!$D$5, IF($H420="1+3", $C420 + CADASTROS!$D$6, "")))), "")</f>
        <v>45433</v>
      </c>
      <c r="N420" s="8">
        <f t="shared" si="26"/>
        <v>1603.75</v>
      </c>
      <c r="O420" s="3">
        <f>IF($P420&lt;&gt;"", IF($H420="A VISTA", "", IF($H420="1+1", $C420 + CADASTROS!$C$4, IF($H420="1+2", $C420 + CADASTROS!$C$5, IF($H420="1+3", $C420 + CADASTROS!$E$6, "")))), "")</f>
        <v>45448</v>
      </c>
      <c r="P420" s="8">
        <f t="shared" si="27"/>
        <v>1603.75</v>
      </c>
    </row>
    <row r="421" spans="1:16">
      <c r="A421" s="2" t="s">
        <v>556</v>
      </c>
      <c r="B421" s="6" t="s">
        <v>50</v>
      </c>
      <c r="C421" s="7">
        <v>45213</v>
      </c>
      <c r="D421" s="7" t="s">
        <v>99</v>
      </c>
      <c r="E421" s="4" t="s">
        <v>110</v>
      </c>
      <c r="F421" s="4" t="s">
        <v>114</v>
      </c>
      <c r="G421" s="8">
        <v>1976</v>
      </c>
      <c r="H421" s="8" t="s">
        <v>136</v>
      </c>
      <c r="I421" s="3">
        <f>IF($H421="A VISTA", C421 + CADASTROS!$B$3, IF($H421="1+1", C421 + CADASTROS!$B$4, IF(H421="1+2", C421 + CADASTROS!$B$5, IF(H421="1+3", C421 + CADASTROS!$B$6, ""))))</f>
        <v>45214</v>
      </c>
      <c r="J421" s="8">
        <f t="shared" si="24"/>
        <v>494</v>
      </c>
      <c r="K421" s="3">
        <f>IF($L421&lt;&gt;"", IF($H421="A VISTA", "", IF($H421="1+1", $C421 + CADASTROS!$C$4, IF($H421="1+2", $C421 + CADASTROS!$C$5, IF($H421="1+3", $C421 + CADASTROS!$E$4, "")))), "")</f>
        <v>45213</v>
      </c>
      <c r="L421" s="8">
        <f t="shared" si="25"/>
        <v>494</v>
      </c>
      <c r="M421" s="3">
        <f>IF($N421&lt;&gt;"", IF($H421="A VISTA", "", IF($H421="1+1", $C421 + CADASTROS!$C$4, IF($H421="1+2", $C421 + CADASTROS!$D$5, IF($H421="1+3", $C421 + CADASTROS!$D$6, "")))), "")</f>
        <v>45258</v>
      </c>
      <c r="N421" s="8">
        <f t="shared" si="26"/>
        <v>494</v>
      </c>
      <c r="O421" s="3">
        <f>IF($P421&lt;&gt;"", IF($H421="A VISTA", "", IF($H421="1+1", $C421 + CADASTROS!$C$4, IF($H421="1+2", $C421 + CADASTROS!$C$5, IF($H421="1+3", $C421 + CADASTROS!$E$6, "")))), "")</f>
        <v>45273</v>
      </c>
      <c r="P421" s="8">
        <f t="shared" si="27"/>
        <v>494</v>
      </c>
    </row>
    <row r="422" spans="1:16">
      <c r="A422" s="2" t="s">
        <v>557</v>
      </c>
      <c r="B422" s="6" t="s">
        <v>53</v>
      </c>
      <c r="C422" s="7">
        <v>45235</v>
      </c>
      <c r="D422" s="7" t="s">
        <v>102</v>
      </c>
      <c r="E422" s="4" t="s">
        <v>111</v>
      </c>
      <c r="F422" s="4" t="s">
        <v>117</v>
      </c>
      <c r="G422" s="8">
        <v>690</v>
      </c>
      <c r="H422" s="8" t="s">
        <v>126</v>
      </c>
      <c r="I422" s="3">
        <f>IF($H422="A VISTA", C422 + CADASTROS!$B$3, IF($H422="1+1", C422 + CADASTROS!$B$4, IF(H422="1+2", C422 + CADASTROS!$B$5, IF(H422="1+3", C422 + CADASTROS!$B$6, ""))))</f>
        <v>45236</v>
      </c>
      <c r="J422" s="8">
        <f t="shared" si="24"/>
        <v>690</v>
      </c>
      <c r="K422" s="3" t="str">
        <f>IF($L422&lt;&gt;"", IF($H422="A VISTA", "", IF($H422="1+1", $C422 + CADASTROS!$C$4, IF($H422="1+2", $C422 + CADASTROS!$C$5, IF($H422="1+3", $C422 + CADASTROS!$E$4, "")))), "")</f>
        <v/>
      </c>
      <c r="L422" s="8" t="str">
        <f t="shared" si="25"/>
        <v/>
      </c>
      <c r="M422" s="3" t="str">
        <f>IF($N422&lt;&gt;"", IF($H422="A VISTA", "", IF($H422="1+1", $C422 + CADASTROS!$C$4, IF($H422="1+2", $C422 + CADASTROS!$D$5, IF($H422="1+3", $C422 + CADASTROS!$D$6, "")))), "")</f>
        <v/>
      </c>
      <c r="N422" s="8" t="str">
        <f t="shared" si="26"/>
        <v/>
      </c>
      <c r="O422" s="3" t="str">
        <f>IF($P422&lt;&gt;"", IF($H422="A VISTA", "", IF($H422="1+1", $C422 + CADASTROS!$C$4, IF($H422="1+2", $C422 + CADASTROS!$C$5, IF($H422="1+3", $C422 + CADASTROS!$E$6, "")))), "")</f>
        <v/>
      </c>
      <c r="P422" s="8" t="str">
        <f t="shared" si="27"/>
        <v/>
      </c>
    </row>
    <row r="423" spans="1:16">
      <c r="A423" s="2" t="s">
        <v>558</v>
      </c>
      <c r="B423" s="6" t="s">
        <v>53</v>
      </c>
      <c r="C423" s="7">
        <v>45512</v>
      </c>
      <c r="D423" s="7" t="s">
        <v>102</v>
      </c>
      <c r="E423" s="4" t="s">
        <v>111</v>
      </c>
      <c r="F423" s="4" t="s">
        <v>117</v>
      </c>
      <c r="G423" s="8">
        <v>4101</v>
      </c>
      <c r="H423" s="8" t="s">
        <v>126</v>
      </c>
      <c r="I423" s="3">
        <f>IF($H423="A VISTA", C423 + CADASTROS!$B$3, IF($H423="1+1", C423 + CADASTROS!$B$4, IF(H423="1+2", C423 + CADASTROS!$B$5, IF(H423="1+3", C423 + CADASTROS!$B$6, ""))))</f>
        <v>45513</v>
      </c>
      <c r="J423" s="8">
        <f t="shared" si="24"/>
        <v>4101</v>
      </c>
      <c r="K423" s="3" t="str">
        <f>IF($L423&lt;&gt;"", IF($H423="A VISTA", "", IF($H423="1+1", $C423 + CADASTROS!$C$4, IF($H423="1+2", $C423 + CADASTROS!$C$5, IF($H423="1+3", $C423 + CADASTROS!$E$4, "")))), "")</f>
        <v/>
      </c>
      <c r="L423" s="8" t="str">
        <f t="shared" si="25"/>
        <v/>
      </c>
      <c r="M423" s="3" t="str">
        <f>IF($N423&lt;&gt;"", IF($H423="A VISTA", "", IF($H423="1+1", $C423 + CADASTROS!$C$4, IF($H423="1+2", $C423 + CADASTROS!$D$5, IF($H423="1+3", $C423 + CADASTROS!$D$6, "")))), "")</f>
        <v/>
      </c>
      <c r="N423" s="8" t="str">
        <f t="shared" si="26"/>
        <v/>
      </c>
      <c r="O423" s="3" t="str">
        <f>IF($P423&lt;&gt;"", IF($H423="A VISTA", "", IF($H423="1+1", $C423 + CADASTROS!$C$4, IF($H423="1+2", $C423 + CADASTROS!$C$5, IF($H423="1+3", $C423 + CADASTROS!$E$6, "")))), "")</f>
        <v/>
      </c>
      <c r="P423" s="8" t="str">
        <f t="shared" si="27"/>
        <v/>
      </c>
    </row>
    <row r="424" spans="1:16">
      <c r="A424" s="2" t="s">
        <v>559</v>
      </c>
      <c r="B424" s="6" t="s">
        <v>42</v>
      </c>
      <c r="C424" s="7">
        <v>45380</v>
      </c>
      <c r="D424" s="7" t="s">
        <v>91</v>
      </c>
      <c r="E424" s="4" t="s">
        <v>111</v>
      </c>
      <c r="F424" s="4" t="s">
        <v>117</v>
      </c>
      <c r="G424" s="8">
        <v>4789</v>
      </c>
      <c r="H424" s="8" t="s">
        <v>138</v>
      </c>
      <c r="I424" s="3">
        <f>IF($H424="A VISTA", C424 + CADASTROS!$B$3, IF($H424="1+1", C424 + CADASTROS!$B$4, IF(H424="1+2", C424 + CADASTROS!$B$5, IF(H424="1+3", C424 + CADASTROS!$B$6, ""))))</f>
        <v>45381</v>
      </c>
      <c r="J424" s="8">
        <f t="shared" si="24"/>
        <v>2394.5</v>
      </c>
      <c r="K424" s="3">
        <f>IF($L424&lt;&gt;"", IF($H424="A VISTA", "", IF($H424="1+1", $C424 + CADASTROS!$C$4, IF($H424="1+2", $C424 + CADASTROS!$C$5, IF($H424="1+3", $C424 + CADASTROS!$E$4, "")))), "")</f>
        <v>45410</v>
      </c>
      <c r="L424" s="8">
        <f t="shared" si="25"/>
        <v>2394.5</v>
      </c>
      <c r="M424" s="3" t="str">
        <f>IF($N424&lt;&gt;"", IF($H424="A VISTA", "", IF($H424="1+1", $C424 + CADASTROS!$C$4, IF($H424="1+2", $C424 + CADASTROS!$D$5, IF($H424="1+3", $C424 + CADASTROS!$D$6, "")))), "")</f>
        <v/>
      </c>
      <c r="N424" s="8" t="str">
        <f t="shared" si="26"/>
        <v/>
      </c>
      <c r="O424" s="3" t="str">
        <f>IF($P424&lt;&gt;"", IF($H424="A VISTA", "", IF($H424="1+1", $C424 + CADASTROS!$C$4, IF($H424="1+2", $C424 + CADASTROS!$C$5, IF($H424="1+3", $C424 + CADASTROS!$E$6, "")))), "")</f>
        <v/>
      </c>
      <c r="P424" s="8" t="str">
        <f t="shared" si="27"/>
        <v/>
      </c>
    </row>
    <row r="425" spans="1:16">
      <c r="A425" s="2" t="s">
        <v>560</v>
      </c>
      <c r="B425" s="6" t="s">
        <v>42</v>
      </c>
      <c r="C425" s="7">
        <v>45285</v>
      </c>
      <c r="D425" s="7" t="s">
        <v>91</v>
      </c>
      <c r="E425" s="4" t="s">
        <v>111</v>
      </c>
      <c r="F425" s="4" t="s">
        <v>117</v>
      </c>
      <c r="G425" s="8">
        <v>6021</v>
      </c>
      <c r="H425" s="8" t="s">
        <v>136</v>
      </c>
      <c r="I425" s="3">
        <f>IF($H425="A VISTA", C425 + CADASTROS!$B$3, IF($H425="1+1", C425 + CADASTROS!$B$4, IF(H425="1+2", C425 + CADASTROS!$B$5, IF(H425="1+3", C425 + CADASTROS!$B$6, ""))))</f>
        <v>45286</v>
      </c>
      <c r="J425" s="8">
        <f t="shared" si="24"/>
        <v>1505.25</v>
      </c>
      <c r="K425" s="3">
        <f>IF($L425&lt;&gt;"", IF($H425="A VISTA", "", IF($H425="1+1", $C425 + CADASTROS!$C$4, IF($H425="1+2", $C425 + CADASTROS!$C$5, IF($H425="1+3", $C425 + CADASTROS!$E$4, "")))), "")</f>
        <v>45285</v>
      </c>
      <c r="L425" s="8">
        <f t="shared" si="25"/>
        <v>1505.25</v>
      </c>
      <c r="M425" s="3">
        <f>IF($N425&lt;&gt;"", IF($H425="A VISTA", "", IF($H425="1+1", $C425 + CADASTROS!$C$4, IF($H425="1+2", $C425 + CADASTROS!$D$5, IF($H425="1+3", $C425 + CADASTROS!$D$6, "")))), "")</f>
        <v>45330</v>
      </c>
      <c r="N425" s="8">
        <f t="shared" si="26"/>
        <v>1505.25</v>
      </c>
      <c r="O425" s="3">
        <f>IF($P425&lt;&gt;"", IF($H425="A VISTA", "", IF($H425="1+1", $C425 + CADASTROS!$C$4, IF($H425="1+2", $C425 + CADASTROS!$C$5, IF($H425="1+3", $C425 + CADASTROS!$E$6, "")))), "")</f>
        <v>45345</v>
      </c>
      <c r="P425" s="8">
        <f t="shared" si="27"/>
        <v>1505.25</v>
      </c>
    </row>
    <row r="426" spans="1:16">
      <c r="A426" s="2" t="s">
        <v>561</v>
      </c>
      <c r="B426" s="6" t="s">
        <v>17</v>
      </c>
      <c r="C426" s="7">
        <v>45269</v>
      </c>
      <c r="D426" s="7" t="s">
        <v>66</v>
      </c>
      <c r="E426" s="4" t="s">
        <v>110</v>
      </c>
      <c r="F426" s="4" t="s">
        <v>114</v>
      </c>
      <c r="G426" s="8">
        <v>1410</v>
      </c>
      <c r="H426" s="8" t="s">
        <v>138</v>
      </c>
      <c r="I426" s="3">
        <f>IF($H426="A VISTA", C426 + CADASTROS!$B$3, IF($H426="1+1", C426 + CADASTROS!$B$4, IF(H426="1+2", C426 + CADASTROS!$B$5, IF(H426="1+3", C426 + CADASTROS!$B$6, ""))))</f>
        <v>45270</v>
      </c>
      <c r="J426" s="8">
        <f t="shared" si="24"/>
        <v>705</v>
      </c>
      <c r="K426" s="3">
        <f>IF($L426&lt;&gt;"", IF($H426="A VISTA", "", IF($H426="1+1", $C426 + CADASTROS!$C$4, IF($H426="1+2", $C426 + CADASTROS!$C$5, IF($H426="1+3", $C426 + CADASTROS!$E$4, "")))), "")</f>
        <v>45299</v>
      </c>
      <c r="L426" s="8">
        <f t="shared" si="25"/>
        <v>705</v>
      </c>
      <c r="M426" s="3" t="str">
        <f>IF($N426&lt;&gt;"", IF($H426="A VISTA", "", IF($H426="1+1", $C426 + CADASTROS!$C$4, IF($H426="1+2", $C426 + CADASTROS!$D$5, IF($H426="1+3", $C426 + CADASTROS!$D$6, "")))), "")</f>
        <v/>
      </c>
      <c r="N426" s="8" t="str">
        <f t="shared" si="26"/>
        <v/>
      </c>
      <c r="O426" s="3" t="str">
        <f>IF($P426&lt;&gt;"", IF($H426="A VISTA", "", IF($H426="1+1", $C426 + CADASTROS!$C$4, IF($H426="1+2", $C426 + CADASTROS!$C$5, IF($H426="1+3", $C426 + CADASTROS!$E$6, "")))), "")</f>
        <v/>
      </c>
      <c r="P426" s="8" t="str">
        <f t="shared" si="27"/>
        <v/>
      </c>
    </row>
    <row r="427" spans="1:16">
      <c r="A427" s="2" t="s">
        <v>562</v>
      </c>
      <c r="B427" s="6" t="s">
        <v>17</v>
      </c>
      <c r="C427" s="7">
        <v>45177</v>
      </c>
      <c r="D427" s="7" t="s">
        <v>66</v>
      </c>
      <c r="E427" s="4" t="s">
        <v>110</v>
      </c>
      <c r="F427" s="4" t="s">
        <v>114</v>
      </c>
      <c r="G427" s="8">
        <v>818</v>
      </c>
      <c r="H427" s="8" t="s">
        <v>137</v>
      </c>
      <c r="I427" s="3">
        <f>IF($H427="A VISTA", C427 + CADASTROS!$B$3, IF($H427="1+1", C427 + CADASTROS!$B$4, IF(H427="1+2", C427 + CADASTROS!$B$5, IF(H427="1+3", C427 + CADASTROS!$B$6, ""))))</f>
        <v>45178</v>
      </c>
      <c r="J427" s="8">
        <f t="shared" si="24"/>
        <v>272.66666666666669</v>
      </c>
      <c r="K427" s="3">
        <f>IF($L427&lt;&gt;"", IF($H427="A VISTA", "", IF($H427="1+1", $C427 + CADASTROS!$C$4, IF($H427="1+2", $C427 + CADASTROS!$C$5, IF($H427="1+3", $C427 + CADASTROS!$E$4, "")))), "")</f>
        <v>45207</v>
      </c>
      <c r="L427" s="8">
        <f t="shared" si="25"/>
        <v>272.66666666666669</v>
      </c>
      <c r="M427" s="3">
        <f>IF($N427&lt;&gt;"", IF($H427="A VISTA", "", IF($H427="1+1", $C427 + CADASTROS!$C$4, IF($H427="1+2", $C427 + CADASTROS!$D$5, IF($H427="1+3", $C427 + CADASTROS!$D$6, "")))), "")</f>
        <v>45222</v>
      </c>
      <c r="N427" s="8">
        <f t="shared" si="26"/>
        <v>272.66666666666657</v>
      </c>
      <c r="O427" s="3" t="str">
        <f>IF($P427&lt;&gt;"", IF($H427="A VISTA", "", IF($H427="1+1", $C427 + CADASTROS!$C$4, IF($H427="1+2", $C427 + CADASTROS!$C$5, IF($H427="1+3", $C427 + CADASTROS!$E$6, "")))), "")</f>
        <v/>
      </c>
      <c r="P427" s="8" t="str">
        <f t="shared" si="27"/>
        <v/>
      </c>
    </row>
    <row r="428" spans="1:16">
      <c r="A428" s="2" t="s">
        <v>563</v>
      </c>
      <c r="B428" s="6" t="s">
        <v>60</v>
      </c>
      <c r="C428" s="7">
        <v>45189</v>
      </c>
      <c r="D428" s="7" t="s">
        <v>109</v>
      </c>
      <c r="E428" s="4" t="s">
        <v>111</v>
      </c>
      <c r="F428" s="4" t="s">
        <v>118</v>
      </c>
      <c r="G428" s="8">
        <v>1355</v>
      </c>
      <c r="H428" s="8" t="s">
        <v>137</v>
      </c>
      <c r="I428" s="3">
        <f>IF($H428="A VISTA", C428 + CADASTROS!$B$3, IF($H428="1+1", C428 + CADASTROS!$B$4, IF(H428="1+2", C428 + CADASTROS!$B$5, IF(H428="1+3", C428 + CADASTROS!$B$6, ""))))</f>
        <v>45190</v>
      </c>
      <c r="J428" s="8">
        <f t="shared" si="24"/>
        <v>451.66666666666669</v>
      </c>
      <c r="K428" s="3">
        <f>IF($L428&lt;&gt;"", IF($H428="A VISTA", "", IF($H428="1+1", $C428 + CADASTROS!$C$4, IF($H428="1+2", $C428 + CADASTROS!$C$5, IF($H428="1+3", $C428 + CADASTROS!$E$4, "")))), "")</f>
        <v>45219</v>
      </c>
      <c r="L428" s="8">
        <f t="shared" si="25"/>
        <v>451.66666666666669</v>
      </c>
      <c r="M428" s="3">
        <f>IF($N428&lt;&gt;"", IF($H428="A VISTA", "", IF($H428="1+1", $C428 + CADASTROS!$C$4, IF($H428="1+2", $C428 + CADASTROS!$D$5, IF($H428="1+3", $C428 + CADASTROS!$D$6, "")))), "")</f>
        <v>45234</v>
      </c>
      <c r="N428" s="8">
        <f t="shared" si="26"/>
        <v>451.66666666666657</v>
      </c>
      <c r="O428" s="3" t="str">
        <f>IF($P428&lt;&gt;"", IF($H428="A VISTA", "", IF($H428="1+1", $C428 + CADASTROS!$C$4, IF($H428="1+2", $C428 + CADASTROS!$C$5, IF($H428="1+3", $C428 + CADASTROS!$E$6, "")))), "")</f>
        <v/>
      </c>
      <c r="P428" s="8" t="str">
        <f t="shared" si="27"/>
        <v/>
      </c>
    </row>
    <row r="429" spans="1:16">
      <c r="A429" s="2" t="s">
        <v>564</v>
      </c>
      <c r="B429" s="6" t="s">
        <v>31</v>
      </c>
      <c r="C429" s="7">
        <v>45076</v>
      </c>
      <c r="D429" s="7" t="s">
        <v>80</v>
      </c>
      <c r="E429" s="4" t="s">
        <v>111</v>
      </c>
      <c r="F429" s="4" t="s">
        <v>117</v>
      </c>
      <c r="G429" s="8">
        <v>2689</v>
      </c>
      <c r="H429" s="8" t="s">
        <v>126</v>
      </c>
      <c r="I429" s="3">
        <f>IF($H429="A VISTA", C429 + CADASTROS!$B$3, IF($H429="1+1", C429 + CADASTROS!$B$4, IF(H429="1+2", C429 + CADASTROS!$B$5, IF(H429="1+3", C429 + CADASTROS!$B$6, ""))))</f>
        <v>45077</v>
      </c>
      <c r="J429" s="8">
        <f t="shared" si="24"/>
        <v>2689</v>
      </c>
      <c r="K429" s="3" t="str">
        <f>IF($L429&lt;&gt;"", IF($H429="A VISTA", "", IF($H429="1+1", $C429 + CADASTROS!$C$4, IF($H429="1+2", $C429 + CADASTROS!$C$5, IF($H429="1+3", $C429 + CADASTROS!$E$4, "")))), "")</f>
        <v/>
      </c>
      <c r="L429" s="8" t="str">
        <f t="shared" si="25"/>
        <v/>
      </c>
      <c r="M429" s="3" t="str">
        <f>IF($N429&lt;&gt;"", IF($H429="A VISTA", "", IF($H429="1+1", $C429 + CADASTROS!$C$4, IF($H429="1+2", $C429 + CADASTROS!$D$5, IF($H429="1+3", $C429 + CADASTROS!$D$6, "")))), "")</f>
        <v/>
      </c>
      <c r="N429" s="8" t="str">
        <f t="shared" si="26"/>
        <v/>
      </c>
      <c r="O429" s="3" t="str">
        <f>IF($P429&lt;&gt;"", IF($H429="A VISTA", "", IF($H429="1+1", $C429 + CADASTROS!$C$4, IF($H429="1+2", $C429 + CADASTROS!$C$5, IF($H429="1+3", $C429 + CADASTROS!$E$6, "")))), "")</f>
        <v/>
      </c>
      <c r="P429" s="8" t="str">
        <f t="shared" si="27"/>
        <v/>
      </c>
    </row>
    <row r="430" spans="1:16">
      <c r="A430" s="2" t="s">
        <v>565</v>
      </c>
      <c r="B430" s="6" t="s">
        <v>51</v>
      </c>
      <c r="C430" s="7">
        <v>45255</v>
      </c>
      <c r="D430" s="7" t="s">
        <v>100</v>
      </c>
      <c r="E430" s="4" t="s">
        <v>111</v>
      </c>
      <c r="F430" s="4" t="s">
        <v>121</v>
      </c>
      <c r="G430" s="8">
        <v>3042</v>
      </c>
      <c r="H430" s="8" t="s">
        <v>136</v>
      </c>
      <c r="I430" s="3">
        <f>IF($H430="A VISTA", C430 + CADASTROS!$B$3, IF($H430="1+1", C430 + CADASTROS!$B$4, IF(H430="1+2", C430 + CADASTROS!$B$5, IF(H430="1+3", C430 + CADASTROS!$B$6, ""))))</f>
        <v>45256</v>
      </c>
      <c r="J430" s="8">
        <f t="shared" si="24"/>
        <v>760.5</v>
      </c>
      <c r="K430" s="3">
        <f>IF($L430&lt;&gt;"", IF($H430="A VISTA", "", IF($H430="1+1", $C430 + CADASTROS!$C$4, IF($H430="1+2", $C430 + CADASTROS!$C$5, IF($H430="1+3", $C430 + CADASTROS!$E$4, "")))), "")</f>
        <v>45255</v>
      </c>
      <c r="L430" s="8">
        <f t="shared" si="25"/>
        <v>760.5</v>
      </c>
      <c r="M430" s="3">
        <f>IF($N430&lt;&gt;"", IF($H430="A VISTA", "", IF($H430="1+1", $C430 + CADASTROS!$C$4, IF($H430="1+2", $C430 + CADASTROS!$D$5, IF($H430="1+3", $C430 + CADASTROS!$D$6, "")))), "")</f>
        <v>45300</v>
      </c>
      <c r="N430" s="8">
        <f t="shared" si="26"/>
        <v>760.5</v>
      </c>
      <c r="O430" s="3">
        <f>IF($P430&lt;&gt;"", IF($H430="A VISTA", "", IF($H430="1+1", $C430 + CADASTROS!$C$4, IF($H430="1+2", $C430 + CADASTROS!$C$5, IF($H430="1+3", $C430 + CADASTROS!$E$6, "")))), "")</f>
        <v>45315</v>
      </c>
      <c r="P430" s="8">
        <f t="shared" si="27"/>
        <v>760.5</v>
      </c>
    </row>
    <row r="431" spans="1:16">
      <c r="A431" s="2" t="s">
        <v>566</v>
      </c>
      <c r="B431" s="6" t="s">
        <v>16</v>
      </c>
      <c r="C431" s="7">
        <v>45271</v>
      </c>
      <c r="D431" s="7" t="s">
        <v>65</v>
      </c>
      <c r="E431" s="4" t="s">
        <v>110</v>
      </c>
      <c r="F431" s="4" t="s">
        <v>125</v>
      </c>
      <c r="G431" s="8">
        <v>4050</v>
      </c>
      <c r="H431" s="8" t="s">
        <v>126</v>
      </c>
      <c r="I431" s="3">
        <f>IF($H431="A VISTA", C431 + CADASTROS!$B$3, IF($H431="1+1", C431 + CADASTROS!$B$4, IF(H431="1+2", C431 + CADASTROS!$B$5, IF(H431="1+3", C431 + CADASTROS!$B$6, ""))))</f>
        <v>45272</v>
      </c>
      <c r="J431" s="8">
        <f t="shared" si="24"/>
        <v>4050</v>
      </c>
      <c r="K431" s="3" t="str">
        <f>IF($L431&lt;&gt;"", IF($H431="A VISTA", "", IF($H431="1+1", $C431 + CADASTROS!$C$4, IF($H431="1+2", $C431 + CADASTROS!$C$5, IF($H431="1+3", $C431 + CADASTROS!$E$4, "")))), "")</f>
        <v/>
      </c>
      <c r="L431" s="8" t="str">
        <f t="shared" si="25"/>
        <v/>
      </c>
      <c r="M431" s="3" t="str">
        <f>IF($N431&lt;&gt;"", IF($H431="A VISTA", "", IF($H431="1+1", $C431 + CADASTROS!$C$4, IF($H431="1+2", $C431 + CADASTROS!$D$5, IF($H431="1+3", $C431 + CADASTROS!$D$6, "")))), "")</f>
        <v/>
      </c>
      <c r="N431" s="8" t="str">
        <f t="shared" si="26"/>
        <v/>
      </c>
      <c r="O431" s="3" t="str">
        <f>IF($P431&lt;&gt;"", IF($H431="A VISTA", "", IF($H431="1+1", $C431 + CADASTROS!$C$4, IF($H431="1+2", $C431 + CADASTROS!$C$5, IF($H431="1+3", $C431 + CADASTROS!$E$6, "")))), "")</f>
        <v/>
      </c>
      <c r="P431" s="8" t="str">
        <f t="shared" si="27"/>
        <v/>
      </c>
    </row>
    <row r="432" spans="1:16">
      <c r="A432" s="2" t="s">
        <v>567</v>
      </c>
      <c r="B432" s="6" t="s">
        <v>13</v>
      </c>
      <c r="C432" s="7">
        <v>45280</v>
      </c>
      <c r="D432" s="7" t="s">
        <v>63</v>
      </c>
      <c r="E432" s="4" t="s">
        <v>111</v>
      </c>
      <c r="F432" s="4" t="s">
        <v>120</v>
      </c>
      <c r="G432" s="8">
        <v>3048</v>
      </c>
      <c r="H432" s="8" t="s">
        <v>136</v>
      </c>
      <c r="I432" s="3">
        <f>IF($H432="A VISTA", C432 + CADASTROS!$B$3, IF($H432="1+1", C432 + CADASTROS!$B$4, IF(H432="1+2", C432 + CADASTROS!$B$5, IF(H432="1+3", C432 + CADASTROS!$B$6, ""))))</f>
        <v>45281</v>
      </c>
      <c r="J432" s="8">
        <f t="shared" si="24"/>
        <v>762</v>
      </c>
      <c r="K432" s="3">
        <f>IF($L432&lt;&gt;"", IF($H432="A VISTA", "", IF($H432="1+1", $C432 + CADASTROS!$C$4, IF($H432="1+2", $C432 + CADASTROS!$C$5, IF($H432="1+3", $C432 + CADASTROS!$E$4, "")))), "")</f>
        <v>45280</v>
      </c>
      <c r="L432" s="8">
        <f t="shared" si="25"/>
        <v>762</v>
      </c>
      <c r="M432" s="3">
        <f>IF($N432&lt;&gt;"", IF($H432="A VISTA", "", IF($H432="1+1", $C432 + CADASTROS!$C$4, IF($H432="1+2", $C432 + CADASTROS!$D$5, IF($H432="1+3", $C432 + CADASTROS!$D$6, "")))), "")</f>
        <v>45325</v>
      </c>
      <c r="N432" s="8">
        <f t="shared" si="26"/>
        <v>762</v>
      </c>
      <c r="O432" s="3">
        <f>IF($P432&lt;&gt;"", IF($H432="A VISTA", "", IF($H432="1+1", $C432 + CADASTROS!$C$4, IF($H432="1+2", $C432 + CADASTROS!$C$5, IF($H432="1+3", $C432 + CADASTROS!$E$6, "")))), "")</f>
        <v>45340</v>
      </c>
      <c r="P432" s="8">
        <f t="shared" si="27"/>
        <v>762</v>
      </c>
    </row>
    <row r="433" spans="1:16">
      <c r="A433" s="2" t="s">
        <v>568</v>
      </c>
      <c r="B433" s="6" t="s">
        <v>14</v>
      </c>
      <c r="C433" s="7">
        <v>45306</v>
      </c>
      <c r="D433" s="7" t="s">
        <v>61</v>
      </c>
      <c r="E433" s="4" t="s">
        <v>110</v>
      </c>
      <c r="F433" s="4" t="s">
        <v>113</v>
      </c>
      <c r="G433" s="8">
        <v>3601</v>
      </c>
      <c r="H433" s="8" t="s">
        <v>126</v>
      </c>
      <c r="I433" s="3">
        <f>IF($H433="A VISTA", C433 + CADASTROS!$B$3, IF($H433="1+1", C433 + CADASTROS!$B$4, IF(H433="1+2", C433 + CADASTROS!$B$5, IF(H433="1+3", C433 + CADASTROS!$B$6, ""))))</f>
        <v>45307</v>
      </c>
      <c r="J433" s="8">
        <f t="shared" si="24"/>
        <v>3601</v>
      </c>
      <c r="K433" s="3" t="str">
        <f>IF($L433&lt;&gt;"", IF($H433="A VISTA", "", IF($H433="1+1", $C433 + CADASTROS!$C$4, IF($H433="1+2", $C433 + CADASTROS!$C$5, IF($H433="1+3", $C433 + CADASTROS!$E$4, "")))), "")</f>
        <v/>
      </c>
      <c r="L433" s="8" t="str">
        <f t="shared" si="25"/>
        <v/>
      </c>
      <c r="M433" s="3" t="str">
        <f>IF($N433&lt;&gt;"", IF($H433="A VISTA", "", IF($H433="1+1", $C433 + CADASTROS!$C$4, IF($H433="1+2", $C433 + CADASTROS!$D$5, IF($H433="1+3", $C433 + CADASTROS!$D$6, "")))), "")</f>
        <v/>
      </c>
      <c r="N433" s="8" t="str">
        <f t="shared" si="26"/>
        <v/>
      </c>
      <c r="O433" s="3" t="str">
        <f>IF($P433&lt;&gt;"", IF($H433="A VISTA", "", IF($H433="1+1", $C433 + CADASTROS!$C$4, IF($H433="1+2", $C433 + CADASTROS!$C$5, IF($H433="1+3", $C433 + CADASTROS!$E$6, "")))), "")</f>
        <v/>
      </c>
      <c r="P433" s="8" t="str">
        <f t="shared" si="27"/>
        <v/>
      </c>
    </row>
    <row r="434" spans="1:16">
      <c r="A434" s="2" t="s">
        <v>569</v>
      </c>
      <c r="B434" s="6" t="s">
        <v>50</v>
      </c>
      <c r="C434" s="7">
        <v>45178</v>
      </c>
      <c r="D434" s="7" t="s">
        <v>99</v>
      </c>
      <c r="E434" s="4" t="s">
        <v>110</v>
      </c>
      <c r="F434" s="4" t="s">
        <v>114</v>
      </c>
      <c r="G434" s="8">
        <v>2213</v>
      </c>
      <c r="H434" s="8" t="s">
        <v>136</v>
      </c>
      <c r="I434" s="3">
        <f>IF($H434="A VISTA", C434 + CADASTROS!$B$3, IF($H434="1+1", C434 + CADASTROS!$B$4, IF(H434="1+2", C434 + CADASTROS!$B$5, IF(H434="1+3", C434 + CADASTROS!$B$6, ""))))</f>
        <v>45179</v>
      </c>
      <c r="J434" s="8">
        <f t="shared" si="24"/>
        <v>553.25</v>
      </c>
      <c r="K434" s="3">
        <f>IF($L434&lt;&gt;"", IF($H434="A VISTA", "", IF($H434="1+1", $C434 + CADASTROS!$C$4, IF($H434="1+2", $C434 + CADASTROS!$C$5, IF($H434="1+3", $C434 + CADASTROS!$E$4, "")))), "")</f>
        <v>45178</v>
      </c>
      <c r="L434" s="8">
        <f t="shared" si="25"/>
        <v>553.25</v>
      </c>
      <c r="M434" s="3">
        <f>IF($N434&lt;&gt;"", IF($H434="A VISTA", "", IF($H434="1+1", $C434 + CADASTROS!$C$4, IF($H434="1+2", $C434 + CADASTROS!$D$5, IF($H434="1+3", $C434 + CADASTROS!$D$6, "")))), "")</f>
        <v>45223</v>
      </c>
      <c r="N434" s="8">
        <f t="shared" si="26"/>
        <v>553.25</v>
      </c>
      <c r="O434" s="3">
        <f>IF($P434&lt;&gt;"", IF($H434="A VISTA", "", IF($H434="1+1", $C434 + CADASTROS!$C$4, IF($H434="1+2", $C434 + CADASTROS!$C$5, IF($H434="1+3", $C434 + CADASTROS!$E$6, "")))), "")</f>
        <v>45238</v>
      </c>
      <c r="P434" s="8">
        <f t="shared" si="27"/>
        <v>553.25</v>
      </c>
    </row>
    <row r="435" spans="1:16">
      <c r="A435" s="2" t="s">
        <v>570</v>
      </c>
      <c r="B435" s="6" t="s">
        <v>24</v>
      </c>
      <c r="C435" s="7">
        <v>45204</v>
      </c>
      <c r="D435" s="7" t="s">
        <v>73</v>
      </c>
      <c r="E435" s="4" t="s">
        <v>112</v>
      </c>
      <c r="F435" s="4" t="s">
        <v>122</v>
      </c>
      <c r="G435" s="8">
        <v>8007</v>
      </c>
      <c r="H435" s="8" t="s">
        <v>126</v>
      </c>
      <c r="I435" s="3">
        <f>IF($H435="A VISTA", C435 + CADASTROS!$B$3, IF($H435="1+1", C435 + CADASTROS!$B$4, IF(H435="1+2", C435 + CADASTROS!$B$5, IF(H435="1+3", C435 + CADASTROS!$B$6, ""))))</f>
        <v>45205</v>
      </c>
      <c r="J435" s="8">
        <f t="shared" si="24"/>
        <v>8007</v>
      </c>
      <c r="K435" s="3" t="str">
        <f>IF($L435&lt;&gt;"", IF($H435="A VISTA", "", IF($H435="1+1", $C435 + CADASTROS!$C$4, IF($H435="1+2", $C435 + CADASTROS!$C$5, IF($H435="1+3", $C435 + CADASTROS!$E$4, "")))), "")</f>
        <v/>
      </c>
      <c r="L435" s="8" t="str">
        <f t="shared" si="25"/>
        <v/>
      </c>
      <c r="M435" s="3" t="str">
        <f>IF($N435&lt;&gt;"", IF($H435="A VISTA", "", IF($H435="1+1", $C435 + CADASTROS!$C$4, IF($H435="1+2", $C435 + CADASTROS!$D$5, IF($H435="1+3", $C435 + CADASTROS!$D$6, "")))), "")</f>
        <v/>
      </c>
      <c r="N435" s="8" t="str">
        <f t="shared" si="26"/>
        <v/>
      </c>
      <c r="O435" s="3" t="str">
        <f>IF($P435&lt;&gt;"", IF($H435="A VISTA", "", IF($H435="1+1", $C435 + CADASTROS!$C$4, IF($H435="1+2", $C435 + CADASTROS!$C$5, IF($H435="1+3", $C435 + CADASTROS!$E$6, "")))), "")</f>
        <v/>
      </c>
      <c r="P435" s="8" t="str">
        <f t="shared" si="27"/>
        <v/>
      </c>
    </row>
    <row r="436" spans="1:16">
      <c r="A436" s="2" t="s">
        <v>571</v>
      </c>
      <c r="B436" s="6" t="s">
        <v>51</v>
      </c>
      <c r="C436" s="7">
        <v>45442</v>
      </c>
      <c r="D436" s="7" t="s">
        <v>100</v>
      </c>
      <c r="E436" s="4" t="s">
        <v>111</v>
      </c>
      <c r="F436" s="4" t="s">
        <v>121</v>
      </c>
      <c r="G436" s="8">
        <v>8142</v>
      </c>
      <c r="H436" s="8" t="s">
        <v>137</v>
      </c>
      <c r="I436" s="3">
        <f>IF($H436="A VISTA", C436 + CADASTROS!$B$3, IF($H436="1+1", C436 + CADASTROS!$B$4, IF(H436="1+2", C436 + CADASTROS!$B$5, IF(H436="1+3", C436 + CADASTROS!$B$6, ""))))</f>
        <v>45443</v>
      </c>
      <c r="J436" s="8">
        <f t="shared" si="24"/>
        <v>2714</v>
      </c>
      <c r="K436" s="3">
        <f>IF($L436&lt;&gt;"", IF($H436="A VISTA", "", IF($H436="1+1", $C436 + CADASTROS!$C$4, IF($H436="1+2", $C436 + CADASTROS!$C$5, IF($H436="1+3", $C436 + CADASTROS!$E$4, "")))), "")</f>
        <v>45472</v>
      </c>
      <c r="L436" s="8">
        <f t="shared" si="25"/>
        <v>2714</v>
      </c>
      <c r="M436" s="3">
        <f>IF($N436&lt;&gt;"", IF($H436="A VISTA", "", IF($H436="1+1", $C436 + CADASTROS!$C$4, IF($H436="1+2", $C436 + CADASTROS!$D$5, IF($H436="1+3", $C436 + CADASTROS!$D$6, "")))), "")</f>
        <v>45487</v>
      </c>
      <c r="N436" s="8">
        <f t="shared" si="26"/>
        <v>2714</v>
      </c>
      <c r="O436" s="3" t="str">
        <f>IF($P436&lt;&gt;"", IF($H436="A VISTA", "", IF($H436="1+1", $C436 + CADASTROS!$C$4, IF($H436="1+2", $C436 + CADASTROS!$C$5, IF($H436="1+3", $C436 + CADASTROS!$E$6, "")))), "")</f>
        <v/>
      </c>
      <c r="P436" s="8" t="str">
        <f t="shared" si="27"/>
        <v/>
      </c>
    </row>
    <row r="437" spans="1:16">
      <c r="A437" s="2" t="s">
        <v>572</v>
      </c>
      <c r="B437" s="6" t="s">
        <v>23</v>
      </c>
      <c r="C437" s="7">
        <v>45258</v>
      </c>
      <c r="D437" s="7" t="s">
        <v>72</v>
      </c>
      <c r="E437" s="4" t="s">
        <v>110</v>
      </c>
      <c r="F437" s="4" t="s">
        <v>113</v>
      </c>
      <c r="G437" s="8">
        <v>6611</v>
      </c>
      <c r="H437" s="8" t="s">
        <v>137</v>
      </c>
      <c r="I437" s="3">
        <f>IF($H437="A VISTA", C437 + CADASTROS!$B$3, IF($H437="1+1", C437 + CADASTROS!$B$4, IF(H437="1+2", C437 + CADASTROS!$B$5, IF(H437="1+3", C437 + CADASTROS!$B$6, ""))))</f>
        <v>45259</v>
      </c>
      <c r="J437" s="8">
        <f t="shared" si="24"/>
        <v>2203.6666666666665</v>
      </c>
      <c r="K437" s="3">
        <f>IF($L437&lt;&gt;"", IF($H437="A VISTA", "", IF($H437="1+1", $C437 + CADASTROS!$C$4, IF($H437="1+2", $C437 + CADASTROS!$C$5, IF($H437="1+3", $C437 + CADASTROS!$E$4, "")))), "")</f>
        <v>45288</v>
      </c>
      <c r="L437" s="8">
        <f t="shared" si="25"/>
        <v>2203.6666666666665</v>
      </c>
      <c r="M437" s="3">
        <f>IF($N437&lt;&gt;"", IF($H437="A VISTA", "", IF($H437="1+1", $C437 + CADASTROS!$C$4, IF($H437="1+2", $C437 + CADASTROS!$D$5, IF($H437="1+3", $C437 + CADASTROS!$D$6, "")))), "")</f>
        <v>45303</v>
      </c>
      <c r="N437" s="8">
        <f t="shared" si="26"/>
        <v>2203.6666666666674</v>
      </c>
      <c r="O437" s="3" t="str">
        <f>IF($P437&lt;&gt;"", IF($H437="A VISTA", "", IF($H437="1+1", $C437 + CADASTROS!$C$4, IF($H437="1+2", $C437 + CADASTROS!$C$5, IF($H437="1+3", $C437 + CADASTROS!$E$6, "")))), "")</f>
        <v/>
      </c>
      <c r="P437" s="8" t="str">
        <f t="shared" si="27"/>
        <v/>
      </c>
    </row>
    <row r="438" spans="1:16">
      <c r="A438" s="2" t="s">
        <v>573</v>
      </c>
      <c r="B438" s="6" t="s">
        <v>49</v>
      </c>
      <c r="C438" s="7">
        <v>45159</v>
      </c>
      <c r="D438" s="7" t="s">
        <v>98</v>
      </c>
      <c r="E438" s="4" t="s">
        <v>110</v>
      </c>
      <c r="F438" s="4" t="s">
        <v>125</v>
      </c>
      <c r="G438" s="8">
        <v>4532</v>
      </c>
      <c r="H438" s="8" t="s">
        <v>137</v>
      </c>
      <c r="I438" s="3">
        <f>IF($H438="A VISTA", C438 + CADASTROS!$B$3, IF($H438="1+1", C438 + CADASTROS!$B$4, IF(H438="1+2", C438 + CADASTROS!$B$5, IF(H438="1+3", C438 + CADASTROS!$B$6, ""))))</f>
        <v>45160</v>
      </c>
      <c r="J438" s="8">
        <f t="shared" si="24"/>
        <v>1510.6666666666667</v>
      </c>
      <c r="K438" s="3">
        <f>IF($L438&lt;&gt;"", IF($H438="A VISTA", "", IF($H438="1+1", $C438 + CADASTROS!$C$4, IF($H438="1+2", $C438 + CADASTROS!$C$5, IF($H438="1+3", $C438 + CADASTROS!$E$4, "")))), "")</f>
        <v>45189</v>
      </c>
      <c r="L438" s="8">
        <f t="shared" si="25"/>
        <v>1510.6666666666667</v>
      </c>
      <c r="M438" s="3">
        <f>IF($N438&lt;&gt;"", IF($H438="A VISTA", "", IF($H438="1+1", $C438 + CADASTROS!$C$4, IF($H438="1+2", $C438 + CADASTROS!$D$5, IF($H438="1+3", $C438 + CADASTROS!$D$6, "")))), "")</f>
        <v>45204</v>
      </c>
      <c r="N438" s="8">
        <f t="shared" si="26"/>
        <v>1510.6666666666663</v>
      </c>
      <c r="O438" s="3" t="str">
        <f>IF($P438&lt;&gt;"", IF($H438="A VISTA", "", IF($H438="1+1", $C438 + CADASTROS!$C$4, IF($H438="1+2", $C438 + CADASTROS!$C$5, IF($H438="1+3", $C438 + CADASTROS!$E$6, "")))), "")</f>
        <v/>
      </c>
      <c r="P438" s="8" t="str">
        <f t="shared" si="27"/>
        <v/>
      </c>
    </row>
    <row r="439" spans="1:16">
      <c r="A439" s="2" t="s">
        <v>574</v>
      </c>
      <c r="B439" s="6" t="s">
        <v>58</v>
      </c>
      <c r="C439" s="7">
        <v>45316</v>
      </c>
      <c r="D439" s="7" t="s">
        <v>107</v>
      </c>
      <c r="E439" s="4" t="s">
        <v>111</v>
      </c>
      <c r="F439" s="4" t="s">
        <v>120</v>
      </c>
      <c r="G439" s="8">
        <v>4881</v>
      </c>
      <c r="H439" s="8" t="s">
        <v>137</v>
      </c>
      <c r="I439" s="3">
        <f>IF($H439="A VISTA", C439 + CADASTROS!$B$3, IF($H439="1+1", C439 + CADASTROS!$B$4, IF(H439="1+2", C439 + CADASTROS!$B$5, IF(H439="1+3", C439 + CADASTROS!$B$6, ""))))</f>
        <v>45317</v>
      </c>
      <c r="J439" s="8">
        <f t="shared" si="24"/>
        <v>1627</v>
      </c>
      <c r="K439" s="3">
        <f>IF($L439&lt;&gt;"", IF($H439="A VISTA", "", IF($H439="1+1", $C439 + CADASTROS!$C$4, IF($H439="1+2", $C439 + CADASTROS!$C$5, IF($H439="1+3", $C439 + CADASTROS!$E$4, "")))), "")</f>
        <v>45346</v>
      </c>
      <c r="L439" s="8">
        <f t="shared" si="25"/>
        <v>1627</v>
      </c>
      <c r="M439" s="3">
        <f>IF($N439&lt;&gt;"", IF($H439="A VISTA", "", IF($H439="1+1", $C439 + CADASTROS!$C$4, IF($H439="1+2", $C439 + CADASTROS!$D$5, IF($H439="1+3", $C439 + CADASTROS!$D$6, "")))), "")</f>
        <v>45361</v>
      </c>
      <c r="N439" s="8">
        <f t="shared" si="26"/>
        <v>1627</v>
      </c>
      <c r="O439" s="3" t="str">
        <f>IF($P439&lt;&gt;"", IF($H439="A VISTA", "", IF($H439="1+1", $C439 + CADASTROS!$C$4, IF($H439="1+2", $C439 + CADASTROS!$C$5, IF($H439="1+3", $C439 + CADASTROS!$E$6, "")))), "")</f>
        <v/>
      </c>
      <c r="P439" s="8" t="str">
        <f t="shared" si="27"/>
        <v/>
      </c>
    </row>
    <row r="440" spans="1:16">
      <c r="A440" s="2" t="s">
        <v>575</v>
      </c>
      <c r="B440" s="6" t="s">
        <v>56</v>
      </c>
      <c r="C440" s="7">
        <v>45484</v>
      </c>
      <c r="D440" s="7" t="s">
        <v>105</v>
      </c>
      <c r="E440" s="4" t="s">
        <v>110</v>
      </c>
      <c r="F440" s="4" t="s">
        <v>113</v>
      </c>
      <c r="G440" s="8">
        <v>708</v>
      </c>
      <c r="H440" s="8" t="s">
        <v>138</v>
      </c>
      <c r="I440" s="3">
        <f>IF($H440="A VISTA", C440 + CADASTROS!$B$3, IF($H440="1+1", C440 + CADASTROS!$B$4, IF(H440="1+2", C440 + CADASTROS!$B$5, IF(H440="1+3", C440 + CADASTROS!$B$6, ""))))</f>
        <v>45485</v>
      </c>
      <c r="J440" s="8">
        <f t="shared" si="24"/>
        <v>354</v>
      </c>
      <c r="K440" s="3">
        <f>IF($L440&lt;&gt;"", IF($H440="A VISTA", "", IF($H440="1+1", $C440 + CADASTROS!$C$4, IF($H440="1+2", $C440 + CADASTROS!$C$5, IF($H440="1+3", $C440 + CADASTROS!$E$4, "")))), "")</f>
        <v>45514</v>
      </c>
      <c r="L440" s="8">
        <f t="shared" si="25"/>
        <v>354</v>
      </c>
      <c r="M440" s="3" t="str">
        <f>IF($N440&lt;&gt;"", IF($H440="A VISTA", "", IF($H440="1+1", $C440 + CADASTROS!$C$4, IF($H440="1+2", $C440 + CADASTROS!$D$5, IF($H440="1+3", $C440 + CADASTROS!$D$6, "")))), "")</f>
        <v/>
      </c>
      <c r="N440" s="8" t="str">
        <f t="shared" si="26"/>
        <v/>
      </c>
      <c r="O440" s="3" t="str">
        <f>IF($P440&lt;&gt;"", IF($H440="A VISTA", "", IF($H440="1+1", $C440 + CADASTROS!$C$4, IF($H440="1+2", $C440 + CADASTROS!$C$5, IF($H440="1+3", $C440 + CADASTROS!$E$6, "")))), "")</f>
        <v/>
      </c>
      <c r="P440" s="8" t="str">
        <f t="shared" si="27"/>
        <v/>
      </c>
    </row>
    <row r="441" spans="1:16">
      <c r="A441" s="2" t="s">
        <v>576</v>
      </c>
      <c r="B441" s="6" t="s">
        <v>32</v>
      </c>
      <c r="C441" s="7">
        <v>45375</v>
      </c>
      <c r="D441" s="7" t="s">
        <v>81</v>
      </c>
      <c r="E441" s="4" t="s">
        <v>110</v>
      </c>
      <c r="F441" s="4" t="s">
        <v>124</v>
      </c>
      <c r="G441" s="8">
        <v>2981</v>
      </c>
      <c r="H441" s="8" t="s">
        <v>136</v>
      </c>
      <c r="I441" s="3">
        <f>IF($H441="A VISTA", C441 + CADASTROS!$B$3, IF($H441="1+1", C441 + CADASTROS!$B$4, IF(H441="1+2", C441 + CADASTROS!$B$5, IF(H441="1+3", C441 + CADASTROS!$B$6, ""))))</f>
        <v>45376</v>
      </c>
      <c r="J441" s="8">
        <f t="shared" si="24"/>
        <v>745.25</v>
      </c>
      <c r="K441" s="3">
        <f>IF($L441&lt;&gt;"", IF($H441="A VISTA", "", IF($H441="1+1", $C441 + CADASTROS!$C$4, IF($H441="1+2", $C441 + CADASTROS!$C$5, IF($H441="1+3", $C441 + CADASTROS!$E$4, "")))), "")</f>
        <v>45375</v>
      </c>
      <c r="L441" s="8">
        <f t="shared" si="25"/>
        <v>745.25</v>
      </c>
      <c r="M441" s="3">
        <f>IF($N441&lt;&gt;"", IF($H441="A VISTA", "", IF($H441="1+1", $C441 + CADASTROS!$C$4, IF($H441="1+2", $C441 + CADASTROS!$D$5, IF($H441="1+3", $C441 + CADASTROS!$D$6, "")))), "")</f>
        <v>45420</v>
      </c>
      <c r="N441" s="8">
        <f t="shared" si="26"/>
        <v>745.25</v>
      </c>
      <c r="O441" s="3">
        <f>IF($P441&lt;&gt;"", IF($H441="A VISTA", "", IF($H441="1+1", $C441 + CADASTROS!$C$4, IF($H441="1+2", $C441 + CADASTROS!$C$5, IF($H441="1+3", $C441 + CADASTROS!$E$6, "")))), "")</f>
        <v>45435</v>
      </c>
      <c r="P441" s="8">
        <f t="shared" si="27"/>
        <v>745.25</v>
      </c>
    </row>
    <row r="442" spans="1:16">
      <c r="A442" s="2" t="s">
        <v>577</v>
      </c>
      <c r="B442" s="6" t="s">
        <v>41</v>
      </c>
      <c r="C442" s="7">
        <v>45211</v>
      </c>
      <c r="D442" s="7" t="s">
        <v>90</v>
      </c>
      <c r="E442" s="4" t="s">
        <v>111</v>
      </c>
      <c r="F442" s="4" t="s">
        <v>118</v>
      </c>
      <c r="G442" s="8">
        <v>5334</v>
      </c>
      <c r="H442" s="8" t="s">
        <v>126</v>
      </c>
      <c r="I442" s="3">
        <f>IF($H442="A VISTA", C442 + CADASTROS!$B$3, IF($H442="1+1", C442 + CADASTROS!$B$4, IF(H442="1+2", C442 + CADASTROS!$B$5, IF(H442="1+3", C442 + CADASTROS!$B$6, ""))))</f>
        <v>45212</v>
      </c>
      <c r="J442" s="8">
        <f t="shared" si="24"/>
        <v>5334</v>
      </c>
      <c r="K442" s="3" t="str">
        <f>IF($L442&lt;&gt;"", IF($H442="A VISTA", "", IF($H442="1+1", $C442 + CADASTROS!$C$4, IF($H442="1+2", $C442 + CADASTROS!$C$5, IF($H442="1+3", $C442 + CADASTROS!$E$4, "")))), "")</f>
        <v/>
      </c>
      <c r="L442" s="8" t="str">
        <f t="shared" si="25"/>
        <v/>
      </c>
      <c r="M442" s="3" t="str">
        <f>IF($N442&lt;&gt;"", IF($H442="A VISTA", "", IF($H442="1+1", $C442 + CADASTROS!$C$4, IF($H442="1+2", $C442 + CADASTROS!$D$5, IF($H442="1+3", $C442 + CADASTROS!$D$6, "")))), "")</f>
        <v/>
      </c>
      <c r="N442" s="8" t="str">
        <f t="shared" si="26"/>
        <v/>
      </c>
      <c r="O442" s="3" t="str">
        <f>IF($P442&lt;&gt;"", IF($H442="A VISTA", "", IF($H442="1+1", $C442 + CADASTROS!$C$4, IF($H442="1+2", $C442 + CADASTROS!$C$5, IF($H442="1+3", $C442 + CADASTROS!$E$6, "")))), "")</f>
        <v/>
      </c>
      <c r="P442" s="8" t="str">
        <f t="shared" si="27"/>
        <v/>
      </c>
    </row>
    <row r="443" spans="1:16">
      <c r="A443" s="2" t="s">
        <v>578</v>
      </c>
      <c r="B443" s="6" t="s">
        <v>26</v>
      </c>
      <c r="C443" s="7">
        <v>45309</v>
      </c>
      <c r="D443" s="7" t="s">
        <v>75</v>
      </c>
      <c r="E443" s="4" t="s">
        <v>112</v>
      </c>
      <c r="F443" s="4" t="s">
        <v>123</v>
      </c>
      <c r="G443" s="8">
        <v>3281</v>
      </c>
      <c r="H443" s="8" t="s">
        <v>126</v>
      </c>
      <c r="I443" s="3">
        <f>IF($H443="A VISTA", C443 + CADASTROS!$B$3, IF($H443="1+1", C443 + CADASTROS!$B$4, IF(H443="1+2", C443 + CADASTROS!$B$5, IF(H443="1+3", C443 + CADASTROS!$B$6, ""))))</f>
        <v>45310</v>
      </c>
      <c r="J443" s="8">
        <f t="shared" si="24"/>
        <v>3281</v>
      </c>
      <c r="K443" s="3" t="str">
        <f>IF($L443&lt;&gt;"", IF($H443="A VISTA", "", IF($H443="1+1", $C443 + CADASTROS!$C$4, IF($H443="1+2", $C443 + CADASTROS!$C$5, IF($H443="1+3", $C443 + CADASTROS!$E$4, "")))), "")</f>
        <v/>
      </c>
      <c r="L443" s="8" t="str">
        <f t="shared" si="25"/>
        <v/>
      </c>
      <c r="M443" s="3" t="str">
        <f>IF($N443&lt;&gt;"", IF($H443="A VISTA", "", IF($H443="1+1", $C443 + CADASTROS!$C$4, IF($H443="1+2", $C443 + CADASTROS!$D$5, IF($H443="1+3", $C443 + CADASTROS!$D$6, "")))), "")</f>
        <v/>
      </c>
      <c r="N443" s="8" t="str">
        <f t="shared" si="26"/>
        <v/>
      </c>
      <c r="O443" s="3" t="str">
        <f>IF($P443&lt;&gt;"", IF($H443="A VISTA", "", IF($H443="1+1", $C443 + CADASTROS!$C$4, IF($H443="1+2", $C443 + CADASTROS!$C$5, IF($H443="1+3", $C443 + CADASTROS!$E$6, "")))), "")</f>
        <v/>
      </c>
      <c r="P443" s="8" t="str">
        <f t="shared" si="27"/>
        <v/>
      </c>
    </row>
    <row r="444" spans="1:16">
      <c r="A444" s="2" t="s">
        <v>579</v>
      </c>
      <c r="B444" s="6" t="s">
        <v>60</v>
      </c>
      <c r="C444" s="7">
        <v>45281</v>
      </c>
      <c r="D444" s="7" t="s">
        <v>109</v>
      </c>
      <c r="E444" s="4" t="s">
        <v>111</v>
      </c>
      <c r="F444" s="4" t="s">
        <v>118</v>
      </c>
      <c r="G444" s="8">
        <v>7392</v>
      </c>
      <c r="H444" s="8" t="s">
        <v>138</v>
      </c>
      <c r="I444" s="3">
        <f>IF($H444="A VISTA", C444 + CADASTROS!$B$3, IF($H444="1+1", C444 + CADASTROS!$B$4, IF(H444="1+2", C444 + CADASTROS!$B$5, IF(H444="1+3", C444 + CADASTROS!$B$6, ""))))</f>
        <v>45282</v>
      </c>
      <c r="J444" s="8">
        <f t="shared" si="24"/>
        <v>3696</v>
      </c>
      <c r="K444" s="3">
        <f>IF($L444&lt;&gt;"", IF($H444="A VISTA", "", IF($H444="1+1", $C444 + CADASTROS!$C$4, IF($H444="1+2", $C444 + CADASTROS!$C$5, IF($H444="1+3", $C444 + CADASTROS!$E$4, "")))), "")</f>
        <v>45311</v>
      </c>
      <c r="L444" s="8">
        <f t="shared" si="25"/>
        <v>3696</v>
      </c>
      <c r="M444" s="3" t="str">
        <f>IF($N444&lt;&gt;"", IF($H444="A VISTA", "", IF($H444="1+1", $C444 + CADASTROS!$C$4, IF($H444="1+2", $C444 + CADASTROS!$D$5, IF($H444="1+3", $C444 + CADASTROS!$D$6, "")))), "")</f>
        <v/>
      </c>
      <c r="N444" s="8" t="str">
        <f t="shared" si="26"/>
        <v/>
      </c>
      <c r="O444" s="3" t="str">
        <f>IF($P444&lt;&gt;"", IF($H444="A VISTA", "", IF($H444="1+1", $C444 + CADASTROS!$C$4, IF($H444="1+2", $C444 + CADASTROS!$C$5, IF($H444="1+3", $C444 + CADASTROS!$E$6, "")))), "")</f>
        <v/>
      </c>
      <c r="P444" s="8" t="str">
        <f t="shared" si="27"/>
        <v/>
      </c>
    </row>
    <row r="445" spans="1:16">
      <c r="A445" s="2" t="s">
        <v>580</v>
      </c>
      <c r="B445" s="6" t="s">
        <v>52</v>
      </c>
      <c r="C445" s="7">
        <v>45408</v>
      </c>
      <c r="D445" s="7" t="s">
        <v>101</v>
      </c>
      <c r="E445" s="4" t="s">
        <v>111</v>
      </c>
      <c r="F445" s="4" t="s">
        <v>118</v>
      </c>
      <c r="G445" s="8">
        <v>3364</v>
      </c>
      <c r="H445" s="8" t="s">
        <v>136</v>
      </c>
      <c r="I445" s="3">
        <f>IF($H445="A VISTA", C445 + CADASTROS!$B$3, IF($H445="1+1", C445 + CADASTROS!$B$4, IF(H445="1+2", C445 + CADASTROS!$B$5, IF(H445="1+3", C445 + CADASTROS!$B$6, ""))))</f>
        <v>45409</v>
      </c>
      <c r="J445" s="8">
        <f t="shared" si="24"/>
        <v>841</v>
      </c>
      <c r="K445" s="3">
        <f>IF($L445&lt;&gt;"", IF($H445="A VISTA", "", IF($H445="1+1", $C445 + CADASTROS!$C$4, IF($H445="1+2", $C445 + CADASTROS!$C$5, IF($H445="1+3", $C445 + CADASTROS!$E$4, "")))), "")</f>
        <v>45408</v>
      </c>
      <c r="L445" s="8">
        <f t="shared" si="25"/>
        <v>841</v>
      </c>
      <c r="M445" s="3">
        <f>IF($N445&lt;&gt;"", IF($H445="A VISTA", "", IF($H445="1+1", $C445 + CADASTROS!$C$4, IF($H445="1+2", $C445 + CADASTROS!$D$5, IF($H445="1+3", $C445 + CADASTROS!$D$6, "")))), "")</f>
        <v>45453</v>
      </c>
      <c r="N445" s="8">
        <f t="shared" si="26"/>
        <v>841</v>
      </c>
      <c r="O445" s="3">
        <f>IF($P445&lt;&gt;"", IF($H445="A VISTA", "", IF($H445="1+1", $C445 + CADASTROS!$C$4, IF($H445="1+2", $C445 + CADASTROS!$C$5, IF($H445="1+3", $C445 + CADASTROS!$E$6, "")))), "")</f>
        <v>45468</v>
      </c>
      <c r="P445" s="8">
        <f t="shared" si="27"/>
        <v>841</v>
      </c>
    </row>
    <row r="446" spans="1:16">
      <c r="A446" s="2" t="s">
        <v>581</v>
      </c>
      <c r="B446" s="6" t="s">
        <v>21</v>
      </c>
      <c r="C446" s="7">
        <v>45291</v>
      </c>
      <c r="D446" s="7" t="s">
        <v>70</v>
      </c>
      <c r="E446" s="4" t="s">
        <v>110</v>
      </c>
      <c r="F446" s="4" t="s">
        <v>124</v>
      </c>
      <c r="G446" s="8">
        <v>870</v>
      </c>
      <c r="H446" s="8" t="s">
        <v>126</v>
      </c>
      <c r="I446" s="3">
        <f>IF($H446="A VISTA", C446 + CADASTROS!$B$3, IF($H446="1+1", C446 + CADASTROS!$B$4, IF(H446="1+2", C446 + CADASTROS!$B$5, IF(H446="1+3", C446 + CADASTROS!$B$6, ""))))</f>
        <v>45292</v>
      </c>
      <c r="J446" s="8">
        <f t="shared" si="24"/>
        <v>870</v>
      </c>
      <c r="K446" s="3" t="str">
        <f>IF($L446&lt;&gt;"", IF($H446="A VISTA", "", IF($H446="1+1", $C446 + CADASTROS!$C$4, IF($H446="1+2", $C446 + CADASTROS!$C$5, IF($H446="1+3", $C446 + CADASTROS!$E$4, "")))), "")</f>
        <v/>
      </c>
      <c r="L446" s="8" t="str">
        <f t="shared" si="25"/>
        <v/>
      </c>
      <c r="M446" s="3" t="str">
        <f>IF($N446&lt;&gt;"", IF($H446="A VISTA", "", IF($H446="1+1", $C446 + CADASTROS!$C$4, IF($H446="1+2", $C446 + CADASTROS!$D$5, IF($H446="1+3", $C446 + CADASTROS!$D$6, "")))), "")</f>
        <v/>
      </c>
      <c r="N446" s="8" t="str">
        <f t="shared" si="26"/>
        <v/>
      </c>
      <c r="O446" s="3" t="str">
        <f>IF($P446&lt;&gt;"", IF($H446="A VISTA", "", IF($H446="1+1", $C446 + CADASTROS!$C$4, IF($H446="1+2", $C446 + CADASTROS!$C$5, IF($H446="1+3", $C446 + CADASTROS!$E$6, "")))), "")</f>
        <v/>
      </c>
      <c r="P446" s="8" t="str">
        <f t="shared" si="27"/>
        <v/>
      </c>
    </row>
    <row r="447" spans="1:16">
      <c r="A447" s="2" t="s">
        <v>582</v>
      </c>
      <c r="B447" s="6" t="s">
        <v>38</v>
      </c>
      <c r="C447" s="7">
        <v>45477</v>
      </c>
      <c r="D447" s="7" t="s">
        <v>87</v>
      </c>
      <c r="E447" s="4" t="s">
        <v>110</v>
      </c>
      <c r="F447" s="4" t="s">
        <v>125</v>
      </c>
      <c r="G447" s="8">
        <v>5221</v>
      </c>
      <c r="H447" s="8" t="s">
        <v>126</v>
      </c>
      <c r="I447" s="3">
        <f>IF($H447="A VISTA", C447 + CADASTROS!$B$3, IF($H447="1+1", C447 + CADASTROS!$B$4, IF(H447="1+2", C447 + CADASTROS!$B$5, IF(H447="1+3", C447 + CADASTROS!$B$6, ""))))</f>
        <v>45478</v>
      </c>
      <c r="J447" s="8">
        <f t="shared" si="24"/>
        <v>5221</v>
      </c>
      <c r="K447" s="3" t="str">
        <f>IF($L447&lt;&gt;"", IF($H447="A VISTA", "", IF($H447="1+1", $C447 + CADASTROS!$C$4, IF($H447="1+2", $C447 + CADASTROS!$C$5, IF($H447="1+3", $C447 + CADASTROS!$E$4, "")))), "")</f>
        <v/>
      </c>
      <c r="L447" s="8" t="str">
        <f t="shared" si="25"/>
        <v/>
      </c>
      <c r="M447" s="3" t="str">
        <f>IF($N447&lt;&gt;"", IF($H447="A VISTA", "", IF($H447="1+1", $C447 + CADASTROS!$C$4, IF($H447="1+2", $C447 + CADASTROS!$D$5, IF($H447="1+3", $C447 + CADASTROS!$D$6, "")))), "")</f>
        <v/>
      </c>
      <c r="N447" s="8" t="str">
        <f t="shared" si="26"/>
        <v/>
      </c>
      <c r="O447" s="3" t="str">
        <f>IF($P447&lt;&gt;"", IF($H447="A VISTA", "", IF($H447="1+1", $C447 + CADASTROS!$C$4, IF($H447="1+2", $C447 + CADASTROS!$C$5, IF($H447="1+3", $C447 + CADASTROS!$E$6, "")))), "")</f>
        <v/>
      </c>
      <c r="P447" s="8" t="str">
        <f t="shared" si="27"/>
        <v/>
      </c>
    </row>
    <row r="448" spans="1:16">
      <c r="A448" s="2" t="s">
        <v>583</v>
      </c>
      <c r="B448" s="6" t="s">
        <v>14</v>
      </c>
      <c r="C448" s="7">
        <v>45222</v>
      </c>
      <c r="D448" s="7" t="s">
        <v>61</v>
      </c>
      <c r="E448" s="4" t="s">
        <v>110</v>
      </c>
      <c r="F448" s="4" t="s">
        <v>113</v>
      </c>
      <c r="G448" s="8">
        <v>8538</v>
      </c>
      <c r="H448" s="8" t="s">
        <v>126</v>
      </c>
      <c r="I448" s="3">
        <f>IF($H448="A VISTA", C448 + CADASTROS!$B$3, IF($H448="1+1", C448 + CADASTROS!$B$4, IF(H448="1+2", C448 + CADASTROS!$B$5, IF(H448="1+3", C448 + CADASTROS!$B$6, ""))))</f>
        <v>45223</v>
      </c>
      <c r="J448" s="8">
        <f t="shared" si="24"/>
        <v>8538</v>
      </c>
      <c r="K448" s="3" t="str">
        <f>IF($L448&lt;&gt;"", IF($H448="A VISTA", "", IF($H448="1+1", $C448 + CADASTROS!$C$4, IF($H448="1+2", $C448 + CADASTROS!$C$5, IF($H448="1+3", $C448 + CADASTROS!$E$4, "")))), "")</f>
        <v/>
      </c>
      <c r="L448" s="8" t="str">
        <f t="shared" si="25"/>
        <v/>
      </c>
      <c r="M448" s="3" t="str">
        <f>IF($N448&lt;&gt;"", IF($H448="A VISTA", "", IF($H448="1+1", $C448 + CADASTROS!$C$4, IF($H448="1+2", $C448 + CADASTROS!$D$5, IF($H448="1+3", $C448 + CADASTROS!$D$6, "")))), "")</f>
        <v/>
      </c>
      <c r="N448" s="8" t="str">
        <f t="shared" si="26"/>
        <v/>
      </c>
      <c r="O448" s="3" t="str">
        <f>IF($P448&lt;&gt;"", IF($H448="A VISTA", "", IF($H448="1+1", $C448 + CADASTROS!$C$4, IF($H448="1+2", $C448 + CADASTROS!$C$5, IF($H448="1+3", $C448 + CADASTROS!$E$6, "")))), "")</f>
        <v/>
      </c>
      <c r="P448" s="8" t="str">
        <f t="shared" si="27"/>
        <v/>
      </c>
    </row>
    <row r="449" spans="1:16">
      <c r="A449" s="2" t="s">
        <v>584</v>
      </c>
      <c r="B449" s="6" t="s">
        <v>12</v>
      </c>
      <c r="C449" s="7">
        <v>45322</v>
      </c>
      <c r="D449" s="7" t="s">
        <v>62</v>
      </c>
      <c r="E449" s="4" t="s">
        <v>112</v>
      </c>
      <c r="F449" s="4" t="s">
        <v>122</v>
      </c>
      <c r="G449" s="8">
        <v>1688</v>
      </c>
      <c r="H449" s="8" t="s">
        <v>126</v>
      </c>
      <c r="I449" s="3">
        <f>IF($H449="A VISTA", C449 + CADASTROS!$B$3, IF($H449="1+1", C449 + CADASTROS!$B$4, IF(H449="1+2", C449 + CADASTROS!$B$5, IF(H449="1+3", C449 + CADASTROS!$B$6, ""))))</f>
        <v>45323</v>
      </c>
      <c r="J449" s="8">
        <f t="shared" si="24"/>
        <v>1688</v>
      </c>
      <c r="K449" s="3" t="str">
        <f>IF($L449&lt;&gt;"", IF($H449="A VISTA", "", IF($H449="1+1", $C449 + CADASTROS!$C$4, IF($H449="1+2", $C449 + CADASTROS!$C$5, IF($H449="1+3", $C449 + CADASTROS!$E$4, "")))), "")</f>
        <v/>
      </c>
      <c r="L449" s="8" t="str">
        <f t="shared" si="25"/>
        <v/>
      </c>
      <c r="M449" s="3" t="str">
        <f>IF($N449&lt;&gt;"", IF($H449="A VISTA", "", IF($H449="1+1", $C449 + CADASTROS!$C$4, IF($H449="1+2", $C449 + CADASTROS!$D$5, IF($H449="1+3", $C449 + CADASTROS!$D$6, "")))), "")</f>
        <v/>
      </c>
      <c r="N449" s="8" t="str">
        <f t="shared" si="26"/>
        <v/>
      </c>
      <c r="O449" s="3" t="str">
        <f>IF($P449&lt;&gt;"", IF($H449="A VISTA", "", IF($H449="1+1", $C449 + CADASTROS!$C$4, IF($H449="1+2", $C449 + CADASTROS!$C$5, IF($H449="1+3", $C449 + CADASTROS!$E$6, "")))), "")</f>
        <v/>
      </c>
      <c r="P449" s="8" t="str">
        <f t="shared" si="27"/>
        <v/>
      </c>
    </row>
    <row r="450" spans="1:16">
      <c r="A450" s="2" t="s">
        <v>585</v>
      </c>
      <c r="B450" s="6" t="s">
        <v>44</v>
      </c>
      <c r="C450" s="7">
        <v>45079</v>
      </c>
      <c r="D450" s="7" t="s">
        <v>93</v>
      </c>
      <c r="E450" s="4" t="s">
        <v>111</v>
      </c>
      <c r="F450" s="4" t="s">
        <v>119</v>
      </c>
      <c r="G450" s="8">
        <v>1112</v>
      </c>
      <c r="H450" s="8" t="s">
        <v>137</v>
      </c>
      <c r="I450" s="3">
        <f>IF($H450="A VISTA", C450 + CADASTROS!$B$3, IF($H450="1+1", C450 + CADASTROS!$B$4, IF(H450="1+2", C450 + CADASTROS!$B$5, IF(H450="1+3", C450 + CADASTROS!$B$6, ""))))</f>
        <v>45080</v>
      </c>
      <c r="J450" s="8">
        <f t="shared" si="24"/>
        <v>370.66666666666669</v>
      </c>
      <c r="K450" s="3">
        <f>IF($L450&lt;&gt;"", IF($H450="A VISTA", "", IF($H450="1+1", $C450 + CADASTROS!$C$4, IF($H450="1+2", $C450 + CADASTROS!$C$5, IF($H450="1+3", $C450 + CADASTROS!$E$4, "")))), "")</f>
        <v>45109</v>
      </c>
      <c r="L450" s="8">
        <f t="shared" si="25"/>
        <v>370.66666666666669</v>
      </c>
      <c r="M450" s="3">
        <f>IF($N450&lt;&gt;"", IF($H450="A VISTA", "", IF($H450="1+1", $C450 + CADASTROS!$C$4, IF($H450="1+2", $C450 + CADASTROS!$D$5, IF($H450="1+3", $C450 + CADASTROS!$D$6, "")))), "")</f>
        <v>45124</v>
      </c>
      <c r="N450" s="8">
        <f t="shared" si="26"/>
        <v>370.66666666666657</v>
      </c>
      <c r="O450" s="3" t="str">
        <f>IF($P450&lt;&gt;"", IF($H450="A VISTA", "", IF($H450="1+1", $C450 + CADASTROS!$C$4, IF($H450="1+2", $C450 + CADASTROS!$C$5, IF($H450="1+3", $C450 + CADASTROS!$E$6, "")))), "")</f>
        <v/>
      </c>
      <c r="P450" s="8" t="str">
        <f t="shared" si="27"/>
        <v/>
      </c>
    </row>
    <row r="451" spans="1:16">
      <c r="A451" s="2" t="s">
        <v>586</v>
      </c>
      <c r="B451" s="6" t="s">
        <v>47</v>
      </c>
      <c r="C451" s="7">
        <v>45304</v>
      </c>
      <c r="D451" s="7" t="s">
        <v>96</v>
      </c>
      <c r="E451" s="4" t="s">
        <v>111</v>
      </c>
      <c r="F451" s="4" t="s">
        <v>120</v>
      </c>
      <c r="G451" s="8">
        <v>8387</v>
      </c>
      <c r="H451" s="8" t="s">
        <v>126</v>
      </c>
      <c r="I451" s="3">
        <f>IF($H451="A VISTA", C451 + CADASTROS!$B$3, IF($H451="1+1", C451 + CADASTROS!$B$4, IF(H451="1+2", C451 + CADASTROS!$B$5, IF(H451="1+3", C451 + CADASTROS!$B$6, ""))))</f>
        <v>45305</v>
      </c>
      <c r="J451" s="8">
        <f t="shared" ref="J451:J501" si="28">IF($H451="A VISTA", $G451, IF($H451="1+1", $G451/2, IF($H451="1+2", $G451/3, IF($H451="1+3", $G451/4, ""))))</f>
        <v>8387</v>
      </c>
      <c r="K451" s="3" t="str">
        <f>IF($L451&lt;&gt;"", IF($H451="A VISTA", "", IF($H451="1+1", $C451 + CADASTROS!$C$4, IF($H451="1+2", $C451 + CADASTROS!$C$5, IF($H451="1+3", $C451 + CADASTROS!$E$4, "")))), "")</f>
        <v/>
      </c>
      <c r="L451" s="8" t="str">
        <f t="shared" ref="L451:L501" si="29">IF($H451="A VISTA", "", IF($H451="1+1", $G451-$J451, IF($H451="1+2", $G451/3, IF($H451="1+3", ($G451-$J451)/3, ""))))</f>
        <v/>
      </c>
      <c r="M451" s="3" t="str">
        <f>IF($N451&lt;&gt;"", IF($H451="A VISTA", "", IF($H451="1+1", $C451 + CADASTROS!$C$4, IF($H451="1+2", $C451 + CADASTROS!$D$5, IF($H451="1+3", $C451 + CADASTROS!$D$6, "")))), "")</f>
        <v/>
      </c>
      <c r="N451" s="8" t="str">
        <f t="shared" ref="N451:N501" si="30">IF($H451="A VISTA","",IF($H451="1+2",$G451-$J451-$L451,IF($H451="1+3",($G451-$J451-$L451)/2,"")))</f>
        <v/>
      </c>
      <c r="O451" s="3" t="str">
        <f>IF($P451&lt;&gt;"", IF($H451="A VISTA", "", IF($H451="1+1", $C451 + CADASTROS!$C$4, IF($H451="1+2", $C451 + CADASTROS!$C$5, IF($H451="1+3", $C451 + CADASTROS!$E$6, "")))), "")</f>
        <v/>
      </c>
      <c r="P451" s="8" t="str">
        <f t="shared" ref="P451:P501" si="31">IF($H451="A VISTA", "", IF($H451="1+3", $G451-$J451-$L451-$N451, ""))</f>
        <v/>
      </c>
    </row>
    <row r="452" spans="1:16">
      <c r="A452" s="2" t="s">
        <v>587</v>
      </c>
      <c r="B452" s="6" t="s">
        <v>41</v>
      </c>
      <c r="C452" s="7">
        <v>45295</v>
      </c>
      <c r="D452" s="7" t="s">
        <v>90</v>
      </c>
      <c r="E452" s="4" t="s">
        <v>111</v>
      </c>
      <c r="F452" s="4" t="s">
        <v>118</v>
      </c>
      <c r="G452" s="8">
        <v>1802</v>
      </c>
      <c r="H452" s="8" t="s">
        <v>138</v>
      </c>
      <c r="I452" s="3">
        <f>IF($H452="A VISTA", C452 + CADASTROS!$B$3, IF($H452="1+1", C452 + CADASTROS!$B$4, IF(H452="1+2", C452 + CADASTROS!$B$5, IF(H452="1+3", C452 + CADASTROS!$B$6, ""))))</f>
        <v>45296</v>
      </c>
      <c r="J452" s="8">
        <f t="shared" si="28"/>
        <v>901</v>
      </c>
      <c r="K452" s="3">
        <f>IF($L452&lt;&gt;"", IF($H452="A VISTA", "", IF($H452="1+1", $C452 + CADASTROS!$C$4, IF($H452="1+2", $C452 + CADASTROS!$C$5, IF($H452="1+3", $C452 + CADASTROS!$E$4, "")))), "")</f>
        <v>45325</v>
      </c>
      <c r="L452" s="8">
        <f t="shared" si="29"/>
        <v>901</v>
      </c>
      <c r="M452" s="3" t="str">
        <f>IF($N452&lt;&gt;"", IF($H452="A VISTA", "", IF($H452="1+1", $C452 + CADASTROS!$C$4, IF($H452="1+2", $C452 + CADASTROS!$D$5, IF($H452="1+3", $C452 + CADASTROS!$D$6, "")))), "")</f>
        <v/>
      </c>
      <c r="N452" s="8" t="str">
        <f t="shared" si="30"/>
        <v/>
      </c>
      <c r="O452" s="3" t="str">
        <f>IF($P452&lt;&gt;"", IF($H452="A VISTA", "", IF($H452="1+1", $C452 + CADASTROS!$C$4, IF($H452="1+2", $C452 + CADASTROS!$C$5, IF($H452="1+3", $C452 + CADASTROS!$E$6, "")))), "")</f>
        <v/>
      </c>
      <c r="P452" s="8" t="str">
        <f t="shared" si="31"/>
        <v/>
      </c>
    </row>
    <row r="453" spans="1:16">
      <c r="A453" s="2" t="s">
        <v>588</v>
      </c>
      <c r="B453" s="6" t="s">
        <v>23</v>
      </c>
      <c r="C453" s="7">
        <v>45187</v>
      </c>
      <c r="D453" s="7" t="s">
        <v>72</v>
      </c>
      <c r="E453" s="4" t="s">
        <v>110</v>
      </c>
      <c r="F453" s="4" t="s">
        <v>113</v>
      </c>
      <c r="G453" s="8">
        <v>5788</v>
      </c>
      <c r="H453" s="8" t="s">
        <v>138</v>
      </c>
      <c r="I453" s="3">
        <f>IF($H453="A VISTA", C453 + CADASTROS!$B$3, IF($H453="1+1", C453 + CADASTROS!$B$4, IF(H453="1+2", C453 + CADASTROS!$B$5, IF(H453="1+3", C453 + CADASTROS!$B$6, ""))))</f>
        <v>45188</v>
      </c>
      <c r="J453" s="8">
        <f t="shared" si="28"/>
        <v>2894</v>
      </c>
      <c r="K453" s="3">
        <f>IF($L453&lt;&gt;"", IF($H453="A VISTA", "", IF($H453="1+1", $C453 + CADASTROS!$C$4, IF($H453="1+2", $C453 + CADASTROS!$C$5, IF($H453="1+3", $C453 + CADASTROS!$E$4, "")))), "")</f>
        <v>45217</v>
      </c>
      <c r="L453" s="8">
        <f t="shared" si="29"/>
        <v>2894</v>
      </c>
      <c r="M453" s="3" t="str">
        <f>IF($N453&lt;&gt;"", IF($H453="A VISTA", "", IF($H453="1+1", $C453 + CADASTROS!$C$4, IF($H453="1+2", $C453 + CADASTROS!$D$5, IF($H453="1+3", $C453 + CADASTROS!$D$6, "")))), "")</f>
        <v/>
      </c>
      <c r="N453" s="8" t="str">
        <f t="shared" si="30"/>
        <v/>
      </c>
      <c r="O453" s="3" t="str">
        <f>IF($P453&lt;&gt;"", IF($H453="A VISTA", "", IF($H453="1+1", $C453 + CADASTROS!$C$4, IF($H453="1+2", $C453 + CADASTROS!$C$5, IF($H453="1+3", $C453 + CADASTROS!$E$6, "")))), "")</f>
        <v/>
      </c>
      <c r="P453" s="8" t="str">
        <f t="shared" si="31"/>
        <v/>
      </c>
    </row>
    <row r="454" spans="1:16">
      <c r="A454" s="2" t="s">
        <v>589</v>
      </c>
      <c r="B454" s="6" t="s">
        <v>17</v>
      </c>
      <c r="C454" s="7">
        <v>45254</v>
      </c>
      <c r="D454" s="7" t="s">
        <v>66</v>
      </c>
      <c r="E454" s="4" t="s">
        <v>110</v>
      </c>
      <c r="F454" s="4" t="s">
        <v>114</v>
      </c>
      <c r="G454" s="8">
        <v>5519</v>
      </c>
      <c r="H454" s="8" t="s">
        <v>136</v>
      </c>
      <c r="I454" s="3">
        <f>IF($H454="A VISTA", C454 + CADASTROS!$B$3, IF($H454="1+1", C454 + CADASTROS!$B$4, IF(H454="1+2", C454 + CADASTROS!$B$5, IF(H454="1+3", C454 + CADASTROS!$B$6, ""))))</f>
        <v>45255</v>
      </c>
      <c r="J454" s="8">
        <f t="shared" si="28"/>
        <v>1379.75</v>
      </c>
      <c r="K454" s="3">
        <f>IF($L454&lt;&gt;"", IF($H454="A VISTA", "", IF($H454="1+1", $C454 + CADASTROS!$C$4, IF($H454="1+2", $C454 + CADASTROS!$C$5, IF($H454="1+3", $C454 + CADASTROS!$E$4, "")))), "")</f>
        <v>45254</v>
      </c>
      <c r="L454" s="8">
        <f t="shared" si="29"/>
        <v>1379.75</v>
      </c>
      <c r="M454" s="3">
        <f>IF($N454&lt;&gt;"", IF($H454="A VISTA", "", IF($H454="1+1", $C454 + CADASTROS!$C$4, IF($H454="1+2", $C454 + CADASTROS!$D$5, IF($H454="1+3", $C454 + CADASTROS!$D$6, "")))), "")</f>
        <v>45299</v>
      </c>
      <c r="N454" s="8">
        <f t="shared" si="30"/>
        <v>1379.75</v>
      </c>
      <c r="O454" s="3">
        <f>IF($P454&lt;&gt;"", IF($H454="A VISTA", "", IF($H454="1+1", $C454 + CADASTROS!$C$4, IF($H454="1+2", $C454 + CADASTROS!$C$5, IF($H454="1+3", $C454 + CADASTROS!$E$6, "")))), "")</f>
        <v>45314</v>
      </c>
      <c r="P454" s="8">
        <f t="shared" si="31"/>
        <v>1379.75</v>
      </c>
    </row>
    <row r="455" spans="1:16">
      <c r="A455" s="2" t="s">
        <v>590</v>
      </c>
      <c r="B455" s="6" t="s">
        <v>41</v>
      </c>
      <c r="C455" s="7">
        <v>45006</v>
      </c>
      <c r="D455" s="7" t="s">
        <v>90</v>
      </c>
      <c r="E455" s="4" t="s">
        <v>111</v>
      </c>
      <c r="F455" s="4" t="s">
        <v>118</v>
      </c>
      <c r="G455" s="8">
        <v>9182</v>
      </c>
      <c r="H455" s="8" t="s">
        <v>126</v>
      </c>
      <c r="I455" s="3">
        <f>IF($H455="A VISTA", C455 + CADASTROS!$B$3, IF($H455="1+1", C455 + CADASTROS!$B$4, IF(H455="1+2", C455 + CADASTROS!$B$5, IF(H455="1+3", C455 + CADASTROS!$B$6, ""))))</f>
        <v>45007</v>
      </c>
      <c r="J455" s="8">
        <f t="shared" si="28"/>
        <v>9182</v>
      </c>
      <c r="K455" s="3" t="str">
        <f>IF($L455&lt;&gt;"", IF($H455="A VISTA", "", IF($H455="1+1", $C455 + CADASTROS!$C$4, IF($H455="1+2", $C455 + CADASTROS!$C$5, IF($H455="1+3", $C455 + CADASTROS!$E$4, "")))), "")</f>
        <v/>
      </c>
      <c r="L455" s="8" t="str">
        <f t="shared" si="29"/>
        <v/>
      </c>
      <c r="M455" s="3" t="str">
        <f>IF($N455&lt;&gt;"", IF($H455="A VISTA", "", IF($H455="1+1", $C455 + CADASTROS!$C$4, IF($H455="1+2", $C455 + CADASTROS!$D$5, IF($H455="1+3", $C455 + CADASTROS!$D$6, "")))), "")</f>
        <v/>
      </c>
      <c r="N455" s="8" t="str">
        <f t="shared" si="30"/>
        <v/>
      </c>
      <c r="O455" s="3" t="str">
        <f>IF($P455&lt;&gt;"", IF($H455="A VISTA", "", IF($H455="1+1", $C455 + CADASTROS!$C$4, IF($H455="1+2", $C455 + CADASTROS!$C$5, IF($H455="1+3", $C455 + CADASTROS!$E$6, "")))), "")</f>
        <v/>
      </c>
      <c r="P455" s="8" t="str">
        <f t="shared" si="31"/>
        <v/>
      </c>
    </row>
    <row r="456" spans="1:16">
      <c r="A456" s="2" t="s">
        <v>591</v>
      </c>
      <c r="B456" s="6" t="s">
        <v>21</v>
      </c>
      <c r="C456" s="7">
        <v>45171</v>
      </c>
      <c r="D456" s="7" t="s">
        <v>70</v>
      </c>
      <c r="E456" s="4" t="s">
        <v>110</v>
      </c>
      <c r="F456" s="4" t="s">
        <v>124</v>
      </c>
      <c r="G456" s="8">
        <v>3154</v>
      </c>
      <c r="H456" s="8" t="s">
        <v>136</v>
      </c>
      <c r="I456" s="3">
        <f>IF($H456="A VISTA", C456 + CADASTROS!$B$3, IF($H456="1+1", C456 + CADASTROS!$B$4, IF(H456="1+2", C456 + CADASTROS!$B$5, IF(H456="1+3", C456 + CADASTROS!$B$6, ""))))</f>
        <v>45172</v>
      </c>
      <c r="J456" s="8">
        <f t="shared" si="28"/>
        <v>788.5</v>
      </c>
      <c r="K456" s="3">
        <f>IF($L456&lt;&gt;"", IF($H456="A VISTA", "", IF($H456="1+1", $C456 + CADASTROS!$C$4, IF($H456="1+2", $C456 + CADASTROS!$C$5, IF($H456="1+3", $C456 + CADASTROS!$E$4, "")))), "")</f>
        <v>45171</v>
      </c>
      <c r="L456" s="8">
        <f t="shared" si="29"/>
        <v>788.5</v>
      </c>
      <c r="M456" s="3">
        <f>IF($N456&lt;&gt;"", IF($H456="A VISTA", "", IF($H456="1+1", $C456 + CADASTROS!$C$4, IF($H456="1+2", $C456 + CADASTROS!$D$5, IF($H456="1+3", $C456 + CADASTROS!$D$6, "")))), "")</f>
        <v>45216</v>
      </c>
      <c r="N456" s="8">
        <f t="shared" si="30"/>
        <v>788.5</v>
      </c>
      <c r="O456" s="3">
        <f>IF($P456&lt;&gt;"", IF($H456="A VISTA", "", IF($H456="1+1", $C456 + CADASTROS!$C$4, IF($H456="1+2", $C456 + CADASTROS!$C$5, IF($H456="1+3", $C456 + CADASTROS!$E$6, "")))), "")</f>
        <v>45231</v>
      </c>
      <c r="P456" s="8">
        <f t="shared" si="31"/>
        <v>788.5</v>
      </c>
    </row>
    <row r="457" spans="1:16">
      <c r="A457" s="2" t="s">
        <v>592</v>
      </c>
      <c r="B457" s="6" t="s">
        <v>37</v>
      </c>
      <c r="C457" s="7">
        <v>45437</v>
      </c>
      <c r="D457" s="7" t="s">
        <v>86</v>
      </c>
      <c r="E457" s="4" t="s">
        <v>112</v>
      </c>
      <c r="F457" s="4" t="s">
        <v>123</v>
      </c>
      <c r="G457" s="8">
        <v>6164</v>
      </c>
      <c r="H457" s="8" t="s">
        <v>126</v>
      </c>
      <c r="I457" s="3">
        <f>IF($H457="A VISTA", C457 + CADASTROS!$B$3, IF($H457="1+1", C457 + CADASTROS!$B$4, IF(H457="1+2", C457 + CADASTROS!$B$5, IF(H457="1+3", C457 + CADASTROS!$B$6, ""))))</f>
        <v>45438</v>
      </c>
      <c r="J457" s="8">
        <f t="shared" si="28"/>
        <v>6164</v>
      </c>
      <c r="K457" s="3" t="str">
        <f>IF($L457&lt;&gt;"", IF($H457="A VISTA", "", IF($H457="1+1", $C457 + CADASTROS!$C$4, IF($H457="1+2", $C457 + CADASTROS!$C$5, IF($H457="1+3", $C457 + CADASTROS!$E$4, "")))), "")</f>
        <v/>
      </c>
      <c r="L457" s="8" t="str">
        <f t="shared" si="29"/>
        <v/>
      </c>
      <c r="M457" s="3" t="str">
        <f>IF($N457&lt;&gt;"", IF($H457="A VISTA", "", IF($H457="1+1", $C457 + CADASTROS!$C$4, IF($H457="1+2", $C457 + CADASTROS!$D$5, IF($H457="1+3", $C457 + CADASTROS!$D$6, "")))), "")</f>
        <v/>
      </c>
      <c r="N457" s="8" t="str">
        <f t="shared" si="30"/>
        <v/>
      </c>
      <c r="O457" s="3" t="str">
        <f>IF($P457&lt;&gt;"", IF($H457="A VISTA", "", IF($H457="1+1", $C457 + CADASTROS!$C$4, IF($H457="1+2", $C457 + CADASTROS!$C$5, IF($H457="1+3", $C457 + CADASTROS!$E$6, "")))), "")</f>
        <v/>
      </c>
      <c r="P457" s="8" t="str">
        <f t="shared" si="31"/>
        <v/>
      </c>
    </row>
    <row r="458" spans="1:16">
      <c r="A458" s="2" t="s">
        <v>593</v>
      </c>
      <c r="B458" s="6" t="s">
        <v>18</v>
      </c>
      <c r="C458" s="7">
        <v>45507</v>
      </c>
      <c r="D458" s="7" t="s">
        <v>67</v>
      </c>
      <c r="E458" s="4" t="s">
        <v>111</v>
      </c>
      <c r="F458" s="4" t="s">
        <v>121</v>
      </c>
      <c r="G458" s="8">
        <v>3859</v>
      </c>
      <c r="H458" s="8" t="s">
        <v>126</v>
      </c>
      <c r="I458" s="3">
        <f>IF($H458="A VISTA", C458 + CADASTROS!$B$3, IF($H458="1+1", C458 + CADASTROS!$B$4, IF(H458="1+2", C458 + CADASTROS!$B$5, IF(H458="1+3", C458 + CADASTROS!$B$6, ""))))</f>
        <v>45508</v>
      </c>
      <c r="J458" s="8">
        <f t="shared" si="28"/>
        <v>3859</v>
      </c>
      <c r="K458" s="3" t="str">
        <f>IF($L458&lt;&gt;"", IF($H458="A VISTA", "", IF($H458="1+1", $C458 + CADASTROS!$C$4, IF($H458="1+2", $C458 + CADASTROS!$C$5, IF($H458="1+3", $C458 + CADASTROS!$E$4, "")))), "")</f>
        <v/>
      </c>
      <c r="L458" s="8" t="str">
        <f t="shared" si="29"/>
        <v/>
      </c>
      <c r="M458" s="3" t="str">
        <f>IF($N458&lt;&gt;"", IF($H458="A VISTA", "", IF($H458="1+1", $C458 + CADASTROS!$C$4, IF($H458="1+2", $C458 + CADASTROS!$D$5, IF($H458="1+3", $C458 + CADASTROS!$D$6, "")))), "")</f>
        <v/>
      </c>
      <c r="N458" s="8" t="str">
        <f t="shared" si="30"/>
        <v/>
      </c>
      <c r="O458" s="3" t="str">
        <f>IF($P458&lt;&gt;"", IF($H458="A VISTA", "", IF($H458="1+1", $C458 + CADASTROS!$C$4, IF($H458="1+2", $C458 + CADASTROS!$C$5, IF($H458="1+3", $C458 + CADASTROS!$E$6, "")))), "")</f>
        <v/>
      </c>
      <c r="P458" s="8" t="str">
        <f t="shared" si="31"/>
        <v/>
      </c>
    </row>
    <row r="459" spans="1:16">
      <c r="A459" s="2" t="s">
        <v>594</v>
      </c>
      <c r="B459" s="6" t="s">
        <v>24</v>
      </c>
      <c r="C459" s="7">
        <v>45410</v>
      </c>
      <c r="D459" s="7" t="s">
        <v>73</v>
      </c>
      <c r="E459" s="4" t="s">
        <v>112</v>
      </c>
      <c r="F459" s="4" t="s">
        <v>122</v>
      </c>
      <c r="G459" s="8">
        <v>6257</v>
      </c>
      <c r="H459" s="8" t="s">
        <v>126</v>
      </c>
      <c r="I459" s="3">
        <f>IF($H459="A VISTA", C459 + CADASTROS!$B$3, IF($H459="1+1", C459 + CADASTROS!$B$4, IF(H459="1+2", C459 + CADASTROS!$B$5, IF(H459="1+3", C459 + CADASTROS!$B$6, ""))))</f>
        <v>45411</v>
      </c>
      <c r="J459" s="8">
        <f t="shared" si="28"/>
        <v>6257</v>
      </c>
      <c r="K459" s="3" t="str">
        <f>IF($L459&lt;&gt;"", IF($H459="A VISTA", "", IF($H459="1+1", $C459 + CADASTROS!$C$4, IF($H459="1+2", $C459 + CADASTROS!$C$5, IF($H459="1+3", $C459 + CADASTROS!$E$4, "")))), "")</f>
        <v/>
      </c>
      <c r="L459" s="8" t="str">
        <f t="shared" si="29"/>
        <v/>
      </c>
      <c r="M459" s="3" t="str">
        <f>IF($N459&lt;&gt;"", IF($H459="A VISTA", "", IF($H459="1+1", $C459 + CADASTROS!$C$4, IF($H459="1+2", $C459 + CADASTROS!$D$5, IF($H459="1+3", $C459 + CADASTROS!$D$6, "")))), "")</f>
        <v/>
      </c>
      <c r="N459" s="8" t="str">
        <f t="shared" si="30"/>
        <v/>
      </c>
      <c r="O459" s="3" t="str">
        <f>IF($P459&lt;&gt;"", IF($H459="A VISTA", "", IF($H459="1+1", $C459 + CADASTROS!$C$4, IF($H459="1+2", $C459 + CADASTROS!$C$5, IF($H459="1+3", $C459 + CADASTROS!$E$6, "")))), "")</f>
        <v/>
      </c>
      <c r="P459" s="8" t="str">
        <f t="shared" si="31"/>
        <v/>
      </c>
    </row>
    <row r="460" spans="1:16">
      <c r="A460" s="2" t="s">
        <v>595</v>
      </c>
      <c r="B460" s="6" t="s">
        <v>48</v>
      </c>
      <c r="C460" s="7">
        <v>45117</v>
      </c>
      <c r="D460" s="7" t="s">
        <v>97</v>
      </c>
      <c r="E460" s="4" t="s">
        <v>112</v>
      </c>
      <c r="F460" s="4" t="s">
        <v>123</v>
      </c>
      <c r="G460" s="8">
        <v>4081</v>
      </c>
      <c r="H460" s="8" t="s">
        <v>126</v>
      </c>
      <c r="I460" s="3">
        <f>IF($H460="A VISTA", C460 + CADASTROS!$B$3, IF($H460="1+1", C460 + CADASTROS!$B$4, IF(H460="1+2", C460 + CADASTROS!$B$5, IF(H460="1+3", C460 + CADASTROS!$B$6, ""))))</f>
        <v>45118</v>
      </c>
      <c r="J460" s="8">
        <f t="shared" si="28"/>
        <v>4081</v>
      </c>
      <c r="K460" s="3" t="str">
        <f>IF($L460&lt;&gt;"", IF($H460="A VISTA", "", IF($H460="1+1", $C460 + CADASTROS!$C$4, IF($H460="1+2", $C460 + CADASTROS!$C$5, IF($H460="1+3", $C460 + CADASTROS!$E$4, "")))), "")</f>
        <v/>
      </c>
      <c r="L460" s="8" t="str">
        <f t="shared" si="29"/>
        <v/>
      </c>
      <c r="M460" s="3" t="str">
        <f>IF($N460&lt;&gt;"", IF($H460="A VISTA", "", IF($H460="1+1", $C460 + CADASTROS!$C$4, IF($H460="1+2", $C460 + CADASTROS!$D$5, IF($H460="1+3", $C460 + CADASTROS!$D$6, "")))), "")</f>
        <v/>
      </c>
      <c r="N460" s="8" t="str">
        <f t="shared" si="30"/>
        <v/>
      </c>
      <c r="O460" s="3" t="str">
        <f>IF($P460&lt;&gt;"", IF($H460="A VISTA", "", IF($H460="1+1", $C460 + CADASTROS!$C$4, IF($H460="1+2", $C460 + CADASTROS!$C$5, IF($H460="1+3", $C460 + CADASTROS!$E$6, "")))), "")</f>
        <v/>
      </c>
      <c r="P460" s="8" t="str">
        <f t="shared" si="31"/>
        <v/>
      </c>
    </row>
    <row r="461" spans="1:16">
      <c r="A461" s="2" t="s">
        <v>596</v>
      </c>
      <c r="B461" s="6" t="s">
        <v>34</v>
      </c>
      <c r="C461" s="7">
        <v>45346</v>
      </c>
      <c r="D461" s="7" t="s">
        <v>83</v>
      </c>
      <c r="E461" s="4" t="s">
        <v>110</v>
      </c>
      <c r="F461" s="4" t="s">
        <v>113</v>
      </c>
      <c r="G461" s="8">
        <v>8508</v>
      </c>
      <c r="H461" s="8" t="s">
        <v>138</v>
      </c>
      <c r="I461" s="3">
        <f>IF($H461="A VISTA", C461 + CADASTROS!$B$3, IF($H461="1+1", C461 + CADASTROS!$B$4, IF(H461="1+2", C461 + CADASTROS!$B$5, IF(H461="1+3", C461 + CADASTROS!$B$6, ""))))</f>
        <v>45347</v>
      </c>
      <c r="J461" s="8">
        <f t="shared" si="28"/>
        <v>4254</v>
      </c>
      <c r="K461" s="3">
        <f>IF($L461&lt;&gt;"", IF($H461="A VISTA", "", IF($H461="1+1", $C461 + CADASTROS!$C$4, IF($H461="1+2", $C461 + CADASTROS!$C$5, IF($H461="1+3", $C461 + CADASTROS!$E$4, "")))), "")</f>
        <v>45376</v>
      </c>
      <c r="L461" s="8">
        <f t="shared" si="29"/>
        <v>4254</v>
      </c>
      <c r="M461" s="3" t="str">
        <f>IF($N461&lt;&gt;"", IF($H461="A VISTA", "", IF($H461="1+1", $C461 + CADASTROS!$C$4, IF($H461="1+2", $C461 + CADASTROS!$D$5, IF($H461="1+3", $C461 + CADASTROS!$D$6, "")))), "")</f>
        <v/>
      </c>
      <c r="N461" s="8" t="str">
        <f t="shared" si="30"/>
        <v/>
      </c>
      <c r="O461" s="3" t="str">
        <f>IF($P461&lt;&gt;"", IF($H461="A VISTA", "", IF($H461="1+1", $C461 + CADASTROS!$C$4, IF($H461="1+2", $C461 + CADASTROS!$C$5, IF($H461="1+3", $C461 + CADASTROS!$E$6, "")))), "")</f>
        <v/>
      </c>
      <c r="P461" s="8" t="str">
        <f t="shared" si="31"/>
        <v/>
      </c>
    </row>
    <row r="462" spans="1:16">
      <c r="A462" s="2" t="s">
        <v>597</v>
      </c>
      <c r="B462" s="6" t="s">
        <v>21</v>
      </c>
      <c r="C462" s="7">
        <v>45311</v>
      </c>
      <c r="D462" s="7" t="s">
        <v>70</v>
      </c>
      <c r="E462" s="4" t="s">
        <v>110</v>
      </c>
      <c r="F462" s="4" t="s">
        <v>124</v>
      </c>
      <c r="G462" s="8">
        <v>8975</v>
      </c>
      <c r="H462" s="8" t="s">
        <v>138</v>
      </c>
      <c r="I462" s="3">
        <f>IF($H462="A VISTA", C462 + CADASTROS!$B$3, IF($H462="1+1", C462 + CADASTROS!$B$4, IF(H462="1+2", C462 + CADASTROS!$B$5, IF(H462="1+3", C462 + CADASTROS!$B$6, ""))))</f>
        <v>45312</v>
      </c>
      <c r="J462" s="8">
        <f t="shared" si="28"/>
        <v>4487.5</v>
      </c>
      <c r="K462" s="3">
        <f>IF($L462&lt;&gt;"", IF($H462="A VISTA", "", IF($H462="1+1", $C462 + CADASTROS!$C$4, IF($H462="1+2", $C462 + CADASTROS!$C$5, IF($H462="1+3", $C462 + CADASTROS!$E$4, "")))), "")</f>
        <v>45341</v>
      </c>
      <c r="L462" s="8">
        <f t="shared" si="29"/>
        <v>4487.5</v>
      </c>
      <c r="M462" s="3" t="str">
        <f>IF($N462&lt;&gt;"", IF($H462="A VISTA", "", IF($H462="1+1", $C462 + CADASTROS!$C$4, IF($H462="1+2", $C462 + CADASTROS!$D$5, IF($H462="1+3", $C462 + CADASTROS!$D$6, "")))), "")</f>
        <v/>
      </c>
      <c r="N462" s="8" t="str">
        <f t="shared" si="30"/>
        <v/>
      </c>
      <c r="O462" s="3" t="str">
        <f>IF($P462&lt;&gt;"", IF($H462="A VISTA", "", IF($H462="1+1", $C462 + CADASTROS!$C$4, IF($H462="1+2", $C462 + CADASTROS!$C$5, IF($H462="1+3", $C462 + CADASTROS!$E$6, "")))), "")</f>
        <v/>
      </c>
      <c r="P462" s="8" t="str">
        <f t="shared" si="31"/>
        <v/>
      </c>
    </row>
    <row r="463" spans="1:16">
      <c r="A463" s="2" t="s">
        <v>598</v>
      </c>
      <c r="B463" s="6" t="s">
        <v>35</v>
      </c>
      <c r="C463" s="7">
        <v>45378</v>
      </c>
      <c r="D463" s="7" t="s">
        <v>84</v>
      </c>
      <c r="E463" s="4" t="s">
        <v>112</v>
      </c>
      <c r="F463" s="4" t="s">
        <v>122</v>
      </c>
      <c r="G463" s="8">
        <v>5195</v>
      </c>
      <c r="H463" s="8" t="s">
        <v>126</v>
      </c>
      <c r="I463" s="3">
        <f>IF($H463="A VISTA", C463 + CADASTROS!$B$3, IF($H463="1+1", C463 + CADASTROS!$B$4, IF(H463="1+2", C463 + CADASTROS!$B$5, IF(H463="1+3", C463 + CADASTROS!$B$6, ""))))</f>
        <v>45379</v>
      </c>
      <c r="J463" s="8">
        <f t="shared" si="28"/>
        <v>5195</v>
      </c>
      <c r="K463" s="3" t="str">
        <f>IF($L463&lt;&gt;"", IF($H463="A VISTA", "", IF($H463="1+1", $C463 + CADASTROS!$C$4, IF($H463="1+2", $C463 + CADASTROS!$C$5, IF($H463="1+3", $C463 + CADASTROS!$E$4, "")))), "")</f>
        <v/>
      </c>
      <c r="L463" s="8" t="str">
        <f t="shared" si="29"/>
        <v/>
      </c>
      <c r="M463" s="3" t="str">
        <f>IF($N463&lt;&gt;"", IF($H463="A VISTA", "", IF($H463="1+1", $C463 + CADASTROS!$C$4, IF($H463="1+2", $C463 + CADASTROS!$D$5, IF($H463="1+3", $C463 + CADASTROS!$D$6, "")))), "")</f>
        <v/>
      </c>
      <c r="N463" s="8" t="str">
        <f t="shared" si="30"/>
        <v/>
      </c>
      <c r="O463" s="3" t="str">
        <f>IF($P463&lt;&gt;"", IF($H463="A VISTA", "", IF($H463="1+1", $C463 + CADASTROS!$C$4, IF($H463="1+2", $C463 + CADASTROS!$C$5, IF($H463="1+3", $C463 + CADASTROS!$E$6, "")))), "")</f>
        <v/>
      </c>
      <c r="P463" s="8" t="str">
        <f t="shared" si="31"/>
        <v/>
      </c>
    </row>
    <row r="464" spans="1:16">
      <c r="A464" s="2" t="s">
        <v>599</v>
      </c>
      <c r="B464" s="6" t="s">
        <v>46</v>
      </c>
      <c r="C464" s="7">
        <v>45332</v>
      </c>
      <c r="D464" s="7" t="s">
        <v>95</v>
      </c>
      <c r="E464" s="4" t="s">
        <v>112</v>
      </c>
      <c r="F464" s="4" t="s">
        <v>122</v>
      </c>
      <c r="G464" s="8">
        <v>5649</v>
      </c>
      <c r="H464" s="8" t="s">
        <v>126</v>
      </c>
      <c r="I464" s="3">
        <f>IF($H464="A VISTA", C464 + CADASTROS!$B$3, IF($H464="1+1", C464 + CADASTROS!$B$4, IF(H464="1+2", C464 + CADASTROS!$B$5, IF(H464="1+3", C464 + CADASTROS!$B$6, ""))))</f>
        <v>45333</v>
      </c>
      <c r="J464" s="8">
        <f t="shared" si="28"/>
        <v>5649</v>
      </c>
      <c r="K464" s="3" t="str">
        <f>IF($L464&lt;&gt;"", IF($H464="A VISTA", "", IF($H464="1+1", $C464 + CADASTROS!$C$4, IF($H464="1+2", $C464 + CADASTROS!$C$5, IF($H464="1+3", $C464 + CADASTROS!$E$4, "")))), "")</f>
        <v/>
      </c>
      <c r="L464" s="8" t="str">
        <f t="shared" si="29"/>
        <v/>
      </c>
      <c r="M464" s="3" t="str">
        <f>IF($N464&lt;&gt;"", IF($H464="A VISTA", "", IF($H464="1+1", $C464 + CADASTROS!$C$4, IF($H464="1+2", $C464 + CADASTROS!$D$5, IF($H464="1+3", $C464 + CADASTROS!$D$6, "")))), "")</f>
        <v/>
      </c>
      <c r="N464" s="8" t="str">
        <f t="shared" si="30"/>
        <v/>
      </c>
      <c r="O464" s="3" t="str">
        <f>IF($P464&lt;&gt;"", IF($H464="A VISTA", "", IF($H464="1+1", $C464 + CADASTROS!$C$4, IF($H464="1+2", $C464 + CADASTROS!$C$5, IF($H464="1+3", $C464 + CADASTROS!$E$6, "")))), "")</f>
        <v/>
      </c>
      <c r="P464" s="8" t="str">
        <f t="shared" si="31"/>
        <v/>
      </c>
    </row>
    <row r="465" spans="1:16">
      <c r="A465" s="2" t="s">
        <v>600</v>
      </c>
      <c r="B465" s="6" t="s">
        <v>47</v>
      </c>
      <c r="C465" s="7">
        <v>45543</v>
      </c>
      <c r="D465" s="7" t="s">
        <v>96</v>
      </c>
      <c r="E465" s="4" t="s">
        <v>111</v>
      </c>
      <c r="F465" s="4" t="s">
        <v>120</v>
      </c>
      <c r="G465" s="8">
        <v>527</v>
      </c>
      <c r="H465" s="8" t="s">
        <v>137</v>
      </c>
      <c r="I465" s="3">
        <f>IF($H465="A VISTA", C465 + CADASTROS!$B$3, IF($H465="1+1", C465 + CADASTROS!$B$4, IF(H465="1+2", C465 + CADASTROS!$B$5, IF(H465="1+3", C465 + CADASTROS!$B$6, ""))))</f>
        <v>45544</v>
      </c>
      <c r="J465" s="8">
        <f t="shared" si="28"/>
        <v>175.66666666666666</v>
      </c>
      <c r="K465" s="3">
        <f>IF($L465&lt;&gt;"", IF($H465="A VISTA", "", IF($H465="1+1", $C465 + CADASTROS!$C$4, IF($H465="1+2", $C465 + CADASTROS!$C$5, IF($H465="1+3", $C465 + CADASTROS!$E$4, "")))), "")</f>
        <v>45573</v>
      </c>
      <c r="L465" s="8">
        <f t="shared" si="29"/>
        <v>175.66666666666666</v>
      </c>
      <c r="M465" s="3">
        <f>IF($N465&lt;&gt;"", IF($H465="A VISTA", "", IF($H465="1+1", $C465 + CADASTROS!$C$4, IF($H465="1+2", $C465 + CADASTROS!$D$5, IF($H465="1+3", $C465 + CADASTROS!$D$6, "")))), "")</f>
        <v>45588</v>
      </c>
      <c r="N465" s="8">
        <f t="shared" si="30"/>
        <v>175.66666666666671</v>
      </c>
      <c r="O465" s="3" t="str">
        <f>IF($P465&lt;&gt;"", IF($H465="A VISTA", "", IF($H465="1+1", $C465 + CADASTROS!$C$4, IF($H465="1+2", $C465 + CADASTROS!$C$5, IF($H465="1+3", $C465 + CADASTROS!$E$6, "")))), "")</f>
        <v/>
      </c>
      <c r="P465" s="8" t="str">
        <f t="shared" si="31"/>
        <v/>
      </c>
    </row>
    <row r="466" spans="1:16">
      <c r="A466" s="2" t="s">
        <v>601</v>
      </c>
      <c r="B466" s="6" t="s">
        <v>42</v>
      </c>
      <c r="C466" s="7">
        <v>45404</v>
      </c>
      <c r="D466" s="7" t="s">
        <v>91</v>
      </c>
      <c r="E466" s="4" t="s">
        <v>111</v>
      </c>
      <c r="F466" s="4" t="s">
        <v>117</v>
      </c>
      <c r="G466" s="8">
        <v>7277</v>
      </c>
      <c r="H466" s="8" t="s">
        <v>126</v>
      </c>
      <c r="I466" s="3">
        <f>IF($H466="A VISTA", C466 + CADASTROS!$B$3, IF($H466="1+1", C466 + CADASTROS!$B$4, IF(H466="1+2", C466 + CADASTROS!$B$5, IF(H466="1+3", C466 + CADASTROS!$B$6, ""))))</f>
        <v>45405</v>
      </c>
      <c r="J466" s="8">
        <f t="shared" si="28"/>
        <v>7277</v>
      </c>
      <c r="K466" s="3" t="str">
        <f>IF($L466&lt;&gt;"", IF($H466="A VISTA", "", IF($H466="1+1", $C466 + CADASTROS!$C$4, IF($H466="1+2", $C466 + CADASTROS!$C$5, IF($H466="1+3", $C466 + CADASTROS!$E$4, "")))), "")</f>
        <v/>
      </c>
      <c r="L466" s="8" t="str">
        <f t="shared" si="29"/>
        <v/>
      </c>
      <c r="M466" s="3" t="str">
        <f>IF($N466&lt;&gt;"", IF($H466="A VISTA", "", IF($H466="1+1", $C466 + CADASTROS!$C$4, IF($H466="1+2", $C466 + CADASTROS!$D$5, IF($H466="1+3", $C466 + CADASTROS!$D$6, "")))), "")</f>
        <v/>
      </c>
      <c r="N466" s="8" t="str">
        <f t="shared" si="30"/>
        <v/>
      </c>
      <c r="O466" s="3" t="str">
        <f>IF($P466&lt;&gt;"", IF($H466="A VISTA", "", IF($H466="1+1", $C466 + CADASTROS!$C$4, IF($H466="1+2", $C466 + CADASTROS!$C$5, IF($H466="1+3", $C466 + CADASTROS!$E$6, "")))), "")</f>
        <v/>
      </c>
      <c r="P466" s="8" t="str">
        <f t="shared" si="31"/>
        <v/>
      </c>
    </row>
    <row r="467" spans="1:16">
      <c r="A467" s="2" t="s">
        <v>602</v>
      </c>
      <c r="B467" s="6" t="s">
        <v>24</v>
      </c>
      <c r="C467" s="7">
        <v>45271</v>
      </c>
      <c r="D467" s="7" t="s">
        <v>73</v>
      </c>
      <c r="E467" s="4" t="s">
        <v>112</v>
      </c>
      <c r="F467" s="4" t="s">
        <v>122</v>
      </c>
      <c r="G467" s="8">
        <v>6242</v>
      </c>
      <c r="H467" s="8" t="s">
        <v>126</v>
      </c>
      <c r="I467" s="3">
        <f>IF($H467="A VISTA", C467 + CADASTROS!$B$3, IF($H467="1+1", C467 + CADASTROS!$B$4, IF(H467="1+2", C467 + CADASTROS!$B$5, IF(H467="1+3", C467 + CADASTROS!$B$6, ""))))</f>
        <v>45272</v>
      </c>
      <c r="J467" s="8">
        <f t="shared" si="28"/>
        <v>6242</v>
      </c>
      <c r="K467" s="3" t="str">
        <f>IF($L467&lt;&gt;"", IF($H467="A VISTA", "", IF($H467="1+1", $C467 + CADASTROS!$C$4, IF($H467="1+2", $C467 + CADASTROS!$C$5, IF($H467="1+3", $C467 + CADASTROS!$E$4, "")))), "")</f>
        <v/>
      </c>
      <c r="L467" s="8" t="str">
        <f t="shared" si="29"/>
        <v/>
      </c>
      <c r="M467" s="3" t="str">
        <f>IF($N467&lt;&gt;"", IF($H467="A VISTA", "", IF($H467="1+1", $C467 + CADASTROS!$C$4, IF($H467="1+2", $C467 + CADASTROS!$D$5, IF($H467="1+3", $C467 + CADASTROS!$D$6, "")))), "")</f>
        <v/>
      </c>
      <c r="N467" s="8" t="str">
        <f t="shared" si="30"/>
        <v/>
      </c>
      <c r="O467" s="3" t="str">
        <f>IF($P467&lt;&gt;"", IF($H467="A VISTA", "", IF($H467="1+1", $C467 + CADASTROS!$C$4, IF($H467="1+2", $C467 + CADASTROS!$C$5, IF($H467="1+3", $C467 + CADASTROS!$E$6, "")))), "")</f>
        <v/>
      </c>
      <c r="P467" s="8" t="str">
        <f t="shared" si="31"/>
        <v/>
      </c>
    </row>
    <row r="468" spans="1:16">
      <c r="A468" s="2" t="s">
        <v>603</v>
      </c>
      <c r="B468" s="6" t="s">
        <v>38</v>
      </c>
      <c r="C468" s="7">
        <v>45270</v>
      </c>
      <c r="D468" s="7" t="s">
        <v>87</v>
      </c>
      <c r="E468" s="4" t="s">
        <v>110</v>
      </c>
      <c r="F468" s="4" t="s">
        <v>125</v>
      </c>
      <c r="G468" s="8">
        <v>9670</v>
      </c>
      <c r="H468" s="8" t="s">
        <v>138</v>
      </c>
      <c r="I468" s="3">
        <f>IF($H468="A VISTA", C468 + CADASTROS!$B$3, IF($H468="1+1", C468 + CADASTROS!$B$4, IF(H468="1+2", C468 + CADASTROS!$B$5, IF(H468="1+3", C468 + CADASTROS!$B$6, ""))))</f>
        <v>45271</v>
      </c>
      <c r="J468" s="8">
        <f t="shared" si="28"/>
        <v>4835</v>
      </c>
      <c r="K468" s="3">
        <f>IF($L468&lt;&gt;"", IF($H468="A VISTA", "", IF($H468="1+1", $C468 + CADASTROS!$C$4, IF($H468="1+2", $C468 + CADASTROS!$C$5, IF($H468="1+3", $C468 + CADASTROS!$E$4, "")))), "")</f>
        <v>45300</v>
      </c>
      <c r="L468" s="8">
        <f t="shared" si="29"/>
        <v>4835</v>
      </c>
      <c r="M468" s="3" t="str">
        <f>IF($N468&lt;&gt;"", IF($H468="A VISTA", "", IF($H468="1+1", $C468 + CADASTROS!$C$4, IF($H468="1+2", $C468 + CADASTROS!$D$5, IF($H468="1+3", $C468 + CADASTROS!$D$6, "")))), "")</f>
        <v/>
      </c>
      <c r="N468" s="8" t="str">
        <f t="shared" si="30"/>
        <v/>
      </c>
      <c r="O468" s="3" t="str">
        <f>IF($P468&lt;&gt;"", IF($H468="A VISTA", "", IF($H468="1+1", $C468 + CADASTROS!$C$4, IF($H468="1+2", $C468 + CADASTROS!$C$5, IF($H468="1+3", $C468 + CADASTROS!$E$6, "")))), "")</f>
        <v/>
      </c>
      <c r="P468" s="8" t="str">
        <f t="shared" si="31"/>
        <v/>
      </c>
    </row>
    <row r="469" spans="1:16">
      <c r="A469" s="2" t="s">
        <v>604</v>
      </c>
      <c r="B469" s="6" t="s">
        <v>52</v>
      </c>
      <c r="C469" s="7">
        <v>45200</v>
      </c>
      <c r="D469" s="7" t="s">
        <v>101</v>
      </c>
      <c r="E469" s="4" t="s">
        <v>111</v>
      </c>
      <c r="F469" s="4" t="s">
        <v>118</v>
      </c>
      <c r="G469" s="8">
        <v>2636</v>
      </c>
      <c r="H469" s="8" t="s">
        <v>126</v>
      </c>
      <c r="I469" s="3">
        <f>IF($H469="A VISTA", C469 + CADASTROS!$B$3, IF($H469="1+1", C469 + CADASTROS!$B$4, IF(H469="1+2", C469 + CADASTROS!$B$5, IF(H469="1+3", C469 + CADASTROS!$B$6, ""))))</f>
        <v>45201</v>
      </c>
      <c r="J469" s="8">
        <f t="shared" si="28"/>
        <v>2636</v>
      </c>
      <c r="K469" s="3" t="str">
        <f>IF($L469&lt;&gt;"", IF($H469="A VISTA", "", IF($H469="1+1", $C469 + CADASTROS!$C$4, IF($H469="1+2", $C469 + CADASTROS!$C$5, IF($H469="1+3", $C469 + CADASTROS!$E$4, "")))), "")</f>
        <v/>
      </c>
      <c r="L469" s="8" t="str">
        <f t="shared" si="29"/>
        <v/>
      </c>
      <c r="M469" s="3" t="str">
        <f>IF($N469&lt;&gt;"", IF($H469="A VISTA", "", IF($H469="1+1", $C469 + CADASTROS!$C$4, IF($H469="1+2", $C469 + CADASTROS!$D$5, IF($H469="1+3", $C469 + CADASTROS!$D$6, "")))), "")</f>
        <v/>
      </c>
      <c r="N469" s="8" t="str">
        <f t="shared" si="30"/>
        <v/>
      </c>
      <c r="O469" s="3" t="str">
        <f>IF($P469&lt;&gt;"", IF($H469="A VISTA", "", IF($H469="1+1", $C469 + CADASTROS!$C$4, IF($H469="1+2", $C469 + CADASTROS!$C$5, IF($H469="1+3", $C469 + CADASTROS!$E$6, "")))), "")</f>
        <v/>
      </c>
      <c r="P469" s="8" t="str">
        <f t="shared" si="31"/>
        <v/>
      </c>
    </row>
    <row r="470" spans="1:16">
      <c r="A470" s="2" t="s">
        <v>605</v>
      </c>
      <c r="B470" s="6" t="s">
        <v>28</v>
      </c>
      <c r="C470" s="7">
        <v>45325</v>
      </c>
      <c r="D470" s="7" t="s">
        <v>77</v>
      </c>
      <c r="E470" s="4" t="s">
        <v>110</v>
      </c>
      <c r="F470" s="4" t="s">
        <v>114</v>
      </c>
      <c r="G470" s="8">
        <v>1670</v>
      </c>
      <c r="H470" s="8" t="s">
        <v>136</v>
      </c>
      <c r="I470" s="3">
        <f>IF($H470="A VISTA", C470 + CADASTROS!$B$3, IF($H470="1+1", C470 + CADASTROS!$B$4, IF(H470="1+2", C470 + CADASTROS!$B$5, IF(H470="1+3", C470 + CADASTROS!$B$6, ""))))</f>
        <v>45326</v>
      </c>
      <c r="J470" s="8">
        <f t="shared" si="28"/>
        <v>417.5</v>
      </c>
      <c r="K470" s="3">
        <f>IF($L470&lt;&gt;"", IF($H470="A VISTA", "", IF($H470="1+1", $C470 + CADASTROS!$C$4, IF($H470="1+2", $C470 + CADASTROS!$C$5, IF($H470="1+3", $C470 + CADASTROS!$E$4, "")))), "")</f>
        <v>45325</v>
      </c>
      <c r="L470" s="8">
        <f t="shared" si="29"/>
        <v>417.5</v>
      </c>
      <c r="M470" s="3">
        <f>IF($N470&lt;&gt;"", IF($H470="A VISTA", "", IF($H470="1+1", $C470 + CADASTROS!$C$4, IF($H470="1+2", $C470 + CADASTROS!$D$5, IF($H470="1+3", $C470 + CADASTROS!$D$6, "")))), "")</f>
        <v>45370</v>
      </c>
      <c r="N470" s="8">
        <f t="shared" si="30"/>
        <v>417.5</v>
      </c>
      <c r="O470" s="3">
        <f>IF($P470&lt;&gt;"", IF($H470="A VISTA", "", IF($H470="1+1", $C470 + CADASTROS!$C$4, IF($H470="1+2", $C470 + CADASTROS!$C$5, IF($H470="1+3", $C470 + CADASTROS!$E$6, "")))), "")</f>
        <v>45385</v>
      </c>
      <c r="P470" s="8">
        <f t="shared" si="31"/>
        <v>417.5</v>
      </c>
    </row>
    <row r="471" spans="1:16">
      <c r="A471" s="2" t="s">
        <v>606</v>
      </c>
      <c r="B471" s="6" t="s">
        <v>55</v>
      </c>
      <c r="C471" s="7">
        <v>45187</v>
      </c>
      <c r="D471" s="7" t="s">
        <v>104</v>
      </c>
      <c r="E471" s="4" t="s">
        <v>111</v>
      </c>
      <c r="F471" s="4" t="s">
        <v>119</v>
      </c>
      <c r="G471" s="8">
        <v>1754</v>
      </c>
      <c r="H471" s="8" t="s">
        <v>138</v>
      </c>
      <c r="I471" s="3">
        <f>IF($H471="A VISTA", C471 + CADASTROS!$B$3, IF($H471="1+1", C471 + CADASTROS!$B$4, IF(H471="1+2", C471 + CADASTROS!$B$5, IF(H471="1+3", C471 + CADASTROS!$B$6, ""))))</f>
        <v>45188</v>
      </c>
      <c r="J471" s="8">
        <f t="shared" si="28"/>
        <v>877</v>
      </c>
      <c r="K471" s="3">
        <f>IF($L471&lt;&gt;"", IF($H471="A VISTA", "", IF($H471="1+1", $C471 + CADASTROS!$C$4, IF($H471="1+2", $C471 + CADASTROS!$C$5, IF($H471="1+3", $C471 + CADASTROS!$E$4, "")))), "")</f>
        <v>45217</v>
      </c>
      <c r="L471" s="8">
        <f t="shared" si="29"/>
        <v>877</v>
      </c>
      <c r="M471" s="3" t="str">
        <f>IF($N471&lt;&gt;"", IF($H471="A VISTA", "", IF($H471="1+1", $C471 + CADASTROS!$C$4, IF($H471="1+2", $C471 + CADASTROS!$D$5, IF($H471="1+3", $C471 + CADASTROS!$D$6, "")))), "")</f>
        <v/>
      </c>
      <c r="N471" s="8" t="str">
        <f t="shared" si="30"/>
        <v/>
      </c>
      <c r="O471" s="3" t="str">
        <f>IF($P471&lt;&gt;"", IF($H471="A VISTA", "", IF($H471="1+1", $C471 + CADASTROS!$C$4, IF($H471="1+2", $C471 + CADASTROS!$C$5, IF($H471="1+3", $C471 + CADASTROS!$E$6, "")))), "")</f>
        <v/>
      </c>
      <c r="P471" s="8" t="str">
        <f t="shared" si="31"/>
        <v/>
      </c>
    </row>
    <row r="472" spans="1:16">
      <c r="A472" s="2" t="s">
        <v>607</v>
      </c>
      <c r="B472" s="6" t="s">
        <v>13</v>
      </c>
      <c r="C472" s="7">
        <v>45289</v>
      </c>
      <c r="D472" s="7" t="s">
        <v>63</v>
      </c>
      <c r="E472" s="4" t="s">
        <v>111</v>
      </c>
      <c r="F472" s="4" t="s">
        <v>120</v>
      </c>
      <c r="G472" s="8">
        <v>1967</v>
      </c>
      <c r="H472" s="8" t="s">
        <v>126</v>
      </c>
      <c r="I472" s="3">
        <f>IF($H472="A VISTA", C472 + CADASTROS!$B$3, IF($H472="1+1", C472 + CADASTROS!$B$4, IF(H472="1+2", C472 + CADASTROS!$B$5, IF(H472="1+3", C472 + CADASTROS!$B$6, ""))))</f>
        <v>45290</v>
      </c>
      <c r="J472" s="8">
        <f t="shared" si="28"/>
        <v>1967</v>
      </c>
      <c r="K472" s="3" t="str">
        <f>IF($L472&lt;&gt;"", IF($H472="A VISTA", "", IF($H472="1+1", $C472 + CADASTROS!$C$4, IF($H472="1+2", $C472 + CADASTROS!$C$5, IF($H472="1+3", $C472 + CADASTROS!$E$4, "")))), "")</f>
        <v/>
      </c>
      <c r="L472" s="8" t="str">
        <f t="shared" si="29"/>
        <v/>
      </c>
      <c r="M472" s="3" t="str">
        <f>IF($N472&lt;&gt;"", IF($H472="A VISTA", "", IF($H472="1+1", $C472 + CADASTROS!$C$4, IF($H472="1+2", $C472 + CADASTROS!$D$5, IF($H472="1+3", $C472 + CADASTROS!$D$6, "")))), "")</f>
        <v/>
      </c>
      <c r="N472" s="8" t="str">
        <f t="shared" si="30"/>
        <v/>
      </c>
      <c r="O472" s="3" t="str">
        <f>IF($P472&lt;&gt;"", IF($H472="A VISTA", "", IF($H472="1+1", $C472 + CADASTROS!$C$4, IF($H472="1+2", $C472 + CADASTROS!$C$5, IF($H472="1+3", $C472 + CADASTROS!$E$6, "")))), "")</f>
        <v/>
      </c>
      <c r="P472" s="8" t="str">
        <f t="shared" si="31"/>
        <v/>
      </c>
    </row>
    <row r="473" spans="1:16">
      <c r="A473" s="2" t="s">
        <v>608</v>
      </c>
      <c r="B473" s="6" t="s">
        <v>25</v>
      </c>
      <c r="C473" s="7">
        <v>45343</v>
      </c>
      <c r="D473" s="7" t="s">
        <v>74</v>
      </c>
      <c r="E473" s="4" t="s">
        <v>111</v>
      </c>
      <c r="F473" s="4" t="s">
        <v>120</v>
      </c>
      <c r="G473" s="8">
        <v>2838</v>
      </c>
      <c r="H473" s="8" t="s">
        <v>126</v>
      </c>
      <c r="I473" s="3">
        <f>IF($H473="A VISTA", C473 + CADASTROS!$B$3, IF($H473="1+1", C473 + CADASTROS!$B$4, IF(H473="1+2", C473 + CADASTROS!$B$5, IF(H473="1+3", C473 + CADASTROS!$B$6, ""))))</f>
        <v>45344</v>
      </c>
      <c r="J473" s="8">
        <f t="shared" si="28"/>
        <v>2838</v>
      </c>
      <c r="K473" s="3" t="str">
        <f>IF($L473&lt;&gt;"", IF($H473="A VISTA", "", IF($H473="1+1", $C473 + CADASTROS!$C$4, IF($H473="1+2", $C473 + CADASTROS!$C$5, IF($H473="1+3", $C473 + CADASTROS!$E$4, "")))), "")</f>
        <v/>
      </c>
      <c r="L473" s="8" t="str">
        <f t="shared" si="29"/>
        <v/>
      </c>
      <c r="M473" s="3" t="str">
        <f>IF($N473&lt;&gt;"", IF($H473="A VISTA", "", IF($H473="1+1", $C473 + CADASTROS!$C$4, IF($H473="1+2", $C473 + CADASTROS!$D$5, IF($H473="1+3", $C473 + CADASTROS!$D$6, "")))), "")</f>
        <v/>
      </c>
      <c r="N473" s="8" t="str">
        <f t="shared" si="30"/>
        <v/>
      </c>
      <c r="O473" s="3" t="str">
        <f>IF($P473&lt;&gt;"", IF($H473="A VISTA", "", IF($H473="1+1", $C473 + CADASTROS!$C$4, IF($H473="1+2", $C473 + CADASTROS!$C$5, IF($H473="1+3", $C473 + CADASTROS!$E$6, "")))), "")</f>
        <v/>
      </c>
      <c r="P473" s="8" t="str">
        <f t="shared" si="31"/>
        <v/>
      </c>
    </row>
    <row r="474" spans="1:16">
      <c r="A474" s="2" t="s">
        <v>609</v>
      </c>
      <c r="B474" s="6" t="s">
        <v>60</v>
      </c>
      <c r="C474" s="7">
        <v>45387</v>
      </c>
      <c r="D474" s="7" t="s">
        <v>109</v>
      </c>
      <c r="E474" s="4" t="s">
        <v>111</v>
      </c>
      <c r="F474" s="4" t="s">
        <v>118</v>
      </c>
      <c r="G474" s="8">
        <v>6251</v>
      </c>
      <c r="H474" s="8" t="s">
        <v>126</v>
      </c>
      <c r="I474" s="3">
        <f>IF($H474="A VISTA", C474 + CADASTROS!$B$3, IF($H474="1+1", C474 + CADASTROS!$B$4, IF(H474="1+2", C474 + CADASTROS!$B$5, IF(H474="1+3", C474 + CADASTROS!$B$6, ""))))</f>
        <v>45388</v>
      </c>
      <c r="J474" s="8">
        <f t="shared" si="28"/>
        <v>6251</v>
      </c>
      <c r="K474" s="3" t="str">
        <f>IF($L474&lt;&gt;"", IF($H474="A VISTA", "", IF($H474="1+1", $C474 + CADASTROS!$C$4, IF($H474="1+2", $C474 + CADASTROS!$C$5, IF($H474="1+3", $C474 + CADASTROS!$E$4, "")))), "")</f>
        <v/>
      </c>
      <c r="L474" s="8" t="str">
        <f t="shared" si="29"/>
        <v/>
      </c>
      <c r="M474" s="3" t="str">
        <f>IF($N474&lt;&gt;"", IF($H474="A VISTA", "", IF($H474="1+1", $C474 + CADASTROS!$C$4, IF($H474="1+2", $C474 + CADASTROS!$D$5, IF($H474="1+3", $C474 + CADASTROS!$D$6, "")))), "")</f>
        <v/>
      </c>
      <c r="N474" s="8" t="str">
        <f t="shared" si="30"/>
        <v/>
      </c>
      <c r="O474" s="3" t="str">
        <f>IF($P474&lt;&gt;"", IF($H474="A VISTA", "", IF($H474="1+1", $C474 + CADASTROS!$C$4, IF($H474="1+2", $C474 + CADASTROS!$C$5, IF($H474="1+3", $C474 + CADASTROS!$E$6, "")))), "")</f>
        <v/>
      </c>
      <c r="P474" s="8" t="str">
        <f t="shared" si="31"/>
        <v/>
      </c>
    </row>
    <row r="475" spans="1:16">
      <c r="A475" s="2" t="s">
        <v>610</v>
      </c>
      <c r="B475" s="6" t="s">
        <v>33</v>
      </c>
      <c r="C475" s="7">
        <v>45301</v>
      </c>
      <c r="D475" s="7" t="s">
        <v>82</v>
      </c>
      <c r="E475" s="4" t="s">
        <v>111</v>
      </c>
      <c r="F475" s="4" t="s">
        <v>119</v>
      </c>
      <c r="G475" s="8">
        <v>8439</v>
      </c>
      <c r="H475" s="8" t="s">
        <v>137</v>
      </c>
      <c r="I475" s="3">
        <f>IF($H475="A VISTA", C475 + CADASTROS!$B$3, IF($H475="1+1", C475 + CADASTROS!$B$4, IF(H475="1+2", C475 + CADASTROS!$B$5, IF(H475="1+3", C475 + CADASTROS!$B$6, ""))))</f>
        <v>45302</v>
      </c>
      <c r="J475" s="8">
        <f t="shared" si="28"/>
        <v>2813</v>
      </c>
      <c r="K475" s="3">
        <f>IF($L475&lt;&gt;"", IF($H475="A VISTA", "", IF($H475="1+1", $C475 + CADASTROS!$C$4, IF($H475="1+2", $C475 + CADASTROS!$C$5, IF($H475="1+3", $C475 + CADASTROS!$E$4, "")))), "")</f>
        <v>45331</v>
      </c>
      <c r="L475" s="8">
        <f t="shared" si="29"/>
        <v>2813</v>
      </c>
      <c r="M475" s="3">
        <f>IF($N475&lt;&gt;"", IF($H475="A VISTA", "", IF($H475="1+1", $C475 + CADASTROS!$C$4, IF($H475="1+2", $C475 + CADASTROS!$D$5, IF($H475="1+3", $C475 + CADASTROS!$D$6, "")))), "")</f>
        <v>45346</v>
      </c>
      <c r="N475" s="8">
        <f t="shared" si="30"/>
        <v>2813</v>
      </c>
      <c r="O475" s="3" t="str">
        <f>IF($P475&lt;&gt;"", IF($H475="A VISTA", "", IF($H475="1+1", $C475 + CADASTROS!$C$4, IF($H475="1+2", $C475 + CADASTROS!$C$5, IF($H475="1+3", $C475 + CADASTROS!$E$6, "")))), "")</f>
        <v/>
      </c>
      <c r="P475" s="8" t="str">
        <f t="shared" si="31"/>
        <v/>
      </c>
    </row>
    <row r="476" spans="1:16">
      <c r="A476" s="2" t="s">
        <v>611</v>
      </c>
      <c r="B476" s="6" t="s">
        <v>38</v>
      </c>
      <c r="C476" s="7">
        <v>45473</v>
      </c>
      <c r="D476" s="7" t="s">
        <v>87</v>
      </c>
      <c r="E476" s="4" t="s">
        <v>110</v>
      </c>
      <c r="F476" s="4" t="s">
        <v>125</v>
      </c>
      <c r="G476" s="8">
        <v>8706</v>
      </c>
      <c r="H476" s="8" t="s">
        <v>138</v>
      </c>
      <c r="I476" s="3">
        <f>IF($H476="A VISTA", C476 + CADASTROS!$B$3, IF($H476="1+1", C476 + CADASTROS!$B$4, IF(H476="1+2", C476 + CADASTROS!$B$5, IF(H476="1+3", C476 + CADASTROS!$B$6, ""))))</f>
        <v>45474</v>
      </c>
      <c r="J476" s="8">
        <f t="shared" si="28"/>
        <v>4353</v>
      </c>
      <c r="K476" s="3">
        <f>IF($L476&lt;&gt;"", IF($H476="A VISTA", "", IF($H476="1+1", $C476 + CADASTROS!$C$4, IF($H476="1+2", $C476 + CADASTROS!$C$5, IF($H476="1+3", $C476 + CADASTROS!$E$4, "")))), "")</f>
        <v>45503</v>
      </c>
      <c r="L476" s="8">
        <f t="shared" si="29"/>
        <v>4353</v>
      </c>
      <c r="M476" s="3" t="str">
        <f>IF($N476&lt;&gt;"", IF($H476="A VISTA", "", IF($H476="1+1", $C476 + CADASTROS!$C$4, IF($H476="1+2", $C476 + CADASTROS!$D$5, IF($H476="1+3", $C476 + CADASTROS!$D$6, "")))), "")</f>
        <v/>
      </c>
      <c r="N476" s="8" t="str">
        <f t="shared" si="30"/>
        <v/>
      </c>
      <c r="O476" s="3" t="str">
        <f>IF($P476&lt;&gt;"", IF($H476="A VISTA", "", IF($H476="1+1", $C476 + CADASTROS!$C$4, IF($H476="1+2", $C476 + CADASTROS!$C$5, IF($H476="1+3", $C476 + CADASTROS!$E$6, "")))), "")</f>
        <v/>
      </c>
      <c r="P476" s="8" t="str">
        <f t="shared" si="31"/>
        <v/>
      </c>
    </row>
    <row r="477" spans="1:16">
      <c r="A477" s="2" t="s">
        <v>612</v>
      </c>
      <c r="B477" s="6" t="s">
        <v>34</v>
      </c>
      <c r="C477" s="7">
        <v>45180</v>
      </c>
      <c r="D477" s="7" t="s">
        <v>83</v>
      </c>
      <c r="E477" s="4" t="s">
        <v>110</v>
      </c>
      <c r="F477" s="4" t="s">
        <v>113</v>
      </c>
      <c r="G477" s="8">
        <v>9705</v>
      </c>
      <c r="H477" s="8" t="s">
        <v>126</v>
      </c>
      <c r="I477" s="3">
        <f>IF($H477="A VISTA", C477 + CADASTROS!$B$3, IF($H477="1+1", C477 + CADASTROS!$B$4, IF(H477="1+2", C477 + CADASTROS!$B$5, IF(H477="1+3", C477 + CADASTROS!$B$6, ""))))</f>
        <v>45181</v>
      </c>
      <c r="J477" s="8">
        <f t="shared" si="28"/>
        <v>9705</v>
      </c>
      <c r="K477" s="3" t="str">
        <f>IF($L477&lt;&gt;"", IF($H477="A VISTA", "", IF($H477="1+1", $C477 + CADASTROS!$C$4, IF($H477="1+2", $C477 + CADASTROS!$C$5, IF($H477="1+3", $C477 + CADASTROS!$E$4, "")))), "")</f>
        <v/>
      </c>
      <c r="L477" s="8" t="str">
        <f t="shared" si="29"/>
        <v/>
      </c>
      <c r="M477" s="3" t="str">
        <f>IF($N477&lt;&gt;"", IF($H477="A VISTA", "", IF($H477="1+1", $C477 + CADASTROS!$C$4, IF($H477="1+2", $C477 + CADASTROS!$D$5, IF($H477="1+3", $C477 + CADASTROS!$D$6, "")))), "")</f>
        <v/>
      </c>
      <c r="N477" s="8" t="str">
        <f t="shared" si="30"/>
        <v/>
      </c>
      <c r="O477" s="3" t="str">
        <f>IF($P477&lt;&gt;"", IF($H477="A VISTA", "", IF($H477="1+1", $C477 + CADASTROS!$C$4, IF($H477="1+2", $C477 + CADASTROS!$C$5, IF($H477="1+3", $C477 + CADASTROS!$E$6, "")))), "")</f>
        <v/>
      </c>
      <c r="P477" s="8" t="str">
        <f t="shared" si="31"/>
        <v/>
      </c>
    </row>
    <row r="478" spans="1:16">
      <c r="A478" s="2" t="s">
        <v>613</v>
      </c>
      <c r="B478" s="6" t="s">
        <v>55</v>
      </c>
      <c r="C478" s="7">
        <v>45272</v>
      </c>
      <c r="D478" s="7" t="s">
        <v>104</v>
      </c>
      <c r="E478" s="4" t="s">
        <v>111</v>
      </c>
      <c r="F478" s="4" t="s">
        <v>119</v>
      </c>
      <c r="G478" s="8">
        <v>2802</v>
      </c>
      <c r="H478" s="8" t="s">
        <v>137</v>
      </c>
      <c r="I478" s="3">
        <f>IF($H478="A VISTA", C478 + CADASTROS!$B$3, IF($H478="1+1", C478 + CADASTROS!$B$4, IF(H478="1+2", C478 + CADASTROS!$B$5, IF(H478="1+3", C478 + CADASTROS!$B$6, ""))))</f>
        <v>45273</v>
      </c>
      <c r="J478" s="8">
        <f t="shared" si="28"/>
        <v>934</v>
      </c>
      <c r="K478" s="3">
        <f>IF($L478&lt;&gt;"", IF($H478="A VISTA", "", IF($H478="1+1", $C478 + CADASTROS!$C$4, IF($H478="1+2", $C478 + CADASTROS!$C$5, IF($H478="1+3", $C478 + CADASTROS!$E$4, "")))), "")</f>
        <v>45302</v>
      </c>
      <c r="L478" s="8">
        <f t="shared" si="29"/>
        <v>934</v>
      </c>
      <c r="M478" s="3">
        <f>IF($N478&lt;&gt;"", IF($H478="A VISTA", "", IF($H478="1+1", $C478 + CADASTROS!$C$4, IF($H478="1+2", $C478 + CADASTROS!$D$5, IF($H478="1+3", $C478 + CADASTROS!$D$6, "")))), "")</f>
        <v>45317</v>
      </c>
      <c r="N478" s="8">
        <f t="shared" si="30"/>
        <v>934</v>
      </c>
      <c r="O478" s="3" t="str">
        <f>IF($P478&lt;&gt;"", IF($H478="A VISTA", "", IF($H478="1+1", $C478 + CADASTROS!$C$4, IF($H478="1+2", $C478 + CADASTROS!$C$5, IF($H478="1+3", $C478 + CADASTROS!$E$6, "")))), "")</f>
        <v/>
      </c>
      <c r="P478" s="8" t="str">
        <f t="shared" si="31"/>
        <v/>
      </c>
    </row>
    <row r="479" spans="1:16">
      <c r="A479" s="2" t="s">
        <v>614</v>
      </c>
      <c r="B479" s="6" t="s">
        <v>27</v>
      </c>
      <c r="C479" s="7">
        <v>45455</v>
      </c>
      <c r="D479" s="7" t="s">
        <v>76</v>
      </c>
      <c r="E479" s="4" t="s">
        <v>110</v>
      </c>
      <c r="F479" s="4" t="s">
        <v>125</v>
      </c>
      <c r="G479" s="8">
        <v>4886</v>
      </c>
      <c r="H479" s="8" t="s">
        <v>126</v>
      </c>
      <c r="I479" s="3">
        <f>IF($H479="A VISTA", C479 + CADASTROS!$B$3, IF($H479="1+1", C479 + CADASTROS!$B$4, IF(H479="1+2", C479 + CADASTROS!$B$5, IF(H479="1+3", C479 + CADASTROS!$B$6, ""))))</f>
        <v>45456</v>
      </c>
      <c r="J479" s="8">
        <f t="shared" si="28"/>
        <v>4886</v>
      </c>
      <c r="K479" s="3" t="str">
        <f>IF($L479&lt;&gt;"", IF($H479="A VISTA", "", IF($H479="1+1", $C479 + CADASTROS!$C$4, IF($H479="1+2", $C479 + CADASTROS!$C$5, IF($H479="1+3", $C479 + CADASTROS!$E$4, "")))), "")</f>
        <v/>
      </c>
      <c r="L479" s="8" t="str">
        <f t="shared" si="29"/>
        <v/>
      </c>
      <c r="M479" s="3" t="str">
        <f>IF($N479&lt;&gt;"", IF($H479="A VISTA", "", IF($H479="1+1", $C479 + CADASTROS!$C$4, IF($H479="1+2", $C479 + CADASTROS!$D$5, IF($H479="1+3", $C479 + CADASTROS!$D$6, "")))), "")</f>
        <v/>
      </c>
      <c r="N479" s="8" t="str">
        <f t="shared" si="30"/>
        <v/>
      </c>
      <c r="O479" s="3" t="str">
        <f>IF($P479&lt;&gt;"", IF($H479="A VISTA", "", IF($H479="1+1", $C479 + CADASTROS!$C$4, IF($H479="1+2", $C479 + CADASTROS!$C$5, IF($H479="1+3", $C479 + CADASTROS!$E$6, "")))), "")</f>
        <v/>
      </c>
      <c r="P479" s="8" t="str">
        <f t="shared" si="31"/>
        <v/>
      </c>
    </row>
    <row r="480" spans="1:16">
      <c r="A480" s="2" t="s">
        <v>615</v>
      </c>
      <c r="B480" s="6" t="s">
        <v>43</v>
      </c>
      <c r="C480" s="7">
        <v>45499</v>
      </c>
      <c r="D480" s="7" t="s">
        <v>92</v>
      </c>
      <c r="E480" s="4" t="s">
        <v>110</v>
      </c>
      <c r="F480" s="4" t="s">
        <v>124</v>
      </c>
      <c r="G480" s="8">
        <v>5905</v>
      </c>
      <c r="H480" s="8" t="s">
        <v>126</v>
      </c>
      <c r="I480" s="3">
        <f>IF($H480="A VISTA", C480 + CADASTROS!$B$3, IF($H480="1+1", C480 + CADASTROS!$B$4, IF(H480="1+2", C480 + CADASTROS!$B$5, IF(H480="1+3", C480 + CADASTROS!$B$6, ""))))</f>
        <v>45500</v>
      </c>
      <c r="J480" s="8">
        <f t="shared" si="28"/>
        <v>5905</v>
      </c>
      <c r="K480" s="3" t="str">
        <f>IF($L480&lt;&gt;"", IF($H480="A VISTA", "", IF($H480="1+1", $C480 + CADASTROS!$C$4, IF($H480="1+2", $C480 + CADASTROS!$C$5, IF($H480="1+3", $C480 + CADASTROS!$E$4, "")))), "")</f>
        <v/>
      </c>
      <c r="L480" s="8" t="str">
        <f t="shared" si="29"/>
        <v/>
      </c>
      <c r="M480" s="3" t="str">
        <f>IF($N480&lt;&gt;"", IF($H480="A VISTA", "", IF($H480="1+1", $C480 + CADASTROS!$C$4, IF($H480="1+2", $C480 + CADASTROS!$D$5, IF($H480="1+3", $C480 + CADASTROS!$D$6, "")))), "")</f>
        <v/>
      </c>
      <c r="N480" s="8" t="str">
        <f t="shared" si="30"/>
        <v/>
      </c>
      <c r="O480" s="3" t="str">
        <f>IF($P480&lt;&gt;"", IF($H480="A VISTA", "", IF($H480="1+1", $C480 + CADASTROS!$C$4, IF($H480="1+2", $C480 + CADASTROS!$C$5, IF($H480="1+3", $C480 + CADASTROS!$E$6, "")))), "")</f>
        <v/>
      </c>
      <c r="P480" s="8" t="str">
        <f t="shared" si="31"/>
        <v/>
      </c>
    </row>
    <row r="481" spans="1:16">
      <c r="A481" s="2" t="s">
        <v>616</v>
      </c>
      <c r="B481" s="6" t="s">
        <v>30</v>
      </c>
      <c r="C481" s="7">
        <v>45184</v>
      </c>
      <c r="D481" s="7" t="s">
        <v>79</v>
      </c>
      <c r="E481" s="4" t="s">
        <v>111</v>
      </c>
      <c r="F481" s="4" t="s">
        <v>118</v>
      </c>
      <c r="G481" s="8">
        <v>7209</v>
      </c>
      <c r="H481" s="8" t="s">
        <v>136</v>
      </c>
      <c r="I481" s="3">
        <f>IF($H481="A VISTA", C481 + CADASTROS!$B$3, IF($H481="1+1", C481 + CADASTROS!$B$4, IF(H481="1+2", C481 + CADASTROS!$B$5, IF(H481="1+3", C481 + CADASTROS!$B$6, ""))))</f>
        <v>45185</v>
      </c>
      <c r="J481" s="8">
        <f t="shared" si="28"/>
        <v>1802.25</v>
      </c>
      <c r="K481" s="3">
        <f>IF($L481&lt;&gt;"", IF($H481="A VISTA", "", IF($H481="1+1", $C481 + CADASTROS!$C$4, IF($H481="1+2", $C481 + CADASTROS!$C$5, IF($H481="1+3", $C481 + CADASTROS!$E$4, "")))), "")</f>
        <v>45184</v>
      </c>
      <c r="L481" s="8">
        <f t="shared" si="29"/>
        <v>1802.25</v>
      </c>
      <c r="M481" s="3">
        <f>IF($N481&lt;&gt;"", IF($H481="A VISTA", "", IF($H481="1+1", $C481 + CADASTROS!$C$4, IF($H481="1+2", $C481 + CADASTROS!$D$5, IF($H481="1+3", $C481 + CADASTROS!$D$6, "")))), "")</f>
        <v>45229</v>
      </c>
      <c r="N481" s="8">
        <f t="shared" si="30"/>
        <v>1802.25</v>
      </c>
      <c r="O481" s="3">
        <f>IF($P481&lt;&gt;"", IF($H481="A VISTA", "", IF($H481="1+1", $C481 + CADASTROS!$C$4, IF($H481="1+2", $C481 + CADASTROS!$C$5, IF($H481="1+3", $C481 + CADASTROS!$E$6, "")))), "")</f>
        <v>45244</v>
      </c>
      <c r="P481" s="8">
        <f t="shared" si="31"/>
        <v>1802.25</v>
      </c>
    </row>
    <row r="482" spans="1:16">
      <c r="A482" s="2" t="s">
        <v>617</v>
      </c>
      <c r="B482" s="6" t="s">
        <v>45</v>
      </c>
      <c r="C482" s="7">
        <v>45242</v>
      </c>
      <c r="D482" s="7" t="s">
        <v>94</v>
      </c>
      <c r="E482" s="4" t="s">
        <v>110</v>
      </c>
      <c r="F482" s="4" t="s">
        <v>113</v>
      </c>
      <c r="G482" s="8">
        <v>9939</v>
      </c>
      <c r="H482" s="8" t="s">
        <v>136</v>
      </c>
      <c r="I482" s="3">
        <f>IF($H482="A VISTA", C482 + CADASTROS!$B$3, IF($H482="1+1", C482 + CADASTROS!$B$4, IF(H482="1+2", C482 + CADASTROS!$B$5, IF(H482="1+3", C482 + CADASTROS!$B$6, ""))))</f>
        <v>45243</v>
      </c>
      <c r="J482" s="8">
        <f t="shared" si="28"/>
        <v>2484.75</v>
      </c>
      <c r="K482" s="3">
        <f>IF($L482&lt;&gt;"", IF($H482="A VISTA", "", IF($H482="1+1", $C482 + CADASTROS!$C$4, IF($H482="1+2", $C482 + CADASTROS!$C$5, IF($H482="1+3", $C482 + CADASTROS!$E$4, "")))), "")</f>
        <v>45242</v>
      </c>
      <c r="L482" s="8">
        <f t="shared" si="29"/>
        <v>2484.75</v>
      </c>
      <c r="M482" s="3">
        <f>IF($N482&lt;&gt;"", IF($H482="A VISTA", "", IF($H482="1+1", $C482 + CADASTROS!$C$4, IF($H482="1+2", $C482 + CADASTROS!$D$5, IF($H482="1+3", $C482 + CADASTROS!$D$6, "")))), "")</f>
        <v>45287</v>
      </c>
      <c r="N482" s="8">
        <f t="shared" si="30"/>
        <v>2484.75</v>
      </c>
      <c r="O482" s="3">
        <f>IF($P482&lt;&gt;"", IF($H482="A VISTA", "", IF($H482="1+1", $C482 + CADASTROS!$C$4, IF($H482="1+2", $C482 + CADASTROS!$C$5, IF($H482="1+3", $C482 + CADASTROS!$E$6, "")))), "")</f>
        <v>45302</v>
      </c>
      <c r="P482" s="8">
        <f t="shared" si="31"/>
        <v>2484.75</v>
      </c>
    </row>
    <row r="483" spans="1:16">
      <c r="A483" s="2" t="s">
        <v>618</v>
      </c>
      <c r="B483" s="6" t="s">
        <v>53</v>
      </c>
      <c r="C483" s="7">
        <v>45326</v>
      </c>
      <c r="D483" s="7" t="s">
        <v>102</v>
      </c>
      <c r="E483" s="4" t="s">
        <v>111</v>
      </c>
      <c r="F483" s="4" t="s">
        <v>117</v>
      </c>
      <c r="G483" s="8">
        <v>9183</v>
      </c>
      <c r="H483" s="8" t="s">
        <v>138</v>
      </c>
      <c r="I483" s="3">
        <f>IF($H483="A VISTA", C483 + CADASTROS!$B$3, IF($H483="1+1", C483 + CADASTROS!$B$4, IF(H483="1+2", C483 + CADASTROS!$B$5, IF(H483="1+3", C483 + CADASTROS!$B$6, ""))))</f>
        <v>45327</v>
      </c>
      <c r="J483" s="8">
        <f t="shared" si="28"/>
        <v>4591.5</v>
      </c>
      <c r="K483" s="3">
        <f>IF($L483&lt;&gt;"", IF($H483="A VISTA", "", IF($H483="1+1", $C483 + CADASTROS!$C$4, IF($H483="1+2", $C483 + CADASTROS!$C$5, IF($H483="1+3", $C483 + CADASTROS!$E$4, "")))), "")</f>
        <v>45356</v>
      </c>
      <c r="L483" s="8">
        <f t="shared" si="29"/>
        <v>4591.5</v>
      </c>
      <c r="M483" s="3" t="str">
        <f>IF($N483&lt;&gt;"", IF($H483="A VISTA", "", IF($H483="1+1", $C483 + CADASTROS!$C$4, IF($H483="1+2", $C483 + CADASTROS!$D$5, IF($H483="1+3", $C483 + CADASTROS!$D$6, "")))), "")</f>
        <v/>
      </c>
      <c r="N483" s="8" t="str">
        <f t="shared" si="30"/>
        <v/>
      </c>
      <c r="O483" s="3" t="str">
        <f>IF($P483&lt;&gt;"", IF($H483="A VISTA", "", IF($H483="1+1", $C483 + CADASTROS!$C$4, IF($H483="1+2", $C483 + CADASTROS!$C$5, IF($H483="1+3", $C483 + CADASTROS!$E$6, "")))), "")</f>
        <v/>
      </c>
      <c r="P483" s="8" t="str">
        <f t="shared" si="31"/>
        <v/>
      </c>
    </row>
    <row r="484" spans="1:16">
      <c r="A484" s="2" t="s">
        <v>619</v>
      </c>
      <c r="B484" s="6" t="s">
        <v>40</v>
      </c>
      <c r="C484" s="7">
        <v>45193</v>
      </c>
      <c r="D484" s="7" t="s">
        <v>89</v>
      </c>
      <c r="E484" s="4" t="s">
        <v>111</v>
      </c>
      <c r="F484" s="4" t="s">
        <v>121</v>
      </c>
      <c r="G484" s="8">
        <v>6641</v>
      </c>
      <c r="H484" s="8" t="s">
        <v>136</v>
      </c>
      <c r="I484" s="3">
        <f>IF($H484="A VISTA", C484 + CADASTROS!$B$3, IF($H484="1+1", C484 + CADASTROS!$B$4, IF(H484="1+2", C484 + CADASTROS!$B$5, IF(H484="1+3", C484 + CADASTROS!$B$6, ""))))</f>
        <v>45194</v>
      </c>
      <c r="J484" s="8">
        <f t="shared" si="28"/>
        <v>1660.25</v>
      </c>
      <c r="K484" s="3">
        <f>IF($L484&lt;&gt;"", IF($H484="A VISTA", "", IF($H484="1+1", $C484 + CADASTROS!$C$4, IF($H484="1+2", $C484 + CADASTROS!$C$5, IF($H484="1+3", $C484 + CADASTROS!$E$4, "")))), "")</f>
        <v>45193</v>
      </c>
      <c r="L484" s="8">
        <f t="shared" si="29"/>
        <v>1660.25</v>
      </c>
      <c r="M484" s="3">
        <f>IF($N484&lt;&gt;"", IF($H484="A VISTA", "", IF($H484="1+1", $C484 + CADASTROS!$C$4, IF($H484="1+2", $C484 + CADASTROS!$D$5, IF($H484="1+3", $C484 + CADASTROS!$D$6, "")))), "")</f>
        <v>45238</v>
      </c>
      <c r="N484" s="8">
        <f t="shared" si="30"/>
        <v>1660.25</v>
      </c>
      <c r="O484" s="3">
        <f>IF($P484&lt;&gt;"", IF($H484="A VISTA", "", IF($H484="1+1", $C484 + CADASTROS!$C$4, IF($H484="1+2", $C484 + CADASTROS!$C$5, IF($H484="1+3", $C484 + CADASTROS!$E$6, "")))), "")</f>
        <v>45253</v>
      </c>
      <c r="P484" s="8">
        <f t="shared" si="31"/>
        <v>1660.25</v>
      </c>
    </row>
    <row r="485" spans="1:16">
      <c r="A485" s="2" t="s">
        <v>620</v>
      </c>
      <c r="B485" s="6" t="s">
        <v>16</v>
      </c>
      <c r="C485" s="7">
        <v>45210</v>
      </c>
      <c r="D485" s="7" t="s">
        <v>65</v>
      </c>
      <c r="E485" s="4" t="s">
        <v>110</v>
      </c>
      <c r="F485" s="4" t="s">
        <v>125</v>
      </c>
      <c r="G485" s="8">
        <v>4292</v>
      </c>
      <c r="H485" s="8" t="s">
        <v>126</v>
      </c>
      <c r="I485" s="3">
        <f>IF($H485="A VISTA", C485 + CADASTROS!$B$3, IF($H485="1+1", C485 + CADASTROS!$B$4, IF(H485="1+2", C485 + CADASTROS!$B$5, IF(H485="1+3", C485 + CADASTROS!$B$6, ""))))</f>
        <v>45211</v>
      </c>
      <c r="J485" s="8">
        <f t="shared" si="28"/>
        <v>4292</v>
      </c>
      <c r="K485" s="3" t="str">
        <f>IF($L485&lt;&gt;"", IF($H485="A VISTA", "", IF($H485="1+1", $C485 + CADASTROS!$C$4, IF($H485="1+2", $C485 + CADASTROS!$C$5, IF($H485="1+3", $C485 + CADASTROS!$E$4, "")))), "")</f>
        <v/>
      </c>
      <c r="L485" s="8" t="str">
        <f t="shared" si="29"/>
        <v/>
      </c>
      <c r="M485" s="3" t="str">
        <f>IF($N485&lt;&gt;"", IF($H485="A VISTA", "", IF($H485="1+1", $C485 + CADASTROS!$C$4, IF($H485="1+2", $C485 + CADASTROS!$D$5, IF($H485="1+3", $C485 + CADASTROS!$D$6, "")))), "")</f>
        <v/>
      </c>
      <c r="N485" s="8" t="str">
        <f t="shared" si="30"/>
        <v/>
      </c>
      <c r="O485" s="3" t="str">
        <f>IF($P485&lt;&gt;"", IF($H485="A VISTA", "", IF($H485="1+1", $C485 + CADASTROS!$C$4, IF($H485="1+2", $C485 + CADASTROS!$C$5, IF($H485="1+3", $C485 + CADASTROS!$E$6, "")))), "")</f>
        <v/>
      </c>
      <c r="P485" s="8" t="str">
        <f t="shared" si="31"/>
        <v/>
      </c>
    </row>
    <row r="486" spans="1:16">
      <c r="A486" s="2" t="s">
        <v>621</v>
      </c>
      <c r="B486" s="6" t="s">
        <v>59</v>
      </c>
      <c r="C486" s="7">
        <v>45167</v>
      </c>
      <c r="D486" s="7" t="s">
        <v>108</v>
      </c>
      <c r="E486" s="4" t="s">
        <v>111</v>
      </c>
      <c r="F486" s="4" t="s">
        <v>121</v>
      </c>
      <c r="G486" s="8">
        <v>6758</v>
      </c>
      <c r="H486" s="8" t="s">
        <v>126</v>
      </c>
      <c r="I486" s="3">
        <f>IF($H486="A VISTA", C486 + CADASTROS!$B$3, IF($H486="1+1", C486 + CADASTROS!$B$4, IF(H486="1+2", C486 + CADASTROS!$B$5, IF(H486="1+3", C486 + CADASTROS!$B$6, ""))))</f>
        <v>45168</v>
      </c>
      <c r="J486" s="8">
        <f t="shared" si="28"/>
        <v>6758</v>
      </c>
      <c r="K486" s="3" t="str">
        <f>IF($L486&lt;&gt;"", IF($H486="A VISTA", "", IF($H486="1+1", $C486 + CADASTROS!$C$4, IF($H486="1+2", $C486 + CADASTROS!$C$5, IF($H486="1+3", $C486 + CADASTROS!$E$4, "")))), "")</f>
        <v/>
      </c>
      <c r="L486" s="8" t="str">
        <f t="shared" si="29"/>
        <v/>
      </c>
      <c r="M486" s="3" t="str">
        <f>IF($N486&lt;&gt;"", IF($H486="A VISTA", "", IF($H486="1+1", $C486 + CADASTROS!$C$4, IF($H486="1+2", $C486 + CADASTROS!$D$5, IF($H486="1+3", $C486 + CADASTROS!$D$6, "")))), "")</f>
        <v/>
      </c>
      <c r="N486" s="8" t="str">
        <f t="shared" si="30"/>
        <v/>
      </c>
      <c r="O486" s="3" t="str">
        <f>IF($P486&lt;&gt;"", IF($H486="A VISTA", "", IF($H486="1+1", $C486 + CADASTROS!$C$4, IF($H486="1+2", $C486 + CADASTROS!$C$5, IF($H486="1+3", $C486 + CADASTROS!$E$6, "")))), "")</f>
        <v/>
      </c>
      <c r="P486" s="8" t="str">
        <f t="shared" si="31"/>
        <v/>
      </c>
    </row>
    <row r="487" spans="1:16">
      <c r="A487" s="2" t="s">
        <v>622</v>
      </c>
      <c r="B487" s="6" t="s">
        <v>12</v>
      </c>
      <c r="C487" s="7">
        <v>45304</v>
      </c>
      <c r="D487" s="7" t="s">
        <v>62</v>
      </c>
      <c r="E487" s="4" t="s">
        <v>112</v>
      </c>
      <c r="F487" s="4" t="s">
        <v>122</v>
      </c>
      <c r="G487" s="8">
        <v>490</v>
      </c>
      <c r="H487" s="8" t="s">
        <v>126</v>
      </c>
      <c r="I487" s="3">
        <f>IF($H487="A VISTA", C487 + CADASTROS!$B$3, IF($H487="1+1", C487 + CADASTROS!$B$4, IF(H487="1+2", C487 + CADASTROS!$B$5, IF(H487="1+3", C487 + CADASTROS!$B$6, ""))))</f>
        <v>45305</v>
      </c>
      <c r="J487" s="8">
        <f t="shared" si="28"/>
        <v>490</v>
      </c>
      <c r="K487" s="3" t="str">
        <f>IF($L487&lt;&gt;"", IF($H487="A VISTA", "", IF($H487="1+1", $C487 + CADASTROS!$C$4, IF($H487="1+2", $C487 + CADASTROS!$C$5, IF($H487="1+3", $C487 + CADASTROS!$E$4, "")))), "")</f>
        <v/>
      </c>
      <c r="L487" s="8" t="str">
        <f t="shared" si="29"/>
        <v/>
      </c>
      <c r="M487" s="3" t="str">
        <f>IF($N487&lt;&gt;"", IF($H487="A VISTA", "", IF($H487="1+1", $C487 + CADASTROS!$C$4, IF($H487="1+2", $C487 + CADASTROS!$D$5, IF($H487="1+3", $C487 + CADASTROS!$D$6, "")))), "")</f>
        <v/>
      </c>
      <c r="N487" s="8" t="str">
        <f t="shared" si="30"/>
        <v/>
      </c>
      <c r="O487" s="3" t="str">
        <f>IF($P487&lt;&gt;"", IF($H487="A VISTA", "", IF($H487="1+1", $C487 + CADASTROS!$C$4, IF($H487="1+2", $C487 + CADASTROS!$C$5, IF($H487="1+3", $C487 + CADASTROS!$E$6, "")))), "")</f>
        <v/>
      </c>
      <c r="P487" s="8" t="str">
        <f t="shared" si="31"/>
        <v/>
      </c>
    </row>
    <row r="488" spans="1:16">
      <c r="A488" s="2" t="s">
        <v>623</v>
      </c>
      <c r="B488" s="6" t="s">
        <v>51</v>
      </c>
      <c r="C488" s="7">
        <v>45397</v>
      </c>
      <c r="D488" s="7" t="s">
        <v>100</v>
      </c>
      <c r="E488" s="4" t="s">
        <v>111</v>
      </c>
      <c r="F488" s="4" t="s">
        <v>121</v>
      </c>
      <c r="G488" s="8">
        <v>4256</v>
      </c>
      <c r="H488" s="8" t="s">
        <v>126</v>
      </c>
      <c r="I488" s="3">
        <f>IF($H488="A VISTA", C488 + CADASTROS!$B$3, IF($H488="1+1", C488 + CADASTROS!$B$4, IF(H488="1+2", C488 + CADASTROS!$B$5, IF(H488="1+3", C488 + CADASTROS!$B$6, ""))))</f>
        <v>45398</v>
      </c>
      <c r="J488" s="8">
        <f t="shared" si="28"/>
        <v>4256</v>
      </c>
      <c r="K488" s="3" t="str">
        <f>IF($L488&lt;&gt;"", IF($H488="A VISTA", "", IF($H488="1+1", $C488 + CADASTROS!$C$4, IF($H488="1+2", $C488 + CADASTROS!$C$5, IF($H488="1+3", $C488 + CADASTROS!$E$4, "")))), "")</f>
        <v/>
      </c>
      <c r="L488" s="8" t="str">
        <f t="shared" si="29"/>
        <v/>
      </c>
      <c r="M488" s="3" t="str">
        <f>IF($N488&lt;&gt;"", IF($H488="A VISTA", "", IF($H488="1+1", $C488 + CADASTROS!$C$4, IF($H488="1+2", $C488 + CADASTROS!$D$5, IF($H488="1+3", $C488 + CADASTROS!$D$6, "")))), "")</f>
        <v/>
      </c>
      <c r="N488" s="8" t="str">
        <f t="shared" si="30"/>
        <v/>
      </c>
      <c r="O488" s="3" t="str">
        <f>IF($P488&lt;&gt;"", IF($H488="A VISTA", "", IF($H488="1+1", $C488 + CADASTROS!$C$4, IF($H488="1+2", $C488 + CADASTROS!$C$5, IF($H488="1+3", $C488 + CADASTROS!$E$6, "")))), "")</f>
        <v/>
      </c>
      <c r="P488" s="8" t="str">
        <f t="shared" si="31"/>
        <v/>
      </c>
    </row>
    <row r="489" spans="1:16">
      <c r="A489" s="2" t="s">
        <v>624</v>
      </c>
      <c r="B489" s="6" t="s">
        <v>39</v>
      </c>
      <c r="C489" s="7">
        <v>45192</v>
      </c>
      <c r="D489" s="7" t="s">
        <v>88</v>
      </c>
      <c r="E489" s="4" t="s">
        <v>110</v>
      </c>
      <c r="F489" s="4" t="s">
        <v>114</v>
      </c>
      <c r="G489" s="8">
        <v>3784</v>
      </c>
      <c r="H489" s="8" t="s">
        <v>136</v>
      </c>
      <c r="I489" s="3">
        <f>IF($H489="A VISTA", C489 + CADASTROS!$B$3, IF($H489="1+1", C489 + CADASTROS!$B$4, IF(H489="1+2", C489 + CADASTROS!$B$5, IF(H489="1+3", C489 + CADASTROS!$B$6, ""))))</f>
        <v>45193</v>
      </c>
      <c r="J489" s="8">
        <f t="shared" si="28"/>
        <v>946</v>
      </c>
      <c r="K489" s="3">
        <f>IF($L489&lt;&gt;"", IF($H489="A VISTA", "", IF($H489="1+1", $C489 + CADASTROS!$C$4, IF($H489="1+2", $C489 + CADASTROS!$C$5, IF($H489="1+3", $C489 + CADASTROS!$E$4, "")))), "")</f>
        <v>45192</v>
      </c>
      <c r="L489" s="8">
        <f t="shared" si="29"/>
        <v>946</v>
      </c>
      <c r="M489" s="3">
        <f>IF($N489&lt;&gt;"", IF($H489="A VISTA", "", IF($H489="1+1", $C489 + CADASTROS!$C$4, IF($H489="1+2", $C489 + CADASTROS!$D$5, IF($H489="1+3", $C489 + CADASTROS!$D$6, "")))), "")</f>
        <v>45237</v>
      </c>
      <c r="N489" s="8">
        <f t="shared" si="30"/>
        <v>946</v>
      </c>
      <c r="O489" s="3">
        <f>IF($P489&lt;&gt;"", IF($H489="A VISTA", "", IF($H489="1+1", $C489 + CADASTROS!$C$4, IF($H489="1+2", $C489 + CADASTROS!$C$5, IF($H489="1+3", $C489 + CADASTROS!$E$6, "")))), "")</f>
        <v>45252</v>
      </c>
      <c r="P489" s="8">
        <f t="shared" si="31"/>
        <v>946</v>
      </c>
    </row>
    <row r="490" spans="1:16">
      <c r="A490" s="2" t="s">
        <v>625</v>
      </c>
      <c r="B490" s="6" t="s">
        <v>47</v>
      </c>
      <c r="C490" s="7">
        <v>45259</v>
      </c>
      <c r="D490" s="7" t="s">
        <v>96</v>
      </c>
      <c r="E490" s="4" t="s">
        <v>111</v>
      </c>
      <c r="F490" s="4" t="s">
        <v>120</v>
      </c>
      <c r="G490" s="8">
        <v>7456</v>
      </c>
      <c r="H490" s="8" t="s">
        <v>136</v>
      </c>
      <c r="I490" s="3">
        <f>IF($H490="A VISTA", C490 + CADASTROS!$B$3, IF($H490="1+1", C490 + CADASTROS!$B$4, IF(H490="1+2", C490 + CADASTROS!$B$5, IF(H490="1+3", C490 + CADASTROS!$B$6, ""))))</f>
        <v>45260</v>
      </c>
      <c r="J490" s="8">
        <f t="shared" si="28"/>
        <v>1864</v>
      </c>
      <c r="K490" s="3">
        <f>IF($L490&lt;&gt;"", IF($H490="A VISTA", "", IF($H490="1+1", $C490 + CADASTROS!$C$4, IF($H490="1+2", $C490 + CADASTROS!$C$5, IF($H490="1+3", $C490 + CADASTROS!$E$4, "")))), "")</f>
        <v>45259</v>
      </c>
      <c r="L490" s="8">
        <f t="shared" si="29"/>
        <v>1864</v>
      </c>
      <c r="M490" s="3">
        <f>IF($N490&lt;&gt;"", IF($H490="A VISTA", "", IF($H490="1+1", $C490 + CADASTROS!$C$4, IF($H490="1+2", $C490 + CADASTROS!$D$5, IF($H490="1+3", $C490 + CADASTROS!$D$6, "")))), "")</f>
        <v>45304</v>
      </c>
      <c r="N490" s="8">
        <f t="shared" si="30"/>
        <v>1864</v>
      </c>
      <c r="O490" s="3">
        <f>IF($P490&lt;&gt;"", IF($H490="A VISTA", "", IF($H490="1+1", $C490 + CADASTROS!$C$4, IF($H490="1+2", $C490 + CADASTROS!$C$5, IF($H490="1+3", $C490 + CADASTROS!$E$6, "")))), "")</f>
        <v>45319</v>
      </c>
      <c r="P490" s="8">
        <f t="shared" si="31"/>
        <v>1864</v>
      </c>
    </row>
    <row r="491" spans="1:16">
      <c r="A491" s="2" t="s">
        <v>626</v>
      </c>
      <c r="B491" s="6" t="s">
        <v>53</v>
      </c>
      <c r="C491" s="7">
        <v>45283</v>
      </c>
      <c r="D491" s="7" t="s">
        <v>102</v>
      </c>
      <c r="E491" s="4" t="s">
        <v>111</v>
      </c>
      <c r="F491" s="4" t="s">
        <v>117</v>
      </c>
      <c r="G491" s="8">
        <v>1344</v>
      </c>
      <c r="H491" s="8" t="s">
        <v>136</v>
      </c>
      <c r="I491" s="3">
        <f>IF($H491="A VISTA", C491 + CADASTROS!$B$3, IF($H491="1+1", C491 + CADASTROS!$B$4, IF(H491="1+2", C491 + CADASTROS!$B$5, IF(H491="1+3", C491 + CADASTROS!$B$6, ""))))</f>
        <v>45284</v>
      </c>
      <c r="J491" s="8">
        <f t="shared" si="28"/>
        <v>336</v>
      </c>
      <c r="K491" s="3">
        <f>IF($L491&lt;&gt;"", IF($H491="A VISTA", "", IF($H491="1+1", $C491 + CADASTROS!$C$4, IF($H491="1+2", $C491 + CADASTROS!$C$5, IF($H491="1+3", $C491 + CADASTROS!$E$4, "")))), "")</f>
        <v>45283</v>
      </c>
      <c r="L491" s="8">
        <f t="shared" si="29"/>
        <v>336</v>
      </c>
      <c r="M491" s="3">
        <f>IF($N491&lt;&gt;"", IF($H491="A VISTA", "", IF($H491="1+1", $C491 + CADASTROS!$C$4, IF($H491="1+2", $C491 + CADASTROS!$D$5, IF($H491="1+3", $C491 + CADASTROS!$D$6, "")))), "")</f>
        <v>45328</v>
      </c>
      <c r="N491" s="8">
        <f t="shared" si="30"/>
        <v>336</v>
      </c>
      <c r="O491" s="3">
        <f>IF($P491&lt;&gt;"", IF($H491="A VISTA", "", IF($H491="1+1", $C491 + CADASTROS!$C$4, IF($H491="1+2", $C491 + CADASTROS!$C$5, IF($H491="1+3", $C491 + CADASTROS!$E$6, "")))), "")</f>
        <v>45343</v>
      </c>
      <c r="P491" s="8">
        <f t="shared" si="31"/>
        <v>336</v>
      </c>
    </row>
    <row r="492" spans="1:16">
      <c r="A492" s="2" t="s">
        <v>627</v>
      </c>
      <c r="B492" s="6" t="s">
        <v>32</v>
      </c>
      <c r="C492" s="7">
        <v>45266</v>
      </c>
      <c r="D492" s="7" t="s">
        <v>81</v>
      </c>
      <c r="E492" s="4" t="s">
        <v>110</v>
      </c>
      <c r="F492" s="4" t="s">
        <v>124</v>
      </c>
      <c r="G492" s="8">
        <v>8367</v>
      </c>
      <c r="H492" s="8" t="s">
        <v>126</v>
      </c>
      <c r="I492" s="3">
        <f>IF($H492="A VISTA", C492 + CADASTROS!$B$3, IF($H492="1+1", C492 + CADASTROS!$B$4, IF(H492="1+2", C492 + CADASTROS!$B$5, IF(H492="1+3", C492 + CADASTROS!$B$6, ""))))</f>
        <v>45267</v>
      </c>
      <c r="J492" s="8">
        <f t="shared" si="28"/>
        <v>8367</v>
      </c>
      <c r="K492" s="3" t="str">
        <f>IF($L492&lt;&gt;"", IF($H492="A VISTA", "", IF($H492="1+1", $C492 + CADASTROS!$C$4, IF($H492="1+2", $C492 + CADASTROS!$C$5, IF($H492="1+3", $C492 + CADASTROS!$E$4, "")))), "")</f>
        <v/>
      </c>
      <c r="L492" s="8" t="str">
        <f t="shared" si="29"/>
        <v/>
      </c>
      <c r="M492" s="3" t="str">
        <f>IF($N492&lt;&gt;"", IF($H492="A VISTA", "", IF($H492="1+1", $C492 + CADASTROS!$C$4, IF($H492="1+2", $C492 + CADASTROS!$D$5, IF($H492="1+3", $C492 + CADASTROS!$D$6, "")))), "")</f>
        <v/>
      </c>
      <c r="N492" s="8" t="str">
        <f t="shared" si="30"/>
        <v/>
      </c>
      <c r="O492" s="3" t="str">
        <f>IF($P492&lt;&gt;"", IF($H492="A VISTA", "", IF($H492="1+1", $C492 + CADASTROS!$C$4, IF($H492="1+2", $C492 + CADASTROS!$C$5, IF($H492="1+3", $C492 + CADASTROS!$E$6, "")))), "")</f>
        <v/>
      </c>
      <c r="P492" s="8" t="str">
        <f t="shared" si="31"/>
        <v/>
      </c>
    </row>
    <row r="493" spans="1:16">
      <c r="A493" s="2" t="s">
        <v>628</v>
      </c>
      <c r="B493" s="6" t="s">
        <v>12</v>
      </c>
      <c r="C493" s="7">
        <v>45333</v>
      </c>
      <c r="D493" s="7" t="s">
        <v>62</v>
      </c>
      <c r="E493" s="4" t="s">
        <v>112</v>
      </c>
      <c r="F493" s="4" t="s">
        <v>122</v>
      </c>
      <c r="G493" s="8">
        <v>9077</v>
      </c>
      <c r="H493" s="8" t="s">
        <v>126</v>
      </c>
      <c r="I493" s="3">
        <f>IF($H493="A VISTA", C493 + CADASTROS!$B$3, IF($H493="1+1", C493 + CADASTROS!$B$4, IF(H493="1+2", C493 + CADASTROS!$B$5, IF(H493="1+3", C493 + CADASTROS!$B$6, ""))))</f>
        <v>45334</v>
      </c>
      <c r="J493" s="8">
        <f t="shared" si="28"/>
        <v>9077</v>
      </c>
      <c r="K493" s="3" t="str">
        <f>IF($L493&lt;&gt;"", IF($H493="A VISTA", "", IF($H493="1+1", $C493 + CADASTROS!$C$4, IF($H493="1+2", $C493 + CADASTROS!$C$5, IF($H493="1+3", $C493 + CADASTROS!$E$4, "")))), "")</f>
        <v/>
      </c>
      <c r="L493" s="8" t="str">
        <f t="shared" si="29"/>
        <v/>
      </c>
      <c r="M493" s="3" t="str">
        <f>IF($N493&lt;&gt;"", IF($H493="A VISTA", "", IF($H493="1+1", $C493 + CADASTROS!$C$4, IF($H493="1+2", $C493 + CADASTROS!$D$5, IF($H493="1+3", $C493 + CADASTROS!$D$6, "")))), "")</f>
        <v/>
      </c>
      <c r="N493" s="8" t="str">
        <f t="shared" si="30"/>
        <v/>
      </c>
      <c r="O493" s="3" t="str">
        <f>IF($P493&lt;&gt;"", IF($H493="A VISTA", "", IF($H493="1+1", $C493 + CADASTROS!$C$4, IF($H493="1+2", $C493 + CADASTROS!$C$5, IF($H493="1+3", $C493 + CADASTROS!$E$6, "")))), "")</f>
        <v/>
      </c>
      <c r="P493" s="8" t="str">
        <f t="shared" si="31"/>
        <v/>
      </c>
    </row>
    <row r="494" spans="1:16">
      <c r="A494" s="2" t="s">
        <v>629</v>
      </c>
      <c r="B494" s="6" t="s">
        <v>14</v>
      </c>
      <c r="C494" s="7">
        <v>45182</v>
      </c>
      <c r="D494" s="7" t="s">
        <v>61</v>
      </c>
      <c r="E494" s="4" t="s">
        <v>110</v>
      </c>
      <c r="F494" s="4" t="s">
        <v>113</v>
      </c>
      <c r="G494" s="8">
        <v>6656</v>
      </c>
      <c r="H494" s="8" t="s">
        <v>137</v>
      </c>
      <c r="I494" s="3">
        <f>IF($H494="A VISTA", C494 + CADASTROS!$B$3, IF($H494="1+1", C494 + CADASTROS!$B$4, IF(H494="1+2", C494 + CADASTROS!$B$5, IF(H494="1+3", C494 + CADASTROS!$B$6, ""))))</f>
        <v>45183</v>
      </c>
      <c r="J494" s="8">
        <f t="shared" si="28"/>
        <v>2218.6666666666665</v>
      </c>
      <c r="K494" s="3">
        <f>IF($L494&lt;&gt;"", IF($H494="A VISTA", "", IF($H494="1+1", $C494 + CADASTROS!$C$4, IF($H494="1+2", $C494 + CADASTROS!$C$5, IF($H494="1+3", $C494 + CADASTROS!$E$4, "")))), "")</f>
        <v>45212</v>
      </c>
      <c r="L494" s="8">
        <f t="shared" si="29"/>
        <v>2218.6666666666665</v>
      </c>
      <c r="M494" s="3">
        <f>IF($N494&lt;&gt;"", IF($H494="A VISTA", "", IF($H494="1+1", $C494 + CADASTROS!$C$4, IF($H494="1+2", $C494 + CADASTROS!$D$5, IF($H494="1+3", $C494 + CADASTROS!$D$6, "")))), "")</f>
        <v>45227</v>
      </c>
      <c r="N494" s="8">
        <f t="shared" si="30"/>
        <v>2218.6666666666674</v>
      </c>
      <c r="O494" s="3" t="str">
        <f>IF($P494&lt;&gt;"", IF($H494="A VISTA", "", IF($H494="1+1", $C494 + CADASTROS!$C$4, IF($H494="1+2", $C494 + CADASTROS!$C$5, IF($H494="1+3", $C494 + CADASTROS!$E$6, "")))), "")</f>
        <v/>
      </c>
      <c r="P494" s="8" t="str">
        <f t="shared" si="31"/>
        <v/>
      </c>
    </row>
    <row r="495" spans="1:16">
      <c r="A495" s="2" t="s">
        <v>630</v>
      </c>
      <c r="B495" s="6" t="s">
        <v>17</v>
      </c>
      <c r="C495" s="7">
        <v>45160</v>
      </c>
      <c r="D495" s="7" t="s">
        <v>66</v>
      </c>
      <c r="E495" s="4" t="s">
        <v>110</v>
      </c>
      <c r="F495" s="4" t="s">
        <v>114</v>
      </c>
      <c r="G495" s="8">
        <v>9287</v>
      </c>
      <c r="H495" s="8" t="s">
        <v>138</v>
      </c>
      <c r="I495" s="3">
        <f>IF($H495="A VISTA", C495 + CADASTROS!$B$3, IF($H495="1+1", C495 + CADASTROS!$B$4, IF(H495="1+2", C495 + CADASTROS!$B$5, IF(H495="1+3", C495 + CADASTROS!$B$6, ""))))</f>
        <v>45161</v>
      </c>
      <c r="J495" s="8">
        <f t="shared" si="28"/>
        <v>4643.5</v>
      </c>
      <c r="K495" s="3">
        <f>IF($L495&lt;&gt;"", IF($H495="A VISTA", "", IF($H495="1+1", $C495 + CADASTROS!$C$4, IF($H495="1+2", $C495 + CADASTROS!$C$5, IF($H495="1+3", $C495 + CADASTROS!$E$4, "")))), "")</f>
        <v>45190</v>
      </c>
      <c r="L495" s="8">
        <f t="shared" si="29"/>
        <v>4643.5</v>
      </c>
      <c r="M495" s="3" t="str">
        <f>IF($N495&lt;&gt;"", IF($H495="A VISTA", "", IF($H495="1+1", $C495 + CADASTROS!$C$4, IF($H495="1+2", $C495 + CADASTROS!$D$5, IF($H495="1+3", $C495 + CADASTROS!$D$6, "")))), "")</f>
        <v/>
      </c>
      <c r="N495" s="8" t="str">
        <f t="shared" si="30"/>
        <v/>
      </c>
      <c r="O495" s="3" t="str">
        <f>IF($P495&lt;&gt;"", IF($H495="A VISTA", "", IF($H495="1+1", $C495 + CADASTROS!$C$4, IF($H495="1+2", $C495 + CADASTROS!$C$5, IF($H495="1+3", $C495 + CADASTROS!$E$6, "")))), "")</f>
        <v/>
      </c>
      <c r="P495" s="8" t="str">
        <f t="shared" si="31"/>
        <v/>
      </c>
    </row>
    <row r="496" spans="1:16">
      <c r="A496" s="2" t="s">
        <v>631</v>
      </c>
      <c r="B496" s="6" t="s">
        <v>43</v>
      </c>
      <c r="C496" s="7">
        <v>45244</v>
      </c>
      <c r="D496" s="7" t="s">
        <v>92</v>
      </c>
      <c r="E496" s="4" t="s">
        <v>110</v>
      </c>
      <c r="F496" s="4" t="s">
        <v>124</v>
      </c>
      <c r="G496" s="8">
        <v>3141</v>
      </c>
      <c r="H496" s="8" t="s">
        <v>136</v>
      </c>
      <c r="I496" s="3">
        <f>IF($H496="A VISTA", C496 + CADASTROS!$B$3, IF($H496="1+1", C496 + CADASTROS!$B$4, IF(H496="1+2", C496 + CADASTROS!$B$5, IF(H496="1+3", C496 + CADASTROS!$B$6, ""))))</f>
        <v>45245</v>
      </c>
      <c r="J496" s="8">
        <f t="shared" si="28"/>
        <v>785.25</v>
      </c>
      <c r="K496" s="3">
        <f>IF($L496&lt;&gt;"", IF($H496="A VISTA", "", IF($H496="1+1", $C496 + CADASTROS!$C$4, IF($H496="1+2", $C496 + CADASTROS!$C$5, IF($H496="1+3", $C496 + CADASTROS!$E$4, "")))), "")</f>
        <v>45244</v>
      </c>
      <c r="L496" s="8">
        <f t="shared" si="29"/>
        <v>785.25</v>
      </c>
      <c r="M496" s="3">
        <f>IF($N496&lt;&gt;"", IF($H496="A VISTA", "", IF($H496="1+1", $C496 + CADASTROS!$C$4, IF($H496="1+2", $C496 + CADASTROS!$D$5, IF($H496="1+3", $C496 + CADASTROS!$D$6, "")))), "")</f>
        <v>45289</v>
      </c>
      <c r="N496" s="8">
        <f t="shared" si="30"/>
        <v>785.25</v>
      </c>
      <c r="O496" s="3">
        <f>IF($P496&lt;&gt;"", IF($H496="A VISTA", "", IF($H496="1+1", $C496 + CADASTROS!$C$4, IF($H496="1+2", $C496 + CADASTROS!$C$5, IF($H496="1+3", $C496 + CADASTROS!$E$6, "")))), "")</f>
        <v>45304</v>
      </c>
      <c r="P496" s="8">
        <f t="shared" si="31"/>
        <v>785.25</v>
      </c>
    </row>
    <row r="497" spans="1:16">
      <c r="A497" s="2" t="s">
        <v>632</v>
      </c>
      <c r="B497" s="6" t="s">
        <v>45</v>
      </c>
      <c r="C497" s="7">
        <v>45408</v>
      </c>
      <c r="D497" s="7" t="s">
        <v>94</v>
      </c>
      <c r="E497" s="4" t="s">
        <v>110</v>
      </c>
      <c r="F497" s="4" t="s">
        <v>113</v>
      </c>
      <c r="G497" s="8">
        <v>5094</v>
      </c>
      <c r="H497" s="8" t="s">
        <v>137</v>
      </c>
      <c r="I497" s="3">
        <f>IF($H497="A VISTA", C497 + CADASTROS!$B$3, IF($H497="1+1", C497 + CADASTROS!$B$4, IF(H497="1+2", C497 + CADASTROS!$B$5, IF(H497="1+3", C497 + CADASTROS!$B$6, ""))))</f>
        <v>45409</v>
      </c>
      <c r="J497" s="8">
        <f t="shared" si="28"/>
        <v>1698</v>
      </c>
      <c r="K497" s="3">
        <f>IF($L497&lt;&gt;"", IF($H497="A VISTA", "", IF($H497="1+1", $C497 + CADASTROS!$C$4, IF($H497="1+2", $C497 + CADASTROS!$C$5, IF($H497="1+3", $C497 + CADASTROS!$E$4, "")))), "")</f>
        <v>45438</v>
      </c>
      <c r="L497" s="8">
        <f t="shared" si="29"/>
        <v>1698</v>
      </c>
      <c r="M497" s="3">
        <f>IF($N497&lt;&gt;"", IF($H497="A VISTA", "", IF($H497="1+1", $C497 + CADASTROS!$C$4, IF($H497="1+2", $C497 + CADASTROS!$D$5, IF($H497="1+3", $C497 + CADASTROS!$D$6, "")))), "")</f>
        <v>45453</v>
      </c>
      <c r="N497" s="8">
        <f t="shared" si="30"/>
        <v>1698</v>
      </c>
      <c r="O497" s="3" t="str">
        <f>IF($P497&lt;&gt;"", IF($H497="A VISTA", "", IF($H497="1+1", $C497 + CADASTROS!$C$4, IF($H497="1+2", $C497 + CADASTROS!$C$5, IF($H497="1+3", $C497 + CADASTROS!$E$6, "")))), "")</f>
        <v/>
      </c>
      <c r="P497" s="8" t="str">
        <f t="shared" si="31"/>
        <v/>
      </c>
    </row>
    <row r="498" spans="1:16">
      <c r="A498" s="2" t="s">
        <v>633</v>
      </c>
      <c r="B498" s="6" t="s">
        <v>18</v>
      </c>
      <c r="C498" s="7">
        <v>45242</v>
      </c>
      <c r="D498" s="7" t="s">
        <v>67</v>
      </c>
      <c r="E498" s="4" t="s">
        <v>111</v>
      </c>
      <c r="F498" s="4" t="s">
        <v>121</v>
      </c>
      <c r="G498" s="8">
        <v>430</v>
      </c>
      <c r="H498" s="8" t="s">
        <v>136</v>
      </c>
      <c r="I498" s="3">
        <f>IF($H498="A VISTA", C498 + CADASTROS!$B$3, IF($H498="1+1", C498 + CADASTROS!$B$4, IF(H498="1+2", C498 + CADASTROS!$B$5, IF(H498="1+3", C498 + CADASTROS!$B$6, ""))))</f>
        <v>45243</v>
      </c>
      <c r="J498" s="8">
        <f t="shared" si="28"/>
        <v>107.5</v>
      </c>
      <c r="K498" s="3">
        <f>IF($L498&lt;&gt;"", IF($H498="A VISTA", "", IF($H498="1+1", $C498 + CADASTROS!$C$4, IF($H498="1+2", $C498 + CADASTROS!$C$5, IF($H498="1+3", $C498 + CADASTROS!$E$4, "")))), "")</f>
        <v>45242</v>
      </c>
      <c r="L498" s="8">
        <f t="shared" si="29"/>
        <v>107.5</v>
      </c>
      <c r="M498" s="3">
        <f>IF($N498&lt;&gt;"", IF($H498="A VISTA", "", IF($H498="1+1", $C498 + CADASTROS!$C$4, IF($H498="1+2", $C498 + CADASTROS!$D$5, IF($H498="1+3", $C498 + CADASTROS!$D$6, "")))), "")</f>
        <v>45287</v>
      </c>
      <c r="N498" s="8">
        <f t="shared" si="30"/>
        <v>107.5</v>
      </c>
      <c r="O498" s="3">
        <f>IF($P498&lt;&gt;"", IF($H498="A VISTA", "", IF($H498="1+1", $C498 + CADASTROS!$C$4, IF($H498="1+2", $C498 + CADASTROS!$C$5, IF($H498="1+3", $C498 + CADASTROS!$E$6, "")))), "")</f>
        <v>45302</v>
      </c>
      <c r="P498" s="8">
        <f t="shared" si="31"/>
        <v>107.5</v>
      </c>
    </row>
    <row r="499" spans="1:16">
      <c r="A499" s="2" t="s">
        <v>634</v>
      </c>
      <c r="B499" s="6" t="s">
        <v>55</v>
      </c>
      <c r="C499" s="7">
        <v>45300</v>
      </c>
      <c r="D499" s="7" t="s">
        <v>104</v>
      </c>
      <c r="E499" s="4" t="s">
        <v>111</v>
      </c>
      <c r="F499" s="4" t="s">
        <v>119</v>
      </c>
      <c r="G499" s="8">
        <v>595</v>
      </c>
      <c r="H499" s="8" t="s">
        <v>138</v>
      </c>
      <c r="I499" s="3">
        <f>IF($H499="A VISTA", C499 + CADASTROS!$B$3, IF($H499="1+1", C499 + CADASTROS!$B$4, IF(H499="1+2", C499 + CADASTROS!$B$5, IF(H499="1+3", C499 + CADASTROS!$B$6, ""))))</f>
        <v>45301</v>
      </c>
      <c r="J499" s="8">
        <f t="shared" si="28"/>
        <v>297.5</v>
      </c>
      <c r="K499" s="3">
        <f>IF($L499&lt;&gt;"", IF($H499="A VISTA", "", IF($H499="1+1", $C499 + CADASTROS!$C$4, IF($H499="1+2", $C499 + CADASTROS!$C$5, IF($H499="1+3", $C499 + CADASTROS!$E$4, "")))), "")</f>
        <v>45330</v>
      </c>
      <c r="L499" s="8">
        <f t="shared" si="29"/>
        <v>297.5</v>
      </c>
      <c r="M499" s="3" t="str">
        <f>IF($N499&lt;&gt;"", IF($H499="A VISTA", "", IF($H499="1+1", $C499 + CADASTROS!$C$4, IF($H499="1+2", $C499 + CADASTROS!$D$5, IF($H499="1+3", $C499 + CADASTROS!$D$6, "")))), "")</f>
        <v/>
      </c>
      <c r="N499" s="8" t="str">
        <f t="shared" si="30"/>
        <v/>
      </c>
      <c r="O499" s="3" t="str">
        <f>IF($P499&lt;&gt;"", IF($H499="A VISTA", "", IF($H499="1+1", $C499 + CADASTROS!$C$4, IF($H499="1+2", $C499 + CADASTROS!$C$5, IF($H499="1+3", $C499 + CADASTROS!$E$6, "")))), "")</f>
        <v/>
      </c>
      <c r="P499" s="8" t="str">
        <f t="shared" si="31"/>
        <v/>
      </c>
    </row>
    <row r="500" spans="1:16">
      <c r="A500" s="2" t="s">
        <v>635</v>
      </c>
      <c r="B500" s="6" t="s">
        <v>40</v>
      </c>
      <c r="C500" s="7">
        <v>45430</v>
      </c>
      <c r="D500" s="7" t="s">
        <v>89</v>
      </c>
      <c r="E500" s="4" t="s">
        <v>111</v>
      </c>
      <c r="F500" s="4" t="s">
        <v>121</v>
      </c>
      <c r="G500" s="8">
        <v>8491</v>
      </c>
      <c r="H500" s="8" t="s">
        <v>138</v>
      </c>
      <c r="I500" s="3">
        <f>IF($H500="A VISTA", C500 + CADASTROS!$B$3, IF($H500="1+1", C500 + CADASTROS!$B$4, IF(H500="1+2", C500 + CADASTROS!$B$5, IF(H500="1+3", C500 + CADASTROS!$B$6, ""))))</f>
        <v>45431</v>
      </c>
      <c r="J500" s="8">
        <f t="shared" si="28"/>
        <v>4245.5</v>
      </c>
      <c r="K500" s="3">
        <f>IF($L500&lt;&gt;"", IF($H500="A VISTA", "", IF($H500="1+1", $C500 + CADASTROS!$C$4, IF($H500="1+2", $C500 + CADASTROS!$C$5, IF($H500="1+3", $C500 + CADASTROS!$E$4, "")))), "")</f>
        <v>45460</v>
      </c>
      <c r="L500" s="8">
        <f t="shared" si="29"/>
        <v>4245.5</v>
      </c>
      <c r="M500" s="3" t="str">
        <f>IF($N500&lt;&gt;"", IF($H500="A VISTA", "", IF($H500="1+1", $C500 + CADASTROS!$C$4, IF($H500="1+2", $C500 + CADASTROS!$D$5, IF($H500="1+3", $C500 + CADASTROS!$D$6, "")))), "")</f>
        <v/>
      </c>
      <c r="N500" s="8" t="str">
        <f t="shared" si="30"/>
        <v/>
      </c>
      <c r="O500" s="3" t="str">
        <f>IF($P500&lt;&gt;"", IF($H500="A VISTA", "", IF($H500="1+1", $C500 + CADASTROS!$C$4, IF($H500="1+2", $C500 + CADASTROS!$C$5, IF($H500="1+3", $C500 + CADASTROS!$E$6, "")))), "")</f>
        <v/>
      </c>
      <c r="P500" s="8" t="str">
        <f t="shared" si="31"/>
        <v/>
      </c>
    </row>
    <row r="501" spans="1:16">
      <c r="A501" s="4" t="s">
        <v>636</v>
      </c>
      <c r="B501" s="5" t="s">
        <v>13</v>
      </c>
      <c r="C501" s="18">
        <v>45166</v>
      </c>
      <c r="D501" s="18" t="s">
        <v>63</v>
      </c>
      <c r="E501" s="4" t="s">
        <v>111</v>
      </c>
      <c r="F501" s="4" t="s">
        <v>120</v>
      </c>
      <c r="G501" s="8">
        <v>8360</v>
      </c>
      <c r="H501" s="8" t="s">
        <v>126</v>
      </c>
      <c r="I501" s="3">
        <f>IF($H501="A VISTA", C501 + CADASTROS!$B$3, IF($H501="1+1", C501 + CADASTROS!$B$4, IF(H501="1+2", C501 + CADASTROS!$B$5, IF(H501="1+3", C501 + CADASTROS!$B$6, ""))))</f>
        <v>45167</v>
      </c>
      <c r="J501" s="8">
        <f t="shared" si="28"/>
        <v>8360</v>
      </c>
      <c r="K501" s="3" t="str">
        <f>IF($L501&lt;&gt;"", IF($H501="A VISTA", "", IF($H501="1+1", $C501 + CADASTROS!$C$4, IF($H501="1+2", $C501 + CADASTROS!$C$5, IF($H501="1+3", $C501 + CADASTROS!$E$4, "")))), "")</f>
        <v/>
      </c>
      <c r="L501" s="8" t="str">
        <f t="shared" si="29"/>
        <v/>
      </c>
      <c r="M501" s="3" t="str">
        <f>IF($N501&lt;&gt;"", IF($H501="A VISTA", "", IF($H501="1+1", $C501 + CADASTROS!$C$4, IF($H501="1+2", $C501 + CADASTROS!$D$5, IF($H501="1+3", $C501 + CADASTROS!$D$6, "")))), "")</f>
        <v/>
      </c>
      <c r="N501" s="8" t="str">
        <f t="shared" si="30"/>
        <v/>
      </c>
      <c r="O501" s="3" t="str">
        <f>IF($P501&lt;&gt;"", IF($H501="A VISTA", "", IF($H501="1+1", $C501 + CADASTROS!$C$4, IF($H501="1+2", $C501 + CADASTROS!$C$5, IF($H501="1+3", $C501 + CADASTROS!$E$6, "")))), "")</f>
        <v/>
      </c>
      <c r="P501" s="8" t="str">
        <f t="shared" si="31"/>
        <v/>
      </c>
    </row>
  </sheetData>
  <sheetProtection algorithmName="SHA-512" hashValue="9++77eGDcP/BEE6mNoEscpe+AjH8AjzeMCIz3C3AUKVDERLLMQVHpE5WrcwoThDvV6SZpF4vVPVEr290+BFYNw==" saltValue="Voak7g0uFZUweItSpIMMrg==" spinCount="100000" sheet="1" objects="1" scenarios="1"/>
  <conditionalFormatting sqref="A1:P501">
    <cfRule type="expression" dxfId="1" priority="1">
      <formula>$A1&lt;&gt;""</formula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EEA07-BB5F-4E01-9E5A-CB7C9B401537}">
  <sheetPr codeName="Planilha1"/>
  <dimension ref="A1:E6"/>
  <sheetViews>
    <sheetView showGridLines="0" workbookViewId="0">
      <selection activeCell="A13" sqref="A13"/>
    </sheetView>
  </sheetViews>
  <sheetFormatPr defaultRowHeight="14.25"/>
  <cols>
    <col min="1" max="1" width="45.625" bestFit="1" customWidth="1"/>
    <col min="2" max="2" width="16.75" bestFit="1" customWidth="1"/>
    <col min="3" max="3" width="41.625" bestFit="1" customWidth="1"/>
    <col min="4" max="4" width="16.625" bestFit="1" customWidth="1"/>
    <col min="5" max="5" width="11.125" bestFit="1" customWidth="1"/>
    <col min="6" max="6" width="10.875" bestFit="1" customWidth="1"/>
    <col min="7" max="7" width="12.625" bestFit="1" customWidth="1"/>
  </cols>
  <sheetData>
    <row r="1" spans="1:5">
      <c r="A1" s="17" t="s">
        <v>135</v>
      </c>
      <c r="B1" s="10"/>
      <c r="C1" s="10"/>
      <c r="D1" s="10"/>
      <c r="E1" s="11"/>
    </row>
    <row r="2" spans="1:5">
      <c r="A2" s="12" t="s">
        <v>115</v>
      </c>
      <c r="B2" t="s">
        <v>127</v>
      </c>
      <c r="C2" t="s">
        <v>128</v>
      </c>
      <c r="D2" t="s">
        <v>129</v>
      </c>
      <c r="E2" s="13" t="s">
        <v>130</v>
      </c>
    </row>
    <row r="3" spans="1:5">
      <c r="A3" s="12" t="s">
        <v>126</v>
      </c>
      <c r="B3">
        <v>1</v>
      </c>
      <c r="E3" s="13"/>
    </row>
    <row r="4" spans="1:5">
      <c r="A4" s="12" t="s">
        <v>133</v>
      </c>
      <c r="B4">
        <v>1</v>
      </c>
      <c r="C4">
        <v>30</v>
      </c>
      <c r="E4" s="13"/>
    </row>
    <row r="5" spans="1:5">
      <c r="A5" s="12" t="s">
        <v>132</v>
      </c>
      <c r="B5">
        <v>1</v>
      </c>
      <c r="C5">
        <v>30</v>
      </c>
      <c r="D5">
        <v>45</v>
      </c>
      <c r="E5" s="13"/>
    </row>
    <row r="6" spans="1:5" ht="15" thickBot="1">
      <c r="A6" s="14" t="s">
        <v>134</v>
      </c>
      <c r="B6" s="15">
        <v>1</v>
      </c>
      <c r="C6" s="15">
        <v>30</v>
      </c>
      <c r="D6" s="15">
        <v>45</v>
      </c>
      <c r="E6" s="16">
        <v>60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7025F-3122-42C8-AE37-DB4DE3E845D9}">
  <sheetPr codeName="Planilha2"/>
  <dimension ref="A1:AA8"/>
  <sheetViews>
    <sheetView workbookViewId="0">
      <selection activeCell="C8" sqref="C8"/>
    </sheetView>
  </sheetViews>
  <sheetFormatPr defaultRowHeight="14.25"/>
  <cols>
    <col min="1" max="1" width="24.75" bestFit="1" customWidth="1"/>
    <col min="2" max="2" width="30.75" bestFit="1" customWidth="1"/>
    <col min="3" max="3" width="18.375" bestFit="1" customWidth="1"/>
    <col min="4" max="4" width="30.75" bestFit="1" customWidth="1"/>
    <col min="5" max="5" width="18.375" bestFit="1" customWidth="1"/>
    <col min="6" max="6" width="30.75" bestFit="1" customWidth="1"/>
    <col min="7" max="7" width="18.375" bestFit="1" customWidth="1"/>
    <col min="8" max="8" width="30.75" bestFit="1" customWidth="1"/>
    <col min="9" max="9" width="18.375" bestFit="1" customWidth="1"/>
    <col min="10" max="10" width="30.75" bestFit="1" customWidth="1"/>
    <col min="11" max="11" width="18.375" bestFit="1" customWidth="1"/>
    <col min="12" max="12" width="30.75" bestFit="1" customWidth="1"/>
    <col min="13" max="13" width="18.375" bestFit="1" customWidth="1"/>
    <col min="14" max="14" width="30.75" bestFit="1" customWidth="1"/>
    <col min="15" max="15" width="18.375" bestFit="1" customWidth="1"/>
    <col min="16" max="16" width="30.75" bestFit="1" customWidth="1"/>
    <col min="17" max="17" width="18.375" bestFit="1" customWidth="1"/>
    <col min="18" max="18" width="30.75" bestFit="1" customWidth="1"/>
    <col min="19" max="19" width="18.375" bestFit="1" customWidth="1"/>
    <col min="20" max="20" width="30.75" bestFit="1" customWidth="1"/>
    <col min="21" max="21" width="18.375" bestFit="1" customWidth="1"/>
    <col min="22" max="22" width="30.75" bestFit="1" customWidth="1"/>
    <col min="23" max="23" width="18.375" bestFit="1" customWidth="1"/>
    <col min="24" max="24" width="30.75" bestFit="1" customWidth="1"/>
    <col min="25" max="25" width="18.375" bestFit="1" customWidth="1"/>
    <col min="26" max="26" width="35.875" bestFit="1" customWidth="1"/>
    <col min="27" max="27" width="23.5" bestFit="1" customWidth="1"/>
  </cols>
  <sheetData>
    <row r="1" spans="1:27">
      <c r="A1" s="23" t="s">
        <v>2</v>
      </c>
      <c r="B1" t="s">
        <v>111</v>
      </c>
    </row>
    <row r="3" spans="1:27">
      <c r="B3" s="23" t="s">
        <v>656</v>
      </c>
    </row>
    <row r="4" spans="1:27">
      <c r="B4" s="25" t="s">
        <v>652</v>
      </c>
      <c r="D4" s="25" t="s">
        <v>653</v>
      </c>
      <c r="F4" s="25" t="s">
        <v>641</v>
      </c>
      <c r="H4" s="25" t="s">
        <v>642</v>
      </c>
      <c r="J4" s="25" t="s">
        <v>643</v>
      </c>
      <c r="L4" s="25" t="s">
        <v>644</v>
      </c>
      <c r="N4" s="25" t="s">
        <v>645</v>
      </c>
      <c r="P4" s="25" t="s">
        <v>646</v>
      </c>
      <c r="R4" s="25" t="s">
        <v>647</v>
      </c>
      <c r="T4" s="25" t="s">
        <v>648</v>
      </c>
      <c r="V4" s="25" t="s">
        <v>649</v>
      </c>
      <c r="X4" s="25" t="s">
        <v>650</v>
      </c>
      <c r="Z4" s="25" t="s">
        <v>657</v>
      </c>
      <c r="AA4" s="25" t="s">
        <v>658</v>
      </c>
    </row>
    <row r="5" spans="1:27">
      <c r="A5" s="23" t="s">
        <v>638</v>
      </c>
      <c r="B5" t="s">
        <v>655</v>
      </c>
      <c r="C5" t="s">
        <v>637</v>
      </c>
      <c r="D5" t="s">
        <v>655</v>
      </c>
      <c r="E5" t="s">
        <v>637</v>
      </c>
      <c r="F5" t="s">
        <v>655</v>
      </c>
      <c r="G5" t="s">
        <v>637</v>
      </c>
      <c r="H5" t="s">
        <v>655</v>
      </c>
      <c r="I5" t="s">
        <v>637</v>
      </c>
      <c r="J5" t="s">
        <v>655</v>
      </c>
      <c r="K5" t="s">
        <v>637</v>
      </c>
      <c r="L5" t="s">
        <v>655</v>
      </c>
      <c r="M5" t="s">
        <v>637</v>
      </c>
      <c r="N5" t="s">
        <v>655</v>
      </c>
      <c r="O5" t="s">
        <v>637</v>
      </c>
      <c r="P5" t="s">
        <v>655</v>
      </c>
      <c r="Q5" t="s">
        <v>637</v>
      </c>
      <c r="R5" t="s">
        <v>655</v>
      </c>
      <c r="S5" t="s">
        <v>637</v>
      </c>
      <c r="T5" t="s">
        <v>655</v>
      </c>
      <c r="U5" t="s">
        <v>637</v>
      </c>
      <c r="V5" t="s">
        <v>655</v>
      </c>
      <c r="W5" t="s">
        <v>637</v>
      </c>
      <c r="X5" t="s">
        <v>655</v>
      </c>
      <c r="Y5" t="s">
        <v>637</v>
      </c>
    </row>
    <row r="6" spans="1:27">
      <c r="A6" s="24" t="s">
        <v>640</v>
      </c>
      <c r="F6">
        <v>1</v>
      </c>
      <c r="G6">
        <v>9182</v>
      </c>
      <c r="H6">
        <v>2</v>
      </c>
      <c r="I6">
        <v>10782</v>
      </c>
      <c r="J6">
        <v>5</v>
      </c>
      <c r="K6">
        <v>28789</v>
      </c>
      <c r="L6">
        <v>5</v>
      </c>
      <c r="M6">
        <v>25418</v>
      </c>
      <c r="N6">
        <v>14</v>
      </c>
      <c r="O6">
        <v>77376</v>
      </c>
      <c r="P6">
        <v>21</v>
      </c>
      <c r="Q6">
        <v>132736</v>
      </c>
      <c r="R6">
        <v>15</v>
      </c>
      <c r="S6">
        <v>65542</v>
      </c>
      <c r="T6">
        <v>21</v>
      </c>
      <c r="U6">
        <v>126644</v>
      </c>
      <c r="V6">
        <v>16</v>
      </c>
      <c r="W6">
        <v>77619</v>
      </c>
      <c r="X6">
        <v>23</v>
      </c>
      <c r="Y6">
        <v>128573</v>
      </c>
      <c r="Z6">
        <v>123</v>
      </c>
      <c r="AA6">
        <v>682661</v>
      </c>
    </row>
    <row r="7" spans="1:27">
      <c r="A7" s="24" t="s">
        <v>651</v>
      </c>
      <c r="B7">
        <v>23</v>
      </c>
      <c r="C7">
        <v>109285</v>
      </c>
      <c r="D7">
        <v>21</v>
      </c>
      <c r="E7">
        <v>118610</v>
      </c>
      <c r="F7">
        <v>15</v>
      </c>
      <c r="G7">
        <v>98061</v>
      </c>
      <c r="H7">
        <v>15</v>
      </c>
      <c r="I7">
        <v>68443</v>
      </c>
      <c r="J7">
        <v>10</v>
      </c>
      <c r="K7">
        <v>52590</v>
      </c>
      <c r="L7">
        <v>5</v>
      </c>
      <c r="M7">
        <v>37825</v>
      </c>
      <c r="N7">
        <v>7</v>
      </c>
      <c r="O7">
        <v>38252</v>
      </c>
      <c r="P7">
        <v>4</v>
      </c>
      <c r="Q7">
        <v>15277</v>
      </c>
      <c r="R7">
        <v>3</v>
      </c>
      <c r="S7">
        <v>8039</v>
      </c>
      <c r="Z7">
        <v>103</v>
      </c>
      <c r="AA7">
        <v>546382</v>
      </c>
    </row>
    <row r="8" spans="1:27">
      <c r="A8" s="24" t="s">
        <v>639</v>
      </c>
      <c r="B8">
        <v>23</v>
      </c>
      <c r="C8">
        <v>109285</v>
      </c>
      <c r="D8">
        <v>21</v>
      </c>
      <c r="E8">
        <v>118610</v>
      </c>
      <c r="F8">
        <v>16</v>
      </c>
      <c r="G8">
        <v>107243</v>
      </c>
      <c r="H8">
        <v>17</v>
      </c>
      <c r="I8">
        <v>79225</v>
      </c>
      <c r="J8">
        <v>15</v>
      </c>
      <c r="K8">
        <v>81379</v>
      </c>
      <c r="L8">
        <v>10</v>
      </c>
      <c r="M8">
        <v>63243</v>
      </c>
      <c r="N8">
        <v>21</v>
      </c>
      <c r="O8">
        <v>115628</v>
      </c>
      <c r="P8">
        <v>25</v>
      </c>
      <c r="Q8">
        <v>148013</v>
      </c>
      <c r="R8">
        <v>18</v>
      </c>
      <c r="S8">
        <v>73581</v>
      </c>
      <c r="T8">
        <v>21</v>
      </c>
      <c r="U8">
        <v>126644</v>
      </c>
      <c r="V8">
        <v>16</v>
      </c>
      <c r="W8">
        <v>77619</v>
      </c>
      <c r="X8">
        <v>23</v>
      </c>
      <c r="Y8">
        <v>128573</v>
      </c>
      <c r="Z8">
        <v>226</v>
      </c>
      <c r="AA8">
        <v>1229043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ACD81-AB8B-4B42-8020-6B0D644B7B0B}">
  <sheetPr codeName="Planilha3"/>
  <dimension ref="A1:AA8"/>
  <sheetViews>
    <sheetView workbookViewId="0">
      <selection activeCell="A3" sqref="A3"/>
    </sheetView>
  </sheetViews>
  <sheetFormatPr defaultRowHeight="14.25"/>
  <cols>
    <col min="1" max="1" width="24.75" bestFit="1" customWidth="1"/>
    <col min="2" max="2" width="30.75" bestFit="1" customWidth="1"/>
    <col min="3" max="3" width="18.375" bestFit="1" customWidth="1"/>
    <col min="4" max="4" width="30.75" bestFit="1" customWidth="1"/>
    <col min="5" max="5" width="18.375" bestFit="1" customWidth="1"/>
    <col min="6" max="6" width="30.75" bestFit="1" customWidth="1"/>
    <col min="7" max="7" width="18.375" bestFit="1" customWidth="1"/>
    <col min="8" max="8" width="30.75" bestFit="1" customWidth="1"/>
    <col min="9" max="9" width="18.375" bestFit="1" customWidth="1"/>
    <col min="10" max="10" width="30.75" bestFit="1" customWidth="1"/>
    <col min="11" max="11" width="18.375" bestFit="1" customWidth="1"/>
    <col min="12" max="12" width="30.75" bestFit="1" customWidth="1"/>
    <col min="13" max="13" width="18.375" bestFit="1" customWidth="1"/>
    <col min="14" max="14" width="30.75" bestFit="1" customWidth="1"/>
    <col min="15" max="15" width="18.375" bestFit="1" customWidth="1"/>
    <col min="16" max="16" width="30.75" bestFit="1" customWidth="1"/>
    <col min="17" max="17" width="18.375" bestFit="1" customWidth="1"/>
    <col min="18" max="18" width="30.75" bestFit="1" customWidth="1"/>
    <col min="19" max="19" width="18.375" bestFit="1" customWidth="1"/>
    <col min="20" max="20" width="30.75" bestFit="1" customWidth="1"/>
    <col min="21" max="21" width="18.375" bestFit="1" customWidth="1"/>
    <col min="22" max="22" width="30.75" bestFit="1" customWidth="1"/>
    <col min="23" max="23" width="18.375" bestFit="1" customWidth="1"/>
    <col min="24" max="24" width="30.75" bestFit="1" customWidth="1"/>
    <col min="25" max="25" width="18.375" bestFit="1" customWidth="1"/>
    <col min="26" max="26" width="35.875" bestFit="1" customWidth="1"/>
    <col min="27" max="27" width="23.5" bestFit="1" customWidth="1"/>
  </cols>
  <sheetData>
    <row r="1" spans="1:27">
      <c r="A1" s="23" t="s">
        <v>2</v>
      </c>
      <c r="B1" t="s">
        <v>110</v>
      </c>
    </row>
    <row r="3" spans="1:27">
      <c r="B3" s="23" t="s">
        <v>656</v>
      </c>
    </row>
    <row r="4" spans="1:27">
      <c r="B4" s="25" t="s">
        <v>652</v>
      </c>
      <c r="D4" s="25" t="s">
        <v>653</v>
      </c>
      <c r="F4" s="25" t="s">
        <v>641</v>
      </c>
      <c r="H4" s="25" t="s">
        <v>642</v>
      </c>
      <c r="J4" s="25" t="s">
        <v>643</v>
      </c>
      <c r="L4" s="25" t="s">
        <v>644</v>
      </c>
      <c r="N4" s="25" t="s">
        <v>645</v>
      </c>
      <c r="P4" s="25" t="s">
        <v>646</v>
      </c>
      <c r="R4" s="25" t="s">
        <v>647</v>
      </c>
      <c r="T4" s="25" t="s">
        <v>648</v>
      </c>
      <c r="V4" s="25" t="s">
        <v>649</v>
      </c>
      <c r="X4" s="25" t="s">
        <v>650</v>
      </c>
      <c r="Z4" s="25" t="s">
        <v>657</v>
      </c>
      <c r="AA4" s="25" t="s">
        <v>658</v>
      </c>
    </row>
    <row r="5" spans="1:27">
      <c r="A5" s="23" t="s">
        <v>638</v>
      </c>
      <c r="B5" t="s">
        <v>655</v>
      </c>
      <c r="C5" t="s">
        <v>637</v>
      </c>
      <c r="D5" t="s">
        <v>655</v>
      </c>
      <c r="E5" t="s">
        <v>637</v>
      </c>
      <c r="F5" t="s">
        <v>655</v>
      </c>
      <c r="G5" t="s">
        <v>637</v>
      </c>
      <c r="H5" t="s">
        <v>655</v>
      </c>
      <c r="I5" t="s">
        <v>637</v>
      </c>
      <c r="J5" t="s">
        <v>655</v>
      </c>
      <c r="K5" t="s">
        <v>637</v>
      </c>
      <c r="L5" t="s">
        <v>655</v>
      </c>
      <c r="M5" t="s">
        <v>637</v>
      </c>
      <c r="N5" t="s">
        <v>655</v>
      </c>
      <c r="O5" t="s">
        <v>637</v>
      </c>
      <c r="P5" t="s">
        <v>655</v>
      </c>
      <c r="Q5" t="s">
        <v>637</v>
      </c>
      <c r="R5" t="s">
        <v>655</v>
      </c>
      <c r="S5" t="s">
        <v>637</v>
      </c>
      <c r="T5" t="s">
        <v>655</v>
      </c>
      <c r="U5" t="s">
        <v>637</v>
      </c>
      <c r="V5" t="s">
        <v>655</v>
      </c>
      <c r="W5" t="s">
        <v>637</v>
      </c>
      <c r="X5" t="s">
        <v>655</v>
      </c>
      <c r="Y5" t="s">
        <v>637</v>
      </c>
    </row>
    <row r="6" spans="1:27">
      <c r="A6" s="24" t="s">
        <v>640</v>
      </c>
      <c r="H6">
        <v>1</v>
      </c>
      <c r="I6">
        <v>7447</v>
      </c>
      <c r="J6">
        <v>5</v>
      </c>
      <c r="K6">
        <v>31800</v>
      </c>
      <c r="L6">
        <v>6</v>
      </c>
      <c r="M6">
        <v>41699</v>
      </c>
      <c r="N6">
        <v>4</v>
      </c>
      <c r="O6">
        <v>23248</v>
      </c>
      <c r="P6">
        <v>16</v>
      </c>
      <c r="Q6">
        <v>72379</v>
      </c>
      <c r="R6">
        <v>19</v>
      </c>
      <c r="S6">
        <v>109893</v>
      </c>
      <c r="T6">
        <v>21</v>
      </c>
      <c r="U6">
        <v>106854</v>
      </c>
      <c r="V6">
        <v>16</v>
      </c>
      <c r="W6">
        <v>98631</v>
      </c>
      <c r="X6">
        <v>13</v>
      </c>
      <c r="Y6">
        <v>62987</v>
      </c>
      <c r="Z6">
        <v>101</v>
      </c>
      <c r="AA6">
        <v>554938</v>
      </c>
    </row>
    <row r="7" spans="1:27">
      <c r="A7" s="24" t="s">
        <v>651</v>
      </c>
      <c r="B7">
        <v>14</v>
      </c>
      <c r="C7">
        <v>68306</v>
      </c>
      <c r="D7">
        <v>9</v>
      </c>
      <c r="E7">
        <v>28054</v>
      </c>
      <c r="F7">
        <v>9</v>
      </c>
      <c r="G7">
        <v>44000</v>
      </c>
      <c r="H7">
        <v>11</v>
      </c>
      <c r="I7">
        <v>61363</v>
      </c>
      <c r="J7">
        <v>10</v>
      </c>
      <c r="K7">
        <v>45491</v>
      </c>
      <c r="L7">
        <v>11</v>
      </c>
      <c r="M7">
        <v>61428</v>
      </c>
      <c r="N7">
        <v>8</v>
      </c>
      <c r="O7">
        <v>33683</v>
      </c>
      <c r="P7">
        <v>1</v>
      </c>
      <c r="Q7">
        <v>3772</v>
      </c>
      <c r="R7">
        <v>2</v>
      </c>
      <c r="S7">
        <v>7666</v>
      </c>
      <c r="Z7">
        <v>75</v>
      </c>
      <c r="AA7">
        <v>353763</v>
      </c>
    </row>
    <row r="8" spans="1:27">
      <c r="A8" s="24" t="s">
        <v>639</v>
      </c>
      <c r="B8">
        <v>14</v>
      </c>
      <c r="C8">
        <v>68306</v>
      </c>
      <c r="D8">
        <v>9</v>
      </c>
      <c r="E8">
        <v>28054</v>
      </c>
      <c r="F8">
        <v>9</v>
      </c>
      <c r="G8">
        <v>44000</v>
      </c>
      <c r="H8">
        <v>12</v>
      </c>
      <c r="I8">
        <v>68810</v>
      </c>
      <c r="J8">
        <v>15</v>
      </c>
      <c r="K8">
        <v>77291</v>
      </c>
      <c r="L8">
        <v>17</v>
      </c>
      <c r="M8">
        <v>103127</v>
      </c>
      <c r="N8">
        <v>12</v>
      </c>
      <c r="O8">
        <v>56931</v>
      </c>
      <c r="P8">
        <v>17</v>
      </c>
      <c r="Q8">
        <v>76151</v>
      </c>
      <c r="R8">
        <v>21</v>
      </c>
      <c r="S8">
        <v>117559</v>
      </c>
      <c r="T8">
        <v>21</v>
      </c>
      <c r="U8">
        <v>106854</v>
      </c>
      <c r="V8">
        <v>16</v>
      </c>
      <c r="W8">
        <v>98631</v>
      </c>
      <c r="X8">
        <v>13</v>
      </c>
      <c r="Y8">
        <v>62987</v>
      </c>
      <c r="Z8">
        <v>176</v>
      </c>
      <c r="AA8">
        <v>908701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66C8B-B3E5-4E24-B8D1-7AB8E57036E2}">
  <sheetPr codeName="Planilha4"/>
  <dimension ref="A1:AA8"/>
  <sheetViews>
    <sheetView workbookViewId="0">
      <selection activeCell="F15" sqref="F15"/>
    </sheetView>
  </sheetViews>
  <sheetFormatPr defaultRowHeight="14.25"/>
  <cols>
    <col min="1" max="1" width="24.75" bestFit="1" customWidth="1"/>
    <col min="2" max="2" width="30.75" bestFit="1" customWidth="1"/>
    <col min="3" max="3" width="18.375" bestFit="1" customWidth="1"/>
    <col min="4" max="4" width="30.75" bestFit="1" customWidth="1"/>
    <col min="5" max="5" width="18.375" bestFit="1" customWidth="1"/>
    <col min="6" max="6" width="30.75" bestFit="1" customWidth="1"/>
    <col min="7" max="7" width="18.375" bestFit="1" customWidth="1"/>
    <col min="8" max="8" width="30.75" bestFit="1" customWidth="1"/>
    <col min="9" max="9" width="18.375" bestFit="1" customWidth="1"/>
    <col min="10" max="10" width="30.75" bestFit="1" customWidth="1"/>
    <col min="11" max="11" width="18.375" bestFit="1" customWidth="1"/>
    <col min="12" max="12" width="30.75" bestFit="1" customWidth="1"/>
    <col min="13" max="13" width="18.375" bestFit="1" customWidth="1"/>
    <col min="14" max="14" width="30.75" bestFit="1" customWidth="1"/>
    <col min="15" max="15" width="18.375" bestFit="1" customWidth="1"/>
    <col min="16" max="16" width="30.75" bestFit="1" customWidth="1"/>
    <col min="17" max="17" width="18.375" bestFit="1" customWidth="1"/>
    <col min="18" max="18" width="30.75" bestFit="1" customWidth="1"/>
    <col min="19" max="19" width="18.375" bestFit="1" customWidth="1"/>
    <col min="20" max="20" width="30.75" bestFit="1" customWidth="1"/>
    <col min="21" max="21" width="18.375" bestFit="1" customWidth="1"/>
    <col min="22" max="22" width="30.75" bestFit="1" customWidth="1"/>
    <col min="23" max="23" width="18.375" bestFit="1" customWidth="1"/>
    <col min="24" max="24" width="30.75" bestFit="1" customWidth="1"/>
    <col min="25" max="25" width="18.375" bestFit="1" customWidth="1"/>
    <col min="26" max="26" width="35.875" bestFit="1" customWidth="1"/>
    <col min="27" max="27" width="23.5" bestFit="1" customWidth="1"/>
  </cols>
  <sheetData>
    <row r="1" spans="1:27">
      <c r="A1" s="23" t="s">
        <v>2</v>
      </c>
      <c r="B1" t="s">
        <v>112</v>
      </c>
    </row>
    <row r="3" spans="1:27">
      <c r="B3" s="23" t="s">
        <v>656</v>
      </c>
    </row>
    <row r="4" spans="1:27">
      <c r="B4" s="25" t="s">
        <v>652</v>
      </c>
      <c r="D4" s="25" t="s">
        <v>653</v>
      </c>
      <c r="F4" s="25" t="s">
        <v>641</v>
      </c>
      <c r="H4" s="25" t="s">
        <v>642</v>
      </c>
      <c r="J4" s="25" t="s">
        <v>643</v>
      </c>
      <c r="L4" s="25" t="s">
        <v>644</v>
      </c>
      <c r="N4" s="25" t="s">
        <v>645</v>
      </c>
      <c r="P4" s="25" t="s">
        <v>646</v>
      </c>
      <c r="R4" s="25" t="s">
        <v>647</v>
      </c>
      <c r="T4" s="25" t="s">
        <v>648</v>
      </c>
      <c r="V4" s="25" t="s">
        <v>649</v>
      </c>
      <c r="X4" s="25" t="s">
        <v>650</v>
      </c>
      <c r="Z4" s="25" t="s">
        <v>657</v>
      </c>
      <c r="AA4" s="25" t="s">
        <v>658</v>
      </c>
    </row>
    <row r="5" spans="1:27">
      <c r="A5" s="23" t="s">
        <v>638</v>
      </c>
      <c r="B5" t="s">
        <v>655</v>
      </c>
      <c r="C5" t="s">
        <v>637</v>
      </c>
      <c r="D5" t="s">
        <v>655</v>
      </c>
      <c r="E5" t="s">
        <v>637</v>
      </c>
      <c r="F5" t="s">
        <v>655</v>
      </c>
      <c r="G5" t="s">
        <v>637</v>
      </c>
      <c r="H5" t="s">
        <v>655</v>
      </c>
      <c r="I5" t="s">
        <v>637</v>
      </c>
      <c r="J5" t="s">
        <v>655</v>
      </c>
      <c r="K5" t="s">
        <v>637</v>
      </c>
      <c r="L5" t="s">
        <v>655</v>
      </c>
      <c r="M5" t="s">
        <v>637</v>
      </c>
      <c r="N5" t="s">
        <v>655</v>
      </c>
      <c r="O5" t="s">
        <v>637</v>
      </c>
      <c r="P5" t="s">
        <v>655</v>
      </c>
      <c r="Q5" t="s">
        <v>637</v>
      </c>
      <c r="R5" t="s">
        <v>655</v>
      </c>
      <c r="S5" t="s">
        <v>637</v>
      </c>
      <c r="T5" t="s">
        <v>655</v>
      </c>
      <c r="U5" t="s">
        <v>637</v>
      </c>
      <c r="V5" t="s">
        <v>655</v>
      </c>
      <c r="W5" t="s">
        <v>637</v>
      </c>
      <c r="X5" t="s">
        <v>655</v>
      </c>
      <c r="Y5" t="s">
        <v>637</v>
      </c>
    </row>
    <row r="6" spans="1:27">
      <c r="A6" s="24" t="s">
        <v>640</v>
      </c>
      <c r="J6">
        <v>3</v>
      </c>
      <c r="K6">
        <v>16086</v>
      </c>
      <c r="L6">
        <v>2</v>
      </c>
      <c r="M6">
        <v>10968</v>
      </c>
      <c r="N6">
        <v>5</v>
      </c>
      <c r="O6">
        <v>30548</v>
      </c>
      <c r="P6">
        <v>8</v>
      </c>
      <c r="Q6">
        <v>34785</v>
      </c>
      <c r="R6">
        <v>8</v>
      </c>
      <c r="S6">
        <v>40458</v>
      </c>
      <c r="T6">
        <v>8</v>
      </c>
      <c r="U6">
        <v>43622</v>
      </c>
      <c r="V6">
        <v>2</v>
      </c>
      <c r="W6">
        <v>3794</v>
      </c>
      <c r="X6">
        <v>9</v>
      </c>
      <c r="Y6">
        <v>26444</v>
      </c>
      <c r="Z6">
        <v>45</v>
      </c>
      <c r="AA6">
        <v>206705</v>
      </c>
    </row>
    <row r="7" spans="1:27">
      <c r="A7" s="24" t="s">
        <v>651</v>
      </c>
      <c r="B7">
        <v>8</v>
      </c>
      <c r="C7">
        <v>21286</v>
      </c>
      <c r="D7">
        <v>7</v>
      </c>
      <c r="E7">
        <v>31971</v>
      </c>
      <c r="F7">
        <v>12</v>
      </c>
      <c r="G7">
        <v>56516</v>
      </c>
      <c r="H7">
        <v>5</v>
      </c>
      <c r="I7">
        <v>31839</v>
      </c>
      <c r="J7">
        <v>6</v>
      </c>
      <c r="K7">
        <v>37993</v>
      </c>
      <c r="L7">
        <v>3</v>
      </c>
      <c r="M7">
        <v>22264</v>
      </c>
      <c r="N7">
        <v>5</v>
      </c>
      <c r="O7">
        <v>27054</v>
      </c>
      <c r="P7">
        <v>4</v>
      </c>
      <c r="Q7">
        <v>25002</v>
      </c>
      <c r="R7">
        <v>2</v>
      </c>
      <c r="S7">
        <v>12432</v>
      </c>
      <c r="Z7">
        <v>52</v>
      </c>
      <c r="AA7">
        <v>266357</v>
      </c>
    </row>
    <row r="8" spans="1:27">
      <c r="A8" s="24" t="s">
        <v>639</v>
      </c>
      <c r="B8">
        <v>8</v>
      </c>
      <c r="C8">
        <v>21286</v>
      </c>
      <c r="D8">
        <v>7</v>
      </c>
      <c r="E8">
        <v>31971</v>
      </c>
      <c r="F8">
        <v>12</v>
      </c>
      <c r="G8">
        <v>56516</v>
      </c>
      <c r="H8">
        <v>5</v>
      </c>
      <c r="I8">
        <v>31839</v>
      </c>
      <c r="J8">
        <v>9</v>
      </c>
      <c r="K8">
        <v>54079</v>
      </c>
      <c r="L8">
        <v>5</v>
      </c>
      <c r="M8">
        <v>33232</v>
      </c>
      <c r="N8">
        <v>10</v>
      </c>
      <c r="O8">
        <v>57602</v>
      </c>
      <c r="P8">
        <v>12</v>
      </c>
      <c r="Q8">
        <v>59787</v>
      </c>
      <c r="R8">
        <v>10</v>
      </c>
      <c r="S8">
        <v>52890</v>
      </c>
      <c r="T8">
        <v>8</v>
      </c>
      <c r="U8">
        <v>43622</v>
      </c>
      <c r="V8">
        <v>2</v>
      </c>
      <c r="W8">
        <v>3794</v>
      </c>
      <c r="X8">
        <v>9</v>
      </c>
      <c r="Y8">
        <v>26444</v>
      </c>
      <c r="Z8">
        <v>97</v>
      </c>
      <c r="AA8">
        <v>473062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6751-1874-4A0C-8F11-D9941A797018}">
  <sheetPr codeName="Planilha5"/>
  <dimension ref="A1:AA8"/>
  <sheetViews>
    <sheetView workbookViewId="0">
      <selection activeCell="A8" sqref="A8"/>
    </sheetView>
  </sheetViews>
  <sheetFormatPr defaultRowHeight="14.25"/>
  <cols>
    <col min="1" max="1" width="24.75" bestFit="1" customWidth="1"/>
    <col min="2" max="2" width="30.75" bestFit="1" customWidth="1"/>
    <col min="3" max="3" width="18.375" bestFit="1" customWidth="1"/>
    <col min="4" max="4" width="30.75" bestFit="1" customWidth="1"/>
    <col min="5" max="5" width="18.375" bestFit="1" customWidth="1"/>
    <col min="6" max="6" width="30.75" bestFit="1" customWidth="1"/>
    <col min="7" max="7" width="18.375" bestFit="1" customWidth="1"/>
    <col min="8" max="8" width="30.75" bestFit="1" customWidth="1"/>
    <col min="9" max="9" width="18.375" bestFit="1" customWidth="1"/>
    <col min="10" max="10" width="30.75" bestFit="1" customWidth="1"/>
    <col min="11" max="11" width="18.375" bestFit="1" customWidth="1"/>
    <col min="12" max="12" width="30.75" bestFit="1" customWidth="1"/>
    <col min="13" max="13" width="18.375" bestFit="1" customWidth="1"/>
    <col min="14" max="14" width="30.75" bestFit="1" customWidth="1"/>
    <col min="15" max="15" width="18.375" bestFit="1" customWidth="1"/>
    <col min="16" max="16" width="30.75" bestFit="1" customWidth="1"/>
    <col min="17" max="17" width="18.375" bestFit="1" customWidth="1"/>
    <col min="18" max="18" width="30.75" bestFit="1" customWidth="1"/>
    <col min="19" max="19" width="18.375" bestFit="1" customWidth="1"/>
    <col min="20" max="20" width="30.75" bestFit="1" customWidth="1"/>
    <col min="21" max="21" width="18.375" bestFit="1" customWidth="1"/>
    <col min="22" max="22" width="30.75" bestFit="1" customWidth="1"/>
    <col min="23" max="23" width="18.375" bestFit="1" customWidth="1"/>
    <col min="24" max="24" width="30.75" bestFit="1" customWidth="1"/>
    <col min="25" max="25" width="18.375" bestFit="1" customWidth="1"/>
    <col min="26" max="26" width="35.875" bestFit="1" customWidth="1"/>
    <col min="27" max="27" width="23.5" bestFit="1" customWidth="1"/>
  </cols>
  <sheetData>
    <row r="1" spans="1:27">
      <c r="A1" s="23" t="s">
        <v>2</v>
      </c>
      <c r="B1" t="s">
        <v>654</v>
      </c>
    </row>
    <row r="3" spans="1:27">
      <c r="B3" s="23" t="s">
        <v>656</v>
      </c>
    </row>
    <row r="4" spans="1:27">
      <c r="B4" s="25" t="s">
        <v>652</v>
      </c>
      <c r="D4" s="25" t="s">
        <v>653</v>
      </c>
      <c r="F4" s="25" t="s">
        <v>641</v>
      </c>
      <c r="H4" s="25" t="s">
        <v>642</v>
      </c>
      <c r="J4" s="25" t="s">
        <v>643</v>
      </c>
      <c r="L4" s="25" t="s">
        <v>644</v>
      </c>
      <c r="N4" s="25" t="s">
        <v>645</v>
      </c>
      <c r="P4" s="25" t="s">
        <v>646</v>
      </c>
      <c r="R4" s="25" t="s">
        <v>647</v>
      </c>
      <c r="T4" s="25" t="s">
        <v>648</v>
      </c>
      <c r="V4" s="25" t="s">
        <v>649</v>
      </c>
      <c r="X4" s="25" t="s">
        <v>650</v>
      </c>
      <c r="Z4" s="25" t="s">
        <v>657</v>
      </c>
      <c r="AA4" s="25" t="s">
        <v>658</v>
      </c>
    </row>
    <row r="5" spans="1:27">
      <c r="A5" s="23" t="s">
        <v>638</v>
      </c>
      <c r="B5" t="s">
        <v>655</v>
      </c>
      <c r="C5" t="s">
        <v>637</v>
      </c>
      <c r="D5" t="s">
        <v>655</v>
      </c>
      <c r="E5" t="s">
        <v>637</v>
      </c>
      <c r="F5" t="s">
        <v>655</v>
      </c>
      <c r="G5" t="s">
        <v>637</v>
      </c>
      <c r="H5" t="s">
        <v>655</v>
      </c>
      <c r="I5" t="s">
        <v>637</v>
      </c>
      <c r="J5" t="s">
        <v>655</v>
      </c>
      <c r="K5" t="s">
        <v>637</v>
      </c>
      <c r="L5" t="s">
        <v>655</v>
      </c>
      <c r="M5" t="s">
        <v>637</v>
      </c>
      <c r="N5" t="s">
        <v>655</v>
      </c>
      <c r="O5" t="s">
        <v>637</v>
      </c>
      <c r="P5" t="s">
        <v>655</v>
      </c>
      <c r="Q5" t="s">
        <v>637</v>
      </c>
      <c r="R5" t="s">
        <v>655</v>
      </c>
      <c r="S5" t="s">
        <v>637</v>
      </c>
      <c r="T5" t="s">
        <v>655</v>
      </c>
      <c r="U5" t="s">
        <v>637</v>
      </c>
      <c r="V5" t="s">
        <v>655</v>
      </c>
      <c r="W5" t="s">
        <v>637</v>
      </c>
      <c r="X5" t="s">
        <v>655</v>
      </c>
      <c r="Y5" t="s">
        <v>637</v>
      </c>
    </row>
    <row r="6" spans="1:27">
      <c r="A6" s="24" t="s">
        <v>640</v>
      </c>
      <c r="F6">
        <v>1</v>
      </c>
      <c r="G6">
        <v>9182</v>
      </c>
      <c r="H6">
        <v>3</v>
      </c>
      <c r="I6">
        <v>18229</v>
      </c>
      <c r="J6">
        <v>13</v>
      </c>
      <c r="K6">
        <v>76675</v>
      </c>
      <c r="L6">
        <v>13</v>
      </c>
      <c r="M6">
        <v>78085</v>
      </c>
      <c r="N6">
        <v>23</v>
      </c>
      <c r="O6">
        <v>131172</v>
      </c>
      <c r="P6">
        <v>45</v>
      </c>
      <c r="Q6">
        <v>239900</v>
      </c>
      <c r="R6">
        <v>42</v>
      </c>
      <c r="S6">
        <v>215893</v>
      </c>
      <c r="T6">
        <v>50</v>
      </c>
      <c r="U6">
        <v>277120</v>
      </c>
      <c r="V6">
        <v>34</v>
      </c>
      <c r="W6">
        <v>180044</v>
      </c>
      <c r="X6">
        <v>45</v>
      </c>
      <c r="Y6">
        <v>218004</v>
      </c>
      <c r="Z6">
        <v>269</v>
      </c>
      <c r="AA6">
        <v>1444304</v>
      </c>
    </row>
    <row r="7" spans="1:27">
      <c r="A7" s="24" t="s">
        <v>651</v>
      </c>
      <c r="B7">
        <v>45</v>
      </c>
      <c r="C7">
        <v>198877</v>
      </c>
      <c r="D7">
        <v>37</v>
      </c>
      <c r="E7">
        <v>178635</v>
      </c>
      <c r="F7">
        <v>36</v>
      </c>
      <c r="G7">
        <v>198577</v>
      </c>
      <c r="H7">
        <v>31</v>
      </c>
      <c r="I7">
        <v>161645</v>
      </c>
      <c r="J7">
        <v>26</v>
      </c>
      <c r="K7">
        <v>136074</v>
      </c>
      <c r="L7">
        <v>19</v>
      </c>
      <c r="M7">
        <v>121517</v>
      </c>
      <c r="N7">
        <v>20</v>
      </c>
      <c r="O7">
        <v>98989</v>
      </c>
      <c r="P7">
        <v>9</v>
      </c>
      <c r="Q7">
        <v>44051</v>
      </c>
      <c r="R7">
        <v>7</v>
      </c>
      <c r="S7">
        <v>28137</v>
      </c>
      <c r="Z7">
        <v>230</v>
      </c>
      <c r="AA7">
        <v>1166502</v>
      </c>
    </row>
    <row r="8" spans="1:27">
      <c r="A8" s="24" t="s">
        <v>639</v>
      </c>
      <c r="B8">
        <v>45</v>
      </c>
      <c r="C8">
        <v>198877</v>
      </c>
      <c r="D8">
        <v>37</v>
      </c>
      <c r="E8">
        <v>178635</v>
      </c>
      <c r="F8">
        <v>37</v>
      </c>
      <c r="G8">
        <v>207759</v>
      </c>
      <c r="H8">
        <v>34</v>
      </c>
      <c r="I8">
        <v>179874</v>
      </c>
      <c r="J8">
        <v>39</v>
      </c>
      <c r="K8">
        <v>212749</v>
      </c>
      <c r="L8">
        <v>32</v>
      </c>
      <c r="M8">
        <v>199602</v>
      </c>
      <c r="N8">
        <v>43</v>
      </c>
      <c r="O8">
        <v>230161</v>
      </c>
      <c r="P8">
        <v>54</v>
      </c>
      <c r="Q8">
        <v>283951</v>
      </c>
      <c r="R8">
        <v>49</v>
      </c>
      <c r="S8">
        <v>244030</v>
      </c>
      <c r="T8">
        <v>50</v>
      </c>
      <c r="U8">
        <v>277120</v>
      </c>
      <c r="V8">
        <v>34</v>
      </c>
      <c r="W8">
        <v>180044</v>
      </c>
      <c r="X8">
        <v>45</v>
      </c>
      <c r="Y8">
        <v>218004</v>
      </c>
      <c r="Z8">
        <v>499</v>
      </c>
      <c r="AA8">
        <v>2610806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FBF1F-3536-4399-84DA-6380C39E2CF5}">
  <sheetPr codeName="Planilha6"/>
  <dimension ref="A1:B27"/>
  <sheetViews>
    <sheetView workbookViewId="0">
      <selection activeCell="A27" sqref="A27"/>
    </sheetView>
  </sheetViews>
  <sheetFormatPr defaultRowHeight="14.25"/>
  <cols>
    <col min="1" max="1" width="24.75" bestFit="1" customWidth="1"/>
    <col min="2" max="2" width="18.375" bestFit="1" customWidth="1"/>
  </cols>
  <sheetData>
    <row r="1" spans="1:2">
      <c r="A1" s="23" t="s">
        <v>2</v>
      </c>
      <c r="B1" t="s">
        <v>111</v>
      </c>
    </row>
    <row r="3" spans="1:2">
      <c r="A3" s="23" t="s">
        <v>638</v>
      </c>
      <c r="B3" t="s">
        <v>637</v>
      </c>
    </row>
    <row r="4" spans="1:2">
      <c r="A4" s="24" t="s">
        <v>29</v>
      </c>
      <c r="B4">
        <v>39632</v>
      </c>
    </row>
    <row r="5" spans="1:2">
      <c r="A5" s="24" t="s">
        <v>36</v>
      </c>
      <c r="B5">
        <v>54272</v>
      </c>
    </row>
    <row r="6" spans="1:2">
      <c r="A6" s="24" t="s">
        <v>44</v>
      </c>
      <c r="B6">
        <v>25162</v>
      </c>
    </row>
    <row r="7" spans="1:2">
      <c r="A7" s="24" t="s">
        <v>31</v>
      </c>
      <c r="B7">
        <v>57472</v>
      </c>
    </row>
    <row r="8" spans="1:2">
      <c r="A8" s="24" t="s">
        <v>53</v>
      </c>
      <c r="B8">
        <v>72943</v>
      </c>
    </row>
    <row r="9" spans="1:2">
      <c r="A9" s="24" t="s">
        <v>18</v>
      </c>
      <c r="B9">
        <v>102315</v>
      </c>
    </row>
    <row r="10" spans="1:2">
      <c r="A10" s="24" t="s">
        <v>58</v>
      </c>
      <c r="B10">
        <v>37906</v>
      </c>
    </row>
    <row r="11" spans="1:2">
      <c r="A11" s="24" t="s">
        <v>19</v>
      </c>
      <c r="B11">
        <v>86461</v>
      </c>
    </row>
    <row r="12" spans="1:2">
      <c r="A12" s="24" t="s">
        <v>40</v>
      </c>
      <c r="B12">
        <v>56303</v>
      </c>
    </row>
    <row r="13" spans="1:2">
      <c r="A13" s="24" t="s">
        <v>60</v>
      </c>
      <c r="B13">
        <v>57711</v>
      </c>
    </row>
    <row r="14" spans="1:2">
      <c r="A14" s="24" t="s">
        <v>22</v>
      </c>
      <c r="B14">
        <v>48125</v>
      </c>
    </row>
    <row r="15" spans="1:2">
      <c r="A15" s="24" t="s">
        <v>42</v>
      </c>
      <c r="B15">
        <v>57535</v>
      </c>
    </row>
    <row r="16" spans="1:2">
      <c r="A16" s="24" t="s">
        <v>30</v>
      </c>
      <c r="B16">
        <v>87952</v>
      </c>
    </row>
    <row r="17" spans="1:2">
      <c r="A17" s="24" t="s">
        <v>13</v>
      </c>
      <c r="B17">
        <v>39729</v>
      </c>
    </row>
    <row r="18" spans="1:2">
      <c r="A18" s="24" t="s">
        <v>55</v>
      </c>
      <c r="B18">
        <v>34324</v>
      </c>
    </row>
    <row r="19" spans="1:2">
      <c r="A19" s="24" t="s">
        <v>33</v>
      </c>
      <c r="B19">
        <v>34571</v>
      </c>
    </row>
    <row r="20" spans="1:2">
      <c r="A20" s="24" t="s">
        <v>51</v>
      </c>
      <c r="B20">
        <v>65562</v>
      </c>
    </row>
    <row r="21" spans="1:2">
      <c r="A21" s="24" t="s">
        <v>41</v>
      </c>
      <c r="B21">
        <v>52200</v>
      </c>
    </row>
    <row r="22" spans="1:2">
      <c r="A22" s="24" t="s">
        <v>20</v>
      </c>
      <c r="B22">
        <v>36013</v>
      </c>
    </row>
    <row r="23" spans="1:2">
      <c r="A23" s="24" t="s">
        <v>52</v>
      </c>
      <c r="B23">
        <v>53810</v>
      </c>
    </row>
    <row r="24" spans="1:2">
      <c r="A24" s="24" t="s">
        <v>25</v>
      </c>
      <c r="B24">
        <v>14334</v>
      </c>
    </row>
    <row r="25" spans="1:2">
      <c r="A25" s="24" t="s">
        <v>47</v>
      </c>
      <c r="B25">
        <v>51211</v>
      </c>
    </row>
    <row r="26" spans="1:2">
      <c r="A26" s="24" t="s">
        <v>59</v>
      </c>
      <c r="B26">
        <v>63500</v>
      </c>
    </row>
    <row r="27" spans="1:2">
      <c r="A27" s="24" t="s">
        <v>639</v>
      </c>
      <c r="B27">
        <v>1229043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2A469-6D38-4897-8587-C7305ACDDF10}">
  <sheetPr codeName="Planilha7"/>
  <dimension ref="A1:B21"/>
  <sheetViews>
    <sheetView workbookViewId="0">
      <selection activeCell="L9" sqref="L9"/>
    </sheetView>
  </sheetViews>
  <sheetFormatPr defaultRowHeight="14.25"/>
  <cols>
    <col min="1" max="1" width="24.75" bestFit="1" customWidth="1"/>
    <col min="2" max="2" width="18.375" bestFit="1" customWidth="1"/>
  </cols>
  <sheetData>
    <row r="1" spans="1:2">
      <c r="A1" s="23" t="s">
        <v>2</v>
      </c>
      <c r="B1" t="s">
        <v>110</v>
      </c>
    </row>
    <row r="3" spans="1:2">
      <c r="A3" s="23" t="s">
        <v>638</v>
      </c>
      <c r="B3" t="s">
        <v>637</v>
      </c>
    </row>
    <row r="4" spans="1:2">
      <c r="A4" s="24" t="s">
        <v>50</v>
      </c>
      <c r="B4">
        <v>31637</v>
      </c>
    </row>
    <row r="5" spans="1:2">
      <c r="A5" s="24" t="s">
        <v>23</v>
      </c>
      <c r="B5">
        <v>71043</v>
      </c>
    </row>
    <row r="6" spans="1:2">
      <c r="A6" s="24" t="s">
        <v>27</v>
      </c>
      <c r="B6">
        <v>69747</v>
      </c>
    </row>
    <row r="7" spans="1:2">
      <c r="A7" s="24" t="s">
        <v>32</v>
      </c>
      <c r="B7">
        <v>69489</v>
      </c>
    </row>
    <row r="8" spans="1:2">
      <c r="A8" s="24" t="s">
        <v>54</v>
      </c>
      <c r="B8">
        <v>50305</v>
      </c>
    </row>
    <row r="9" spans="1:2">
      <c r="A9" s="24" t="s">
        <v>56</v>
      </c>
      <c r="B9">
        <v>42646</v>
      </c>
    </row>
    <row r="10" spans="1:2">
      <c r="A10" s="24" t="s">
        <v>34</v>
      </c>
      <c r="B10">
        <v>44036</v>
      </c>
    </row>
    <row r="11" spans="1:2">
      <c r="A11" s="24" t="s">
        <v>38</v>
      </c>
      <c r="B11">
        <v>35554</v>
      </c>
    </row>
    <row r="12" spans="1:2">
      <c r="A12" s="24" t="s">
        <v>21</v>
      </c>
      <c r="B12">
        <v>70517</v>
      </c>
    </row>
    <row r="13" spans="1:2">
      <c r="A13" s="24" t="s">
        <v>45</v>
      </c>
      <c r="B13">
        <v>59151</v>
      </c>
    </row>
    <row r="14" spans="1:2">
      <c r="A14" s="24" t="s">
        <v>43</v>
      </c>
      <c r="B14">
        <v>61513</v>
      </c>
    </row>
    <row r="15" spans="1:2">
      <c r="A15" s="24" t="s">
        <v>14</v>
      </c>
      <c r="B15">
        <v>66075</v>
      </c>
    </row>
    <row r="16" spans="1:2">
      <c r="A16" s="24" t="s">
        <v>16</v>
      </c>
      <c r="B16">
        <v>50561</v>
      </c>
    </row>
    <row r="17" spans="1:2">
      <c r="A17" s="24" t="s">
        <v>17</v>
      </c>
      <c r="B17">
        <v>48215</v>
      </c>
    </row>
    <row r="18" spans="1:2">
      <c r="A18" s="24" t="s">
        <v>39</v>
      </c>
      <c r="B18">
        <v>29117</v>
      </c>
    </row>
    <row r="19" spans="1:2">
      <c r="A19" s="24" t="s">
        <v>28</v>
      </c>
      <c r="B19">
        <v>72762</v>
      </c>
    </row>
    <row r="20" spans="1:2">
      <c r="A20" s="24" t="s">
        <v>49</v>
      </c>
      <c r="B20">
        <v>36333</v>
      </c>
    </row>
    <row r="21" spans="1:2">
      <c r="A21" s="24" t="s">
        <v>639</v>
      </c>
      <c r="B21">
        <v>908701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A92C-CE63-4A73-B17D-4AA5AFC0DAC7}">
  <sheetPr codeName="Planilha9"/>
  <dimension ref="A1:P501"/>
  <sheetViews>
    <sheetView workbookViewId="0">
      <selection activeCell="P27" sqref="P27"/>
    </sheetView>
  </sheetViews>
  <sheetFormatPr defaultRowHeight="14.25"/>
  <cols>
    <col min="1" max="1" width="14.625" bestFit="1" customWidth="1"/>
    <col min="2" max="2" width="25.125" bestFit="1" customWidth="1"/>
    <col min="3" max="3" width="15.125" bestFit="1" customWidth="1"/>
    <col min="4" max="4" width="17.875" bestFit="1" customWidth="1"/>
    <col min="5" max="5" width="21" bestFit="1" customWidth="1"/>
    <col min="6" max="6" width="17.75" bestFit="1" customWidth="1"/>
    <col min="7" max="7" width="13.875" bestFit="1" customWidth="1"/>
    <col min="8" max="8" width="18.625" bestFit="1" customWidth="1"/>
    <col min="9" max="9" width="17.625" bestFit="1" customWidth="1"/>
    <col min="10" max="10" width="12" bestFit="1" customWidth="1"/>
    <col min="11" max="11" width="14" customWidth="1"/>
    <col min="12" max="12" width="13.125" bestFit="1" customWidth="1"/>
    <col min="13" max="13" width="12.5" customWidth="1"/>
    <col min="14" max="14" width="13.125" bestFit="1" customWidth="1"/>
    <col min="15" max="15" width="10.125" bestFit="1" customWidth="1"/>
    <col min="16" max="16" width="13.125" bestFit="1" customWidth="1"/>
  </cols>
  <sheetData>
    <row r="1" spans="1:16">
      <c r="A1" s="21" t="s">
        <v>131</v>
      </c>
      <c r="B1" s="19" t="s">
        <v>0</v>
      </c>
      <c r="C1" s="20" t="s">
        <v>1</v>
      </c>
      <c r="D1" s="20" t="s">
        <v>139</v>
      </c>
      <c r="E1" s="19" t="s">
        <v>2</v>
      </c>
      <c r="F1" s="19" t="s">
        <v>116</v>
      </c>
      <c r="G1" s="21" t="s">
        <v>3</v>
      </c>
      <c r="H1" s="21" t="s">
        <v>115</v>
      </c>
      <c r="I1" s="20" t="s">
        <v>4</v>
      </c>
      <c r="J1" s="21" t="s">
        <v>5</v>
      </c>
      <c r="K1" s="20" t="s">
        <v>6</v>
      </c>
      <c r="L1" s="21" t="s">
        <v>7</v>
      </c>
      <c r="M1" s="20" t="s">
        <v>8</v>
      </c>
      <c r="N1" s="21" t="s">
        <v>9</v>
      </c>
      <c r="O1" s="20" t="s">
        <v>10</v>
      </c>
      <c r="P1" s="21" t="s">
        <v>11</v>
      </c>
    </row>
    <row r="2" spans="1:16">
      <c r="A2" s="26">
        <v>999</v>
      </c>
      <c r="B2" s="27" t="s">
        <v>33</v>
      </c>
      <c r="C2" s="28"/>
      <c r="D2" s="28"/>
      <c r="E2" s="29" t="s">
        <v>110</v>
      </c>
      <c r="F2" s="29"/>
      <c r="G2" s="21"/>
      <c r="H2" s="26" t="s">
        <v>126</v>
      </c>
      <c r="I2" s="28"/>
      <c r="J2" s="21"/>
      <c r="K2" s="28"/>
      <c r="L2" s="21"/>
      <c r="M2" s="28"/>
      <c r="N2" s="21"/>
      <c r="O2" s="28"/>
      <c r="P2" s="21"/>
    </row>
    <row r="3" spans="1:16">
      <c r="A3" s="2">
        <v>44101109</v>
      </c>
      <c r="B3" s="1" t="s">
        <v>16</v>
      </c>
      <c r="C3" s="3">
        <v>45540</v>
      </c>
      <c r="D3" s="3" t="s">
        <v>65</v>
      </c>
      <c r="E3" s="2" t="s">
        <v>110</v>
      </c>
      <c r="F3" s="2" t="s">
        <v>125</v>
      </c>
      <c r="G3" s="8">
        <v>2457</v>
      </c>
      <c r="H3" s="9" t="s">
        <v>126</v>
      </c>
      <c r="I3" s="3">
        <f>IF($H3="A VISTA", C3 + CADASTROS!$B$3, IF($H3="1+1", C3 + CADASTROS!$B$4, IF(H3="1+2", C3 + CADASTROS!$B$5, IF(H3="1+3", C3 + CADASTROS!$B$6, ""))))</f>
        <v>45541</v>
      </c>
      <c r="J3" s="8">
        <f t="shared" ref="J3:J66" si="0">IF($H3="A VISTA", $G3, IF($H3="1+1", $G3/2, IF($H3="1+2", $G3/3, IF($H3="1+3", $G3/4, ""))))</f>
        <v>2457</v>
      </c>
      <c r="K3" s="3" t="str">
        <f>IF($L3&lt;&gt;"", IF($H3="A VISTA", "", IF($H3="1+1", $C3 + CADASTROS!$C$4, IF($H3="1+2", $C3 + CADASTROS!$C$5, IF($H3="1+3", $C3 + CADASTROS!$E$4, "")))), "")</f>
        <v/>
      </c>
      <c r="L3" s="8" t="str">
        <f t="shared" ref="L3:L66" si="1">IF($H3="A VISTA", "", IF($H3="1+1", $G3-$J3, IF($H3="1+2", $G3/3, IF($H3="1+3", ($G3-$J3)/3, ""))))</f>
        <v/>
      </c>
      <c r="M3" s="3" t="str">
        <f>IF($N3&lt;&gt;"", IF($H3="A VISTA", "", IF($H3="1+1", $C3 + CADASTROS!$C$4, IF($H3="1+2", $C3 + CADASTROS!$D$5, IF($H3="1+3", $C3 + CADASTROS!$E$4, "")))), "")</f>
        <v/>
      </c>
      <c r="N3" s="8" t="str">
        <f t="shared" ref="N3:N66" si="2">IF($H3="A VISTA","",IF($H3="1+2",$G3-$J3-$L3,IF($H3="1+3",($G3-$J3-$L3)/2,"")))</f>
        <v/>
      </c>
      <c r="O3" s="3" t="str">
        <f>IF($P3&lt;&gt;"", IF($H3="A VISTA", "", IF($H3="1+1", $C3 + CADASTROS!$C$4, IF($H3="1+2", $C3 + CADASTROS!$C$5, IF($H3="1+3", $C3 + CADASTROS!$E$4, "")))), "")</f>
        <v/>
      </c>
      <c r="P3" s="8" t="str">
        <f t="shared" ref="P3:P66" si="3">IF($H3="A VISTA", "", IF($H3="1+3", $G3-$J3-$L3-$N3, ""))</f>
        <v/>
      </c>
    </row>
    <row r="4" spans="1:16">
      <c r="A4" s="2" t="s">
        <v>140</v>
      </c>
      <c r="B4" s="1" t="s">
        <v>33</v>
      </c>
      <c r="C4" s="3">
        <v>45465</v>
      </c>
      <c r="D4" s="3" t="s">
        <v>82</v>
      </c>
      <c r="E4" s="2" t="s">
        <v>111</v>
      </c>
      <c r="F4" s="2" t="s">
        <v>119</v>
      </c>
      <c r="G4" s="8">
        <v>9594</v>
      </c>
      <c r="H4" s="9" t="s">
        <v>138</v>
      </c>
      <c r="I4" s="3">
        <f>IF($H4="A VISTA", C4 + CADASTROS!$B$3, IF($H4="1+1", C4 + CADASTROS!$B$4, IF(H4="1+2", C4 + CADASTROS!$B$5, IF(H4="1+3", C4 + CADASTROS!$B$6, ""))))</f>
        <v>45466</v>
      </c>
      <c r="J4" s="8">
        <f t="shared" si="0"/>
        <v>4797</v>
      </c>
      <c r="K4" s="3">
        <f>IF($L4&lt;&gt;"", IF($H4="A VISTA", "", IF($H4="1+1", $C4 + CADASTROS!$C$4, IF($H4="1+2", $C4 + CADASTROS!$C$5, IF($H4="1+3", $C4 + CADASTROS!$E$4, "")))), "")</f>
        <v>45495</v>
      </c>
      <c r="L4" s="8">
        <f t="shared" si="1"/>
        <v>4797</v>
      </c>
      <c r="M4" s="3" t="str">
        <f>IF($N4&lt;&gt;"", IF($H4="A VISTA", "", IF($H4="1+1", $C4 + CADASTROS!$C$4, IF($H4="1+2", $C4 + CADASTROS!$D$5, IF($H4="1+3", $C4 + CADASTROS!$E$4, "")))), "")</f>
        <v/>
      </c>
      <c r="N4" s="8" t="str">
        <f t="shared" si="2"/>
        <v/>
      </c>
      <c r="O4" s="3" t="str">
        <f>IF($P4&lt;&gt;"", IF($H4="A VISTA", "", IF($H4="1+1", $C4 + CADASTROS!$C$4, IF($H4="1+2", $C4 + CADASTROS!$C$5, IF($H4="1+3", $C4 + CADASTROS!$E$4, "")))), "")</f>
        <v/>
      </c>
      <c r="P4" s="8" t="str">
        <f t="shared" si="3"/>
        <v/>
      </c>
    </row>
    <row r="5" spans="1:16">
      <c r="A5" s="2" t="s">
        <v>141</v>
      </c>
      <c r="B5" s="1" t="s">
        <v>30</v>
      </c>
      <c r="C5" s="3">
        <v>45218</v>
      </c>
      <c r="D5" s="7" t="s">
        <v>79</v>
      </c>
      <c r="E5" s="2" t="s">
        <v>111</v>
      </c>
      <c r="F5" s="2" t="s">
        <v>118</v>
      </c>
      <c r="G5" s="8">
        <v>9086</v>
      </c>
      <c r="H5" s="9" t="s">
        <v>137</v>
      </c>
      <c r="I5" s="3">
        <f>IF($H5="A VISTA", C5 + CADASTROS!$B$3, IF($H5="1+1", C5 + CADASTROS!$B$4, IF(H5="1+2", C5 + CADASTROS!$B$5, IF(H5="1+3", C5 + CADASTROS!$B$6, ""))))</f>
        <v>45219</v>
      </c>
      <c r="J5" s="8">
        <f t="shared" si="0"/>
        <v>3028.6666666666665</v>
      </c>
      <c r="K5" s="3">
        <f>IF($L5&lt;&gt;"", IF($H5="A VISTA", "", IF($H5="1+1", $C5 + CADASTROS!$C$4, IF($H5="1+2", $C5 + CADASTROS!$C$5, IF($H5="1+3", $C5 + CADASTROS!$E$4, "")))), "")</f>
        <v>45248</v>
      </c>
      <c r="L5" s="8">
        <f t="shared" si="1"/>
        <v>3028.6666666666665</v>
      </c>
      <c r="M5" s="3">
        <f>IF($N5&lt;&gt;"", IF($H5="A VISTA", "", IF($H5="1+1", $C5 + CADASTROS!$C$4, IF($H5="1+2", $C5 + CADASTROS!$D$5, IF($H5="1+3", $C5 + CADASTROS!$E$4, "")))), "")</f>
        <v>45263</v>
      </c>
      <c r="N5" s="8">
        <f t="shared" si="2"/>
        <v>3028.6666666666674</v>
      </c>
      <c r="O5" s="3" t="str">
        <f>IF($P5&lt;&gt;"", IF($H5="A VISTA", "", IF($H5="1+1", $C5 + CADASTROS!$C$4, IF($H5="1+2", $C5 + CADASTROS!$C$5, IF($H5="1+3", $C5 + CADASTROS!$E$4, "")))), "")</f>
        <v/>
      </c>
      <c r="P5" s="8" t="str">
        <f t="shared" si="3"/>
        <v/>
      </c>
    </row>
    <row r="6" spans="1:16">
      <c r="A6" s="2" t="s">
        <v>142</v>
      </c>
      <c r="B6" s="1" t="s">
        <v>29</v>
      </c>
      <c r="C6" s="3">
        <v>45068</v>
      </c>
      <c r="D6" s="7" t="s">
        <v>78</v>
      </c>
      <c r="E6" s="2" t="s">
        <v>111</v>
      </c>
      <c r="F6" s="2" t="s">
        <v>121</v>
      </c>
      <c r="G6" s="8">
        <v>9199</v>
      </c>
      <c r="H6" s="9" t="s">
        <v>137</v>
      </c>
      <c r="I6" s="3">
        <f>IF($H6="A VISTA", C6 + CADASTROS!$B$3, IF($H6="1+1", C6 + CADASTROS!$B$4, IF(H6="1+2", C6 + CADASTROS!$B$5, IF(H6="1+3", C6 + CADASTROS!$B$6, ""))))</f>
        <v>45069</v>
      </c>
      <c r="J6" s="8">
        <f t="shared" si="0"/>
        <v>3066.3333333333335</v>
      </c>
      <c r="K6" s="3">
        <f>IF($L6&lt;&gt;"", IF($H6="A VISTA", "", IF($H6="1+1", $C6 + CADASTROS!$C$4, IF($H6="1+2", $C6 + CADASTROS!$C$5, IF($H6="1+3", $C6 + CADASTROS!$E$4, "")))), "")</f>
        <v>45098</v>
      </c>
      <c r="L6" s="8">
        <f t="shared" si="1"/>
        <v>3066.3333333333335</v>
      </c>
      <c r="M6" s="3">
        <f>IF($N6&lt;&gt;"", IF($H6="A VISTA", "", IF($H6="1+1", $C6 + CADASTROS!$C$4, IF($H6="1+2", $C6 + CADASTROS!$D$5, IF($H6="1+3", $C6 + CADASTROS!$E$4, "")))), "")</f>
        <v>45113</v>
      </c>
      <c r="N6" s="8">
        <f t="shared" si="2"/>
        <v>3066.3333333333326</v>
      </c>
      <c r="O6" s="3" t="str">
        <f>IF($P6&lt;&gt;"", IF($H6="A VISTA", "", IF($H6="1+1", $C6 + CADASTROS!$C$4, IF($H6="1+2", $C6 + CADASTROS!$C$5, IF($H6="1+3", $C6 + CADASTROS!$E$4, "")))), "")</f>
        <v/>
      </c>
      <c r="P6" s="8" t="str">
        <f t="shared" si="3"/>
        <v/>
      </c>
    </row>
    <row r="7" spans="1:16">
      <c r="A7" s="2" t="s">
        <v>143</v>
      </c>
      <c r="B7" s="1" t="s">
        <v>20</v>
      </c>
      <c r="C7" s="3">
        <v>45346</v>
      </c>
      <c r="D7" s="7" t="s">
        <v>69</v>
      </c>
      <c r="E7" s="2" t="s">
        <v>111</v>
      </c>
      <c r="F7" s="2" t="s">
        <v>117</v>
      </c>
      <c r="G7" s="8">
        <v>8090</v>
      </c>
      <c r="H7" s="9" t="s">
        <v>136</v>
      </c>
      <c r="I7" s="3">
        <f>IF($H7="A VISTA", C7 + CADASTROS!$B$3, IF($H7="1+1", C7 + CADASTROS!$B$4, IF(H7="1+2", C7 + CADASTROS!$B$5, IF(H7="1+3", C7 + CADASTROS!$B$6, ""))))</f>
        <v>45347</v>
      </c>
      <c r="J7" s="8">
        <f t="shared" si="0"/>
        <v>2022.5</v>
      </c>
      <c r="K7" s="3">
        <f>IF($L7&lt;&gt;"", IF($H7="A VISTA", "", IF($H7="1+1", $C7 + CADASTROS!$C$4, IF($H7="1+2", $C7 + CADASTROS!$C$5, IF($H7="1+3", $C7 + CADASTROS!$E$4, "")))), "")</f>
        <v>45346</v>
      </c>
      <c r="L7" s="8">
        <f t="shared" si="1"/>
        <v>2022.5</v>
      </c>
      <c r="M7" s="3">
        <f>IF($N7&lt;&gt;"", IF($H7="A VISTA", "", IF($H7="1+1", $C7 + CADASTROS!$C$4, IF($H7="1+2", $C7 + CADASTROS!$D$5, IF($H7="1+3", $C7 + CADASTROS!$E$4, "")))), "")</f>
        <v>45346</v>
      </c>
      <c r="N7" s="8">
        <f t="shared" si="2"/>
        <v>2022.5</v>
      </c>
      <c r="O7" s="3">
        <f>IF($P7&lt;&gt;"", IF($H7="A VISTA", "", IF($H7="1+1", $C7 + CADASTROS!$C$4, IF($H7="1+2", $C7 + CADASTROS!$C$5, IF($H7="1+3", $C7 + CADASTROS!$E$4, "")))), "")</f>
        <v>45346</v>
      </c>
      <c r="P7" s="8">
        <f t="shared" si="3"/>
        <v>2022.5</v>
      </c>
    </row>
    <row r="8" spans="1:16">
      <c r="A8" s="2" t="s">
        <v>144</v>
      </c>
      <c r="B8" s="1" t="s">
        <v>15</v>
      </c>
      <c r="C8" s="3">
        <v>45170</v>
      </c>
      <c r="D8" s="7" t="s">
        <v>64</v>
      </c>
      <c r="E8" s="2" t="s">
        <v>112</v>
      </c>
      <c r="F8" s="2" t="s">
        <v>123</v>
      </c>
      <c r="G8" s="8">
        <v>1396</v>
      </c>
      <c r="H8" s="9" t="s">
        <v>126</v>
      </c>
      <c r="I8" s="3">
        <f>IF($H8="A VISTA", C8 + CADASTROS!$B$3, IF($H8="1+1", C8 + CADASTROS!$B$4, IF(H8="1+2", C8 + CADASTROS!$B$5, IF(H8="1+3", C8 + CADASTROS!$B$6, ""))))</f>
        <v>45171</v>
      </c>
      <c r="J8" s="8">
        <f t="shared" si="0"/>
        <v>1396</v>
      </c>
      <c r="K8" s="3" t="str">
        <f>IF($L8&lt;&gt;"", IF($H8="A VISTA", "", IF($H8="1+1", $C8 + CADASTROS!$C$4, IF($H8="1+2", $C8 + CADASTROS!$C$5, IF($H8="1+3", $C8 + CADASTROS!$E$4, "")))), "")</f>
        <v/>
      </c>
      <c r="L8" s="8" t="str">
        <f t="shared" si="1"/>
        <v/>
      </c>
      <c r="M8" s="3" t="str">
        <f>IF($N8&lt;&gt;"", IF($H8="A VISTA", "", IF($H8="1+1", $C8 + CADASTROS!$C$4, IF($H8="1+2", $C8 + CADASTROS!$D$5, IF($H8="1+3", $C8 + CADASTROS!$E$4, "")))), "")</f>
        <v/>
      </c>
      <c r="N8" s="8" t="str">
        <f t="shared" si="2"/>
        <v/>
      </c>
      <c r="O8" s="3" t="str">
        <f>IF($P8&lt;&gt;"", IF($H8="A VISTA", "", IF($H8="1+1", $C8 + CADASTROS!$C$4, IF($H8="1+2", $C8 + CADASTROS!$C$5, IF($H8="1+3", $C8 + CADASTROS!$E$4, "")))), "")</f>
        <v/>
      </c>
      <c r="P8" s="8" t="str">
        <f t="shared" si="3"/>
        <v/>
      </c>
    </row>
    <row r="9" spans="1:16">
      <c r="A9" s="2" t="s">
        <v>145</v>
      </c>
      <c r="B9" s="1" t="s">
        <v>16</v>
      </c>
      <c r="C9" s="3">
        <v>45444</v>
      </c>
      <c r="D9" s="7" t="s">
        <v>65</v>
      </c>
      <c r="E9" s="2" t="s">
        <v>110</v>
      </c>
      <c r="F9" s="2" t="s">
        <v>125</v>
      </c>
      <c r="G9" s="8">
        <v>6710</v>
      </c>
      <c r="H9" s="9" t="s">
        <v>136</v>
      </c>
      <c r="I9" s="3">
        <f>IF($H9="A VISTA", C9 + CADASTROS!$B$3, IF($H9="1+1", C9 + CADASTROS!$B$4, IF(H9="1+2", C9 + CADASTROS!$B$5, IF(H9="1+3", C9 + CADASTROS!$B$6, ""))))</f>
        <v>45445</v>
      </c>
      <c r="J9" s="8">
        <f t="shared" si="0"/>
        <v>1677.5</v>
      </c>
      <c r="K9" s="3">
        <f>IF($L9&lt;&gt;"", IF($H9="A VISTA", "", IF($H9="1+1", $C9 + CADASTROS!$C$4, IF($H9="1+2", $C9 + CADASTROS!$C$5, IF($H9="1+3", $C9 + CADASTROS!$C$6, "")))), "")</f>
        <v>45474</v>
      </c>
      <c r="L9" s="8">
        <f t="shared" si="1"/>
        <v>1677.5</v>
      </c>
      <c r="M9" s="3">
        <f>IF($N9&lt;&gt;"", IF($H9="A VISTA", "", IF($H9="1+1", $C9 + CADASTROS!$C$4, IF($H9="1+2", $C9 + CADASTROS!$D$5, IF($H9="1+3", $C9 + CADASTROS!$D$6, "")))), "")</f>
        <v>45489</v>
      </c>
      <c r="N9" s="8">
        <f t="shared" si="2"/>
        <v>1677.5</v>
      </c>
      <c r="O9" s="3">
        <f>IF($P9&lt;&gt;"", IF($H9="A VISTA", "", IF($H9="1+1", $C9 + CADASTROS!$C$4, IF($H9="1+2", $C9 + CADASTROS!$C$5, IF($H9="1+3", $C9 + CADASTROS!$E$6, "")))), "")</f>
        <v>45504</v>
      </c>
      <c r="P9" s="8">
        <f t="shared" si="3"/>
        <v>1677.5</v>
      </c>
    </row>
    <row r="10" spans="1:16">
      <c r="A10" s="2" t="s">
        <v>146</v>
      </c>
      <c r="B10" s="1" t="s">
        <v>49</v>
      </c>
      <c r="C10" s="3">
        <v>45215</v>
      </c>
      <c r="D10" s="7" t="s">
        <v>98</v>
      </c>
      <c r="E10" s="2" t="s">
        <v>110</v>
      </c>
      <c r="F10" s="2" t="s">
        <v>125</v>
      </c>
      <c r="G10" s="8">
        <v>2984</v>
      </c>
      <c r="H10" s="9" t="s">
        <v>136</v>
      </c>
      <c r="I10" s="3">
        <f>IF($H10="A VISTA", C10 + CADASTROS!$B$3, IF($H10="1+1", C10 + CADASTROS!$B$4, IF(H10="1+2", C10 + CADASTROS!$B$5, IF(H10="1+3", C10 + CADASTROS!$B$6, ""))))</f>
        <v>45216</v>
      </c>
      <c r="J10" s="8">
        <f t="shared" si="0"/>
        <v>746</v>
      </c>
      <c r="K10" s="3">
        <f>IF($L10&lt;&gt;"", IF($H10="A VISTA", "", IF($H10="1+1", $C10 + CADASTROS!$C$4, IF($H10="1+2", $C10 + CADASTROS!$C$5, IF($H10="1+3", $C10 + CADASTROS!$E$4, "")))), "")</f>
        <v>45215</v>
      </c>
      <c r="L10" s="8">
        <f t="shared" si="1"/>
        <v>746</v>
      </c>
      <c r="M10" s="3">
        <f>IF($N10&lt;&gt;"", IF($H10="A VISTA", "", IF($H10="1+1", $C10 + CADASTROS!$C$4, IF($H10="1+2", $C10 + CADASTROS!$D$5, IF($H10="1+3", $C10 + CADASTROS!$D$6, "")))), "")</f>
        <v>45260</v>
      </c>
      <c r="N10" s="8">
        <f t="shared" si="2"/>
        <v>746</v>
      </c>
      <c r="O10" s="3">
        <f>IF($P10&lt;&gt;"", IF($H10="A VISTA", "", IF($H10="1+1", $C10 + CADASTROS!$C$4, IF($H10="1+2", $C10 + CADASTROS!$C$5, IF($H10="1+3", $C10 + CADASTROS!$E$6, "")))), "")</f>
        <v>45275</v>
      </c>
      <c r="P10" s="8">
        <f t="shared" si="3"/>
        <v>746</v>
      </c>
    </row>
    <row r="11" spans="1:16">
      <c r="A11" s="2" t="s">
        <v>147</v>
      </c>
      <c r="B11" s="1" t="s">
        <v>18</v>
      </c>
      <c r="C11" s="3">
        <v>45180</v>
      </c>
      <c r="D11" s="7" t="s">
        <v>67</v>
      </c>
      <c r="E11" s="2" t="s">
        <v>111</v>
      </c>
      <c r="F11" s="2" t="s">
        <v>121</v>
      </c>
      <c r="G11" s="8">
        <v>5644</v>
      </c>
      <c r="H11" s="9" t="s">
        <v>138</v>
      </c>
      <c r="I11" s="3">
        <f>IF($H11="A VISTA", C11 + CADASTROS!$B$3, IF($H11="1+1", C11 + CADASTROS!$B$4, IF(H11="1+2", C11 + CADASTROS!$B$5, IF(H11="1+3", C11 + CADASTROS!$B$6, ""))))</f>
        <v>45181</v>
      </c>
      <c r="J11" s="8">
        <f t="shared" si="0"/>
        <v>2822</v>
      </c>
      <c r="K11" s="3">
        <f>IF($L11&lt;&gt;"", IF($H11="A VISTA", "", IF($H11="1+1", $C11 + CADASTROS!$C$4, IF($H11="1+2", $C11 + CADASTROS!$C$5, IF($H11="1+3", $C11 + CADASTROS!$E$4, "")))), "")</f>
        <v>45210</v>
      </c>
      <c r="L11" s="8">
        <f t="shared" si="1"/>
        <v>2822</v>
      </c>
      <c r="M11" s="3" t="str">
        <f>IF($N11&lt;&gt;"", IF($H11="A VISTA", "", IF($H11="1+1", $C11 + CADASTROS!$C$4, IF($H11="1+2", $C11 + CADASTROS!$D$5, IF($H11="1+3", $C11 + CADASTROS!$D$6, "")))), "")</f>
        <v/>
      </c>
      <c r="N11" s="8" t="str">
        <f t="shared" si="2"/>
        <v/>
      </c>
      <c r="O11" s="3" t="str">
        <f>IF($P11&lt;&gt;"", IF($H11="A VISTA", "", IF($H11="1+1", $C11 + CADASTROS!$C$4, IF($H11="1+2", $C11 + CADASTROS!$C$5, IF($H11="1+3", $C11 + CADASTROS!$E$6, "")))), "")</f>
        <v/>
      </c>
      <c r="P11" s="8" t="str">
        <f t="shared" si="3"/>
        <v/>
      </c>
    </row>
    <row r="12" spans="1:16">
      <c r="A12" s="2" t="s">
        <v>148</v>
      </c>
      <c r="B12" s="1" t="s">
        <v>18</v>
      </c>
      <c r="C12" s="3">
        <v>45128</v>
      </c>
      <c r="D12" s="7" t="s">
        <v>67</v>
      </c>
      <c r="E12" s="2" t="s">
        <v>111</v>
      </c>
      <c r="F12" s="2" t="s">
        <v>121</v>
      </c>
      <c r="G12" s="8">
        <v>5862</v>
      </c>
      <c r="H12" s="9" t="s">
        <v>136</v>
      </c>
      <c r="I12" s="3">
        <f>IF($H12="A VISTA", C12 + CADASTROS!$B$3, IF($H12="1+1", C12 + CADASTROS!$B$4, IF(H12="1+2", C12 + CADASTROS!$B$5, IF(H12="1+3", C12 + CADASTROS!$B$6, ""))))</f>
        <v>45129</v>
      </c>
      <c r="J12" s="8">
        <f t="shared" si="0"/>
        <v>1465.5</v>
      </c>
      <c r="K12" s="3">
        <f>IF($L12&lt;&gt;"", IF($H12="A VISTA", "", IF($H12="1+1", $C12 + CADASTROS!$C$4, IF($H12="1+2", $C12 + CADASTROS!$C$5, IF($H12="1+3", $C12 + CADASTROS!$E$4, "")))), "")</f>
        <v>45128</v>
      </c>
      <c r="L12" s="8">
        <f t="shared" si="1"/>
        <v>1465.5</v>
      </c>
      <c r="M12" s="3">
        <f>IF($N12&lt;&gt;"", IF($H12="A VISTA", "", IF($H12="1+1", $C12 + CADASTROS!$C$4, IF($H12="1+2", $C12 + CADASTROS!$D$5, IF($H12="1+3", $C12 + CADASTROS!$D$6, "")))), "")</f>
        <v>45173</v>
      </c>
      <c r="N12" s="8">
        <f t="shared" si="2"/>
        <v>1465.5</v>
      </c>
      <c r="O12" s="3">
        <f>IF($P12&lt;&gt;"", IF($H12="A VISTA", "", IF($H12="1+1", $C12 + CADASTROS!$C$4, IF($H12="1+2", $C12 + CADASTROS!$C$5, IF($H12="1+3", $C12 + CADASTROS!$E$6, "")))), "")</f>
        <v>45188</v>
      </c>
      <c r="P12" s="8">
        <f t="shared" si="3"/>
        <v>1465.5</v>
      </c>
    </row>
    <row r="13" spans="1:16">
      <c r="A13" s="2" t="s">
        <v>149</v>
      </c>
      <c r="B13" s="1" t="s">
        <v>18</v>
      </c>
      <c r="C13" s="3">
        <v>45343</v>
      </c>
      <c r="D13" s="7" t="s">
        <v>67</v>
      </c>
      <c r="E13" s="2" t="s">
        <v>111</v>
      </c>
      <c r="F13" s="2" t="s">
        <v>121</v>
      </c>
      <c r="G13" s="8">
        <v>762</v>
      </c>
      <c r="H13" s="9" t="s">
        <v>136</v>
      </c>
      <c r="I13" s="3">
        <f>IF($H13="A VISTA", C13 + CADASTROS!$B$3, IF($H13="1+1", C13 + CADASTROS!$B$4, IF(H13="1+2", C13 + CADASTROS!$B$5, IF(H13="1+3", C13 + CADASTROS!$B$6, ""))))</f>
        <v>45344</v>
      </c>
      <c r="J13" s="8">
        <f t="shared" si="0"/>
        <v>190.5</v>
      </c>
      <c r="K13" s="3">
        <f>IF($L13&lt;&gt;"", IF($H13="A VISTA", "", IF($H13="1+1", $C13 + CADASTROS!$C$4, IF($H13="1+2", $C13 + CADASTROS!$C$5, IF($H13="1+3", $C13 + CADASTROS!$E$4, "")))), "")</f>
        <v>45343</v>
      </c>
      <c r="L13" s="8">
        <f t="shared" si="1"/>
        <v>190.5</v>
      </c>
      <c r="M13" s="3">
        <f>IF($N13&lt;&gt;"", IF($H13="A VISTA", "", IF($H13="1+1", $C13 + CADASTROS!$C$4, IF($H13="1+2", $C13 + CADASTROS!$D$5, IF($H13="1+3", $C13 + CADASTROS!$D$6, "")))), "")</f>
        <v>45388</v>
      </c>
      <c r="N13" s="8">
        <f t="shared" si="2"/>
        <v>190.5</v>
      </c>
      <c r="O13" s="3">
        <f>IF($P13&lt;&gt;"", IF($H13="A VISTA", "", IF($H13="1+1", $C13 + CADASTROS!$C$4, IF($H13="1+2", $C13 + CADASTROS!$C$5, IF($H13="1+3", $C13 + CADASTROS!$E$6, "")))), "")</f>
        <v>45403</v>
      </c>
      <c r="P13" s="8">
        <f t="shared" si="3"/>
        <v>190.5</v>
      </c>
    </row>
    <row r="14" spans="1:16">
      <c r="A14" s="2" t="s">
        <v>150</v>
      </c>
      <c r="B14" s="1" t="s">
        <v>35</v>
      </c>
      <c r="C14" s="3">
        <v>45149</v>
      </c>
      <c r="D14" s="7" t="s">
        <v>84</v>
      </c>
      <c r="E14" s="2" t="s">
        <v>112</v>
      </c>
      <c r="F14" s="2" t="s">
        <v>122</v>
      </c>
      <c r="G14" s="8">
        <v>626</v>
      </c>
      <c r="H14" s="9" t="s">
        <v>126</v>
      </c>
      <c r="I14" s="3">
        <f>IF($H14="A VISTA", C14 + CADASTROS!$B$3, IF($H14="1+1", C14 + CADASTROS!$B$4, IF(H14="1+2", C14 + CADASTROS!$B$5, IF(H14="1+3", C14 + CADASTROS!$B$6, ""))))</f>
        <v>45150</v>
      </c>
      <c r="J14" s="8">
        <f t="shared" si="0"/>
        <v>626</v>
      </c>
      <c r="K14" s="3" t="str">
        <f>IF($L14&lt;&gt;"", IF($H14="A VISTA", "", IF($H14="1+1", $C14 + CADASTROS!$C$4, IF($H14="1+2", $C14 + CADASTROS!$C$5, IF($H14="1+3", $C14 + CADASTROS!$E$4, "")))), "")</f>
        <v/>
      </c>
      <c r="L14" s="8" t="str">
        <f t="shared" si="1"/>
        <v/>
      </c>
      <c r="M14" s="3" t="str">
        <f>IF($N14&lt;&gt;"", IF($H14="A VISTA", "", IF($H14="1+1", $C14 + CADASTROS!$C$4, IF($H14="1+2", $C14 + CADASTROS!$D$5, IF($H14="1+3", $C14 + CADASTROS!$D$6, "")))), "")</f>
        <v/>
      </c>
      <c r="N14" s="8" t="str">
        <f t="shared" si="2"/>
        <v/>
      </c>
      <c r="O14" s="3" t="str">
        <f>IF($P14&lt;&gt;"", IF($H14="A VISTA", "", IF($H14="1+1", $C14 + CADASTROS!$C$4, IF($H14="1+2", $C14 + CADASTROS!$C$5, IF($H14="1+3", $C14 + CADASTROS!$E$6, "")))), "")</f>
        <v/>
      </c>
      <c r="P14" s="8" t="str">
        <f t="shared" si="3"/>
        <v/>
      </c>
    </row>
    <row r="15" spans="1:16">
      <c r="A15" s="2" t="s">
        <v>151</v>
      </c>
      <c r="B15" s="1" t="s">
        <v>18</v>
      </c>
      <c r="C15" s="3">
        <v>45217</v>
      </c>
      <c r="D15" s="7" t="s">
        <v>67</v>
      </c>
      <c r="E15" s="2" t="s">
        <v>111</v>
      </c>
      <c r="F15" s="2" t="s">
        <v>121</v>
      </c>
      <c r="G15" s="8">
        <v>5530</v>
      </c>
      <c r="H15" s="9" t="s">
        <v>136</v>
      </c>
      <c r="I15" s="3">
        <f>IF($H15="A VISTA", C15 + CADASTROS!$B$3, IF($H15="1+1", C15 + CADASTROS!$B$4, IF(H15="1+2", C15 + CADASTROS!$B$5, IF(H15="1+3", C15 + CADASTROS!$B$6, ""))))</f>
        <v>45218</v>
      </c>
      <c r="J15" s="8">
        <f t="shared" si="0"/>
        <v>1382.5</v>
      </c>
      <c r="K15" s="3">
        <f>IF($L15&lt;&gt;"", IF($H15="A VISTA", "", IF($H15="1+1", $C15 + CADASTROS!$C$4, IF($H15="1+2", $C15 + CADASTROS!$C$5, IF($H15="1+3", $C15 + CADASTROS!$E$4, "")))), "")</f>
        <v>45217</v>
      </c>
      <c r="L15" s="8">
        <f t="shared" si="1"/>
        <v>1382.5</v>
      </c>
      <c r="M15" s="3">
        <f>IF($N15&lt;&gt;"", IF($H15="A VISTA", "", IF($H15="1+1", $C15 + CADASTROS!$C$4, IF($H15="1+2", $C15 + CADASTROS!$D$5, IF($H15="1+3", $C15 + CADASTROS!$D$6, "")))), "")</f>
        <v>45262</v>
      </c>
      <c r="N15" s="8">
        <f t="shared" si="2"/>
        <v>1382.5</v>
      </c>
      <c r="O15" s="3">
        <f>IF($P15&lt;&gt;"", IF($H15="A VISTA", "", IF($H15="1+1", $C15 + CADASTROS!$C$4, IF($H15="1+2", $C15 + CADASTROS!$C$5, IF($H15="1+3", $C15 + CADASTROS!$E$6, "")))), "")</f>
        <v>45277</v>
      </c>
      <c r="P15" s="8">
        <f t="shared" si="3"/>
        <v>1382.5</v>
      </c>
    </row>
    <row r="16" spans="1:16">
      <c r="A16" s="2" t="s">
        <v>152</v>
      </c>
      <c r="B16" s="1" t="s">
        <v>44</v>
      </c>
      <c r="C16" s="3">
        <v>45101</v>
      </c>
      <c r="D16" s="7" t="s">
        <v>93</v>
      </c>
      <c r="E16" s="2" t="s">
        <v>111</v>
      </c>
      <c r="F16" s="2" t="s">
        <v>119</v>
      </c>
      <c r="G16" s="8">
        <v>3652</v>
      </c>
      <c r="H16" s="9" t="s">
        <v>136</v>
      </c>
      <c r="I16" s="3">
        <f>IF($H16="A VISTA", C16 + CADASTROS!$B$3, IF($H16="1+1", C16 + CADASTROS!$B$4, IF(H16="1+2", C16 + CADASTROS!$B$5, IF(H16="1+3", C16 + CADASTROS!$B$6, ""))))</f>
        <v>45102</v>
      </c>
      <c r="J16" s="8">
        <f t="shared" si="0"/>
        <v>913</v>
      </c>
      <c r="K16" s="3">
        <f>IF($L16&lt;&gt;"", IF($H16="A VISTA", "", IF($H16="1+1", $C16 + CADASTROS!$C$4, IF($H16="1+2", $C16 + CADASTROS!$C$5, IF($H16="1+3", $C16 + CADASTROS!$E$4, "")))), "")</f>
        <v>45101</v>
      </c>
      <c r="L16" s="8">
        <f t="shared" si="1"/>
        <v>913</v>
      </c>
      <c r="M16" s="3">
        <f>IF($N16&lt;&gt;"", IF($H16="A VISTA", "", IF($H16="1+1", $C16 + CADASTROS!$C$4, IF($H16="1+2", $C16 + CADASTROS!$D$5, IF($H16="1+3", $C16 + CADASTROS!$D$6, "")))), "")</f>
        <v>45146</v>
      </c>
      <c r="N16" s="8">
        <f t="shared" si="2"/>
        <v>913</v>
      </c>
      <c r="O16" s="3">
        <f>IF($P16&lt;&gt;"", IF($H16="A VISTA", "", IF($H16="1+1", $C16 + CADASTROS!$C$4, IF($H16="1+2", $C16 + CADASTROS!$C$5, IF($H16="1+3", $C16 + CADASTROS!$E$6, "")))), "")</f>
        <v>45161</v>
      </c>
      <c r="P16" s="8">
        <f t="shared" si="3"/>
        <v>913</v>
      </c>
    </row>
    <row r="17" spans="1:16">
      <c r="A17" s="2" t="s">
        <v>153</v>
      </c>
      <c r="B17" s="1" t="s">
        <v>23</v>
      </c>
      <c r="C17" s="3">
        <v>45376</v>
      </c>
      <c r="D17" s="7" t="s">
        <v>72</v>
      </c>
      <c r="E17" s="2" t="s">
        <v>110</v>
      </c>
      <c r="F17" s="2" t="s">
        <v>113</v>
      </c>
      <c r="G17" s="8">
        <v>8685</v>
      </c>
      <c r="H17" s="9" t="s">
        <v>137</v>
      </c>
      <c r="I17" s="3">
        <f>IF($H17="A VISTA", C17 + CADASTROS!$B$3, IF($H17="1+1", C17 + CADASTROS!$B$4, IF(H17="1+2", C17 + CADASTROS!$B$5, IF(H17="1+3", C17 + CADASTROS!$B$6, ""))))</f>
        <v>45377</v>
      </c>
      <c r="J17" s="8">
        <f t="shared" si="0"/>
        <v>2895</v>
      </c>
      <c r="K17" s="3">
        <f>IF($L17&lt;&gt;"", IF($H17="A VISTA", "", IF($H17="1+1", $C17 + CADASTROS!$C$4, IF($H17="1+2", $C17 + CADASTROS!$C$5, IF($H17="1+3", $C17 + CADASTROS!$E$4, "")))), "")</f>
        <v>45406</v>
      </c>
      <c r="L17" s="8">
        <f t="shared" si="1"/>
        <v>2895</v>
      </c>
      <c r="M17" s="3">
        <f>IF($N17&lt;&gt;"", IF($H17="A VISTA", "", IF($H17="1+1", $C17 + CADASTROS!$C$4, IF($H17="1+2", $C17 + CADASTROS!$D$5, IF($H17="1+3", $C17 + CADASTROS!$D$6, "")))), "")</f>
        <v>45421</v>
      </c>
      <c r="N17" s="8">
        <f t="shared" si="2"/>
        <v>2895</v>
      </c>
      <c r="O17" s="3" t="str">
        <f>IF($P17&lt;&gt;"", IF($H17="A VISTA", "", IF($H17="1+1", $C17 + CADASTROS!$C$4, IF($H17="1+2", $C17 + CADASTROS!$C$5, IF($H17="1+3", $C17 + CADASTROS!$E$6, "")))), "")</f>
        <v/>
      </c>
      <c r="P17" s="8" t="str">
        <f t="shared" si="3"/>
        <v/>
      </c>
    </row>
    <row r="18" spans="1:16">
      <c r="A18" s="2" t="s">
        <v>154</v>
      </c>
      <c r="B18" s="1" t="s">
        <v>53</v>
      </c>
      <c r="C18" s="3">
        <v>45211</v>
      </c>
      <c r="D18" s="7" t="s">
        <v>102</v>
      </c>
      <c r="E18" s="2" t="s">
        <v>111</v>
      </c>
      <c r="F18" s="2" t="s">
        <v>117</v>
      </c>
      <c r="G18" s="8">
        <v>8792</v>
      </c>
      <c r="H18" s="9" t="s">
        <v>137</v>
      </c>
      <c r="I18" s="3">
        <f>IF($H18="A VISTA", C18 + CADASTROS!$B$3, IF($H18="1+1", C18 + CADASTROS!$B$4, IF(H18="1+2", C18 + CADASTROS!$B$5, IF(H18="1+3", C18 + CADASTROS!$B$6, ""))))</f>
        <v>45212</v>
      </c>
      <c r="J18" s="8">
        <f t="shared" si="0"/>
        <v>2930.6666666666665</v>
      </c>
      <c r="K18" s="3">
        <f>IF($L18&lt;&gt;"", IF($H18="A VISTA", "", IF($H18="1+1", $C18 + CADASTROS!$C$4, IF($H18="1+2", $C18 + CADASTROS!$C$5, IF($H18="1+3", $C18 + CADASTROS!$E$4, "")))), "")</f>
        <v>45241</v>
      </c>
      <c r="L18" s="8">
        <f t="shared" si="1"/>
        <v>2930.6666666666665</v>
      </c>
      <c r="M18" s="3">
        <f>IF($N18&lt;&gt;"", IF($H18="A VISTA", "", IF($H18="1+1", $C18 + CADASTROS!$C$4, IF($H18="1+2", $C18 + CADASTROS!$D$5, IF($H18="1+3", $C18 + CADASTROS!$D$6, "")))), "")</f>
        <v>45256</v>
      </c>
      <c r="N18" s="8">
        <f t="shared" si="2"/>
        <v>2930.6666666666674</v>
      </c>
      <c r="O18" s="3" t="str">
        <f>IF($P18&lt;&gt;"", IF($H18="A VISTA", "", IF($H18="1+1", $C18 + CADASTROS!$C$4, IF($H18="1+2", $C18 + CADASTROS!$C$5, IF($H18="1+3", $C18 + CADASTROS!$E$6, "")))), "")</f>
        <v/>
      </c>
      <c r="P18" s="8" t="str">
        <f t="shared" si="3"/>
        <v/>
      </c>
    </row>
    <row r="19" spans="1:16">
      <c r="A19" s="2" t="s">
        <v>155</v>
      </c>
      <c r="B19" s="1" t="s">
        <v>40</v>
      </c>
      <c r="C19" s="3">
        <v>45268</v>
      </c>
      <c r="D19" s="7" t="s">
        <v>89</v>
      </c>
      <c r="E19" s="2" t="s">
        <v>111</v>
      </c>
      <c r="F19" s="2" t="s">
        <v>121</v>
      </c>
      <c r="G19" s="8">
        <v>9489</v>
      </c>
      <c r="H19" s="9" t="s">
        <v>126</v>
      </c>
      <c r="I19" s="3">
        <f>IF($H19="A VISTA", C19 + CADASTROS!$B$3, IF($H19="1+1", C19 + CADASTROS!$B$4, IF(H19="1+2", C19 + CADASTROS!$B$5, IF(H19="1+3", C19 + CADASTROS!$B$6, ""))))</f>
        <v>45269</v>
      </c>
      <c r="J19" s="8">
        <f t="shared" si="0"/>
        <v>9489</v>
      </c>
      <c r="K19" s="3" t="str">
        <f>IF($L19&lt;&gt;"", IF($H19="A VISTA", "", IF($H19="1+1", $C19 + CADASTROS!$C$4, IF($H19="1+2", $C19 + CADASTROS!$C$5, IF($H19="1+3", $C19 + CADASTROS!$E$4, "")))), "")</f>
        <v/>
      </c>
      <c r="L19" s="8" t="str">
        <f t="shared" si="1"/>
        <v/>
      </c>
      <c r="M19" s="3" t="str">
        <f>IF($N19&lt;&gt;"", IF($H19="A VISTA", "", IF($H19="1+1", $C19 + CADASTROS!$C$4, IF($H19="1+2", $C19 + CADASTROS!$D$5, IF($H19="1+3", $C19 + CADASTROS!$D$6, "")))), "")</f>
        <v/>
      </c>
      <c r="N19" s="8" t="str">
        <f t="shared" si="2"/>
        <v/>
      </c>
      <c r="O19" s="22"/>
      <c r="P19" s="8" t="str">
        <f t="shared" si="3"/>
        <v/>
      </c>
    </row>
    <row r="20" spans="1:16">
      <c r="A20" s="2" t="s">
        <v>156</v>
      </c>
      <c r="B20" s="1" t="s">
        <v>31</v>
      </c>
      <c r="C20" s="3">
        <v>45488</v>
      </c>
      <c r="D20" s="7" t="s">
        <v>80</v>
      </c>
      <c r="E20" s="2" t="s">
        <v>111</v>
      </c>
      <c r="F20" s="2" t="s">
        <v>117</v>
      </c>
      <c r="G20" s="8">
        <v>4460</v>
      </c>
      <c r="H20" s="9" t="s">
        <v>126</v>
      </c>
      <c r="I20" s="3">
        <f>IF($H20="A VISTA", C20 + CADASTROS!$B$3, IF($H20="1+1", C20 + CADASTROS!$B$4, IF(H20="1+2", C20 + CADASTROS!$B$5, IF(H20="1+3", C20 + CADASTROS!$B$6, ""))))</f>
        <v>45489</v>
      </c>
      <c r="J20" s="8">
        <f t="shared" si="0"/>
        <v>4460</v>
      </c>
      <c r="K20" s="3" t="str">
        <f>IF($L20&lt;&gt;"", IF($H20="A VISTA", "", IF($H20="1+1", $C20 + CADASTROS!$C$4, IF($H20="1+2", $C20 + CADASTROS!$C$5, IF($H20="1+3", $C20 + CADASTROS!$E$4, "")))), "")</f>
        <v/>
      </c>
      <c r="L20" s="8" t="str">
        <f t="shared" si="1"/>
        <v/>
      </c>
      <c r="M20" s="3" t="str">
        <f>IF($N20&lt;&gt;"", IF($H20="A VISTA", "", IF($H20="1+1", $C20 + CADASTROS!$C$4, IF($H20="1+2", $C20 + CADASTROS!$D$5, IF($H20="1+3", $C20 + CADASTROS!$D$6, "")))), "")</f>
        <v/>
      </c>
      <c r="N20" s="8" t="str">
        <f t="shared" si="2"/>
        <v/>
      </c>
      <c r="O20" s="22"/>
      <c r="P20" s="8" t="str">
        <f t="shared" si="3"/>
        <v/>
      </c>
    </row>
    <row r="21" spans="1:16">
      <c r="A21" s="2" t="s">
        <v>157</v>
      </c>
      <c r="B21" s="1" t="s">
        <v>47</v>
      </c>
      <c r="C21" s="3">
        <v>45212</v>
      </c>
      <c r="D21" s="7" t="s">
        <v>96</v>
      </c>
      <c r="E21" s="2" t="s">
        <v>111</v>
      </c>
      <c r="F21" s="2" t="s">
        <v>120</v>
      </c>
      <c r="G21" s="8">
        <v>8583</v>
      </c>
      <c r="H21" s="9" t="s">
        <v>136</v>
      </c>
      <c r="I21" s="3">
        <f>IF($H21="A VISTA", C21 + CADASTROS!$B$3, IF($H21="1+1", C21 + CADASTROS!$B$4, IF(H21="1+2", C21 + CADASTROS!$B$5, IF(H21="1+3", C21 + CADASTROS!$B$6, ""))))</f>
        <v>45213</v>
      </c>
      <c r="J21" s="8">
        <f t="shared" si="0"/>
        <v>2145.75</v>
      </c>
      <c r="K21" s="3">
        <f>IF($L21&lt;&gt;"", IF($H21="A VISTA", "", IF($H21="1+1", $C21 + CADASTROS!$C$4, IF($H21="1+2", $C21 + CADASTROS!$C$5, IF($H21="1+3", $C21 + CADASTROS!$E$4, "")))), "")</f>
        <v>45212</v>
      </c>
      <c r="L21" s="8">
        <f t="shared" si="1"/>
        <v>2145.75</v>
      </c>
      <c r="M21" s="3">
        <f>IF($N21&lt;&gt;"", IF($H21="A VISTA", "", IF($H21="1+1", $C21 + CADASTROS!$C$4, IF($H21="1+2", $C21 + CADASTROS!$D$5, IF($H21="1+3", $C21 + CADASTROS!$D$6, "")))), "")</f>
        <v>45257</v>
      </c>
      <c r="N21" s="8">
        <f t="shared" si="2"/>
        <v>2145.75</v>
      </c>
      <c r="O21" s="3">
        <f>IF($P21&lt;&gt;"", IF($H21="A VISTA", "", IF($H21="1+1", $C21 + CADASTROS!$C$4, IF($H21="1+2", $C21 + CADASTROS!$C$5, IF($H21="1+3", $C21 + CADASTROS!$E$6, "")))), "")</f>
        <v>45272</v>
      </c>
      <c r="P21" s="8">
        <f t="shared" si="3"/>
        <v>2145.75</v>
      </c>
    </row>
    <row r="22" spans="1:16">
      <c r="A22" s="2" t="s">
        <v>158</v>
      </c>
      <c r="B22" s="1" t="s">
        <v>48</v>
      </c>
      <c r="C22" s="3">
        <v>45291</v>
      </c>
      <c r="D22" s="7" t="s">
        <v>97</v>
      </c>
      <c r="E22" s="2" t="s">
        <v>112</v>
      </c>
      <c r="F22" s="2" t="s">
        <v>123</v>
      </c>
      <c r="G22" s="8">
        <v>1637</v>
      </c>
      <c r="H22" s="9" t="s">
        <v>126</v>
      </c>
      <c r="I22" s="3">
        <f>IF($H22="A VISTA", C22 + CADASTROS!$B$3, IF($H22="1+1", C22 + CADASTROS!$B$4, IF(H22="1+2", C22 + CADASTROS!$B$5, IF(H22="1+3", C22 + CADASTROS!$B$6, ""))))</f>
        <v>45292</v>
      </c>
      <c r="J22" s="8">
        <f t="shared" si="0"/>
        <v>1637</v>
      </c>
      <c r="K22" s="3" t="str">
        <f>IF($L22&lt;&gt;"", IF($H22="A VISTA", "", IF($H22="1+1", $C22 + CADASTROS!$C$4, IF($H22="1+2", $C22 + CADASTROS!$C$5, IF($H22="1+3", $C22 + CADASTROS!$E$4, "")))), "")</f>
        <v/>
      </c>
      <c r="L22" s="8" t="str">
        <f t="shared" si="1"/>
        <v/>
      </c>
      <c r="M22" s="3" t="str">
        <f>IF($N22&lt;&gt;"", IF($H22="A VISTA", "", IF($H22="1+1", $C22 + CADASTROS!$C$4, IF($H22="1+2", $C22 + CADASTROS!$D$5, IF($H22="1+3", $C22 + CADASTROS!$D$6, "")))), "")</f>
        <v/>
      </c>
      <c r="N22" s="8" t="str">
        <f t="shared" si="2"/>
        <v/>
      </c>
      <c r="O22" s="22"/>
      <c r="P22" s="8" t="str">
        <f t="shared" si="3"/>
        <v/>
      </c>
    </row>
    <row r="23" spans="1:16">
      <c r="A23" s="2" t="s">
        <v>159</v>
      </c>
      <c r="B23" s="1" t="s">
        <v>27</v>
      </c>
      <c r="C23" s="3">
        <v>45169</v>
      </c>
      <c r="D23" s="7" t="s">
        <v>76</v>
      </c>
      <c r="E23" s="2" t="s">
        <v>110</v>
      </c>
      <c r="F23" s="2" t="s">
        <v>125</v>
      </c>
      <c r="G23" s="8">
        <v>9068</v>
      </c>
      <c r="H23" s="9" t="s">
        <v>137</v>
      </c>
      <c r="I23" s="3">
        <f>IF($H23="A VISTA", C23 + CADASTROS!$B$3, IF($H23="1+1", C23 + CADASTROS!$B$4, IF(H23="1+2", C23 + CADASTROS!$B$5, IF(H23="1+3", C23 + CADASTROS!$B$6, ""))))</f>
        <v>45170</v>
      </c>
      <c r="J23" s="8">
        <f t="shared" si="0"/>
        <v>3022.6666666666665</v>
      </c>
      <c r="K23" s="3">
        <f>IF($L23&lt;&gt;"", IF($H23="A VISTA", "", IF($H23="1+1", $C23 + CADASTROS!$C$4, IF($H23="1+2", $C23 + CADASTROS!$C$5, IF($H23="1+3", $C23 + CADASTROS!$E$4, "")))), "")</f>
        <v>45199</v>
      </c>
      <c r="L23" s="8">
        <f t="shared" si="1"/>
        <v>3022.6666666666665</v>
      </c>
      <c r="M23" s="3">
        <f>IF($N23&lt;&gt;"", IF($H23="A VISTA", "", IF($H23="1+1", $C23 + CADASTROS!$C$4, IF($H23="1+2", $C23 + CADASTROS!$D$5, IF($H23="1+3", $C23 + CADASTROS!$D$6, "")))), "")</f>
        <v>45214</v>
      </c>
      <c r="N23" s="8">
        <f t="shared" si="2"/>
        <v>3022.6666666666674</v>
      </c>
      <c r="O23" s="22"/>
      <c r="P23" s="8" t="str">
        <f t="shared" si="3"/>
        <v/>
      </c>
    </row>
    <row r="24" spans="1:16">
      <c r="A24" s="2" t="s">
        <v>160</v>
      </c>
      <c r="B24" s="1" t="s">
        <v>51</v>
      </c>
      <c r="C24" s="3">
        <v>45210</v>
      </c>
      <c r="D24" s="7" t="s">
        <v>100</v>
      </c>
      <c r="E24" s="2" t="s">
        <v>111</v>
      </c>
      <c r="F24" s="2" t="s">
        <v>121</v>
      </c>
      <c r="G24" s="8">
        <v>8111</v>
      </c>
      <c r="H24" s="9" t="s">
        <v>126</v>
      </c>
      <c r="I24" s="3">
        <f>IF($H24="A VISTA", C24 + CADASTROS!$B$3, IF($H24="1+1", C24 + CADASTROS!$B$4, IF(H24="1+2", C24 + CADASTROS!$B$5, IF(H24="1+3", C24 + CADASTROS!$B$6, ""))))</f>
        <v>45211</v>
      </c>
      <c r="J24" s="8">
        <f t="shared" si="0"/>
        <v>8111</v>
      </c>
      <c r="K24" s="3" t="str">
        <f>IF($L24&lt;&gt;"", IF($H24="A VISTA", "", IF($H24="1+1", $C24 + CADASTROS!$C$4, IF($H24="1+2", $C24 + CADASTROS!$C$5, IF($H24="1+3", $C24 + CADASTROS!$E$4, "")))), "")</f>
        <v/>
      </c>
      <c r="L24" s="8" t="str">
        <f t="shared" si="1"/>
        <v/>
      </c>
      <c r="M24" s="3" t="str">
        <f>IF($N24&lt;&gt;"", IF($H24="A VISTA", "", IF($H24="1+1", $C24 + CADASTROS!$C$4, IF($H24="1+2", $C24 + CADASTROS!$D$5, IF($H24="1+3", $C24 + CADASTROS!$D$6, "")))), "")</f>
        <v/>
      </c>
      <c r="N24" s="8" t="str">
        <f t="shared" si="2"/>
        <v/>
      </c>
      <c r="O24" s="22"/>
      <c r="P24" s="8" t="str">
        <f t="shared" si="3"/>
        <v/>
      </c>
    </row>
    <row r="25" spans="1:16">
      <c r="A25" s="2" t="s">
        <v>161</v>
      </c>
      <c r="B25" s="1" t="s">
        <v>34</v>
      </c>
      <c r="C25" s="3">
        <v>45192</v>
      </c>
      <c r="D25" s="7" t="s">
        <v>83</v>
      </c>
      <c r="E25" s="2" t="s">
        <v>110</v>
      </c>
      <c r="F25" s="2" t="s">
        <v>113</v>
      </c>
      <c r="G25" s="8">
        <v>3919</v>
      </c>
      <c r="H25" s="9" t="s">
        <v>137</v>
      </c>
      <c r="I25" s="3">
        <f>IF($H25="A VISTA", C25 + CADASTROS!$B$3, IF($H25="1+1", C25 + CADASTROS!$B$4, IF(H25="1+2", C25 + CADASTROS!$B$5, IF(H25="1+3", C25 + CADASTROS!$B$6, ""))))</f>
        <v>45193</v>
      </c>
      <c r="J25" s="8">
        <f t="shared" si="0"/>
        <v>1306.3333333333333</v>
      </c>
      <c r="K25" s="3">
        <f>IF($L25&lt;&gt;"", IF($H25="A VISTA", "", IF($H25="1+1", $C25 + CADASTROS!$C$4, IF($H25="1+2", $C25 + CADASTROS!$C$5, IF($H25="1+3", $C25 + CADASTROS!$E$4, "")))), "")</f>
        <v>45222</v>
      </c>
      <c r="L25" s="8">
        <f t="shared" si="1"/>
        <v>1306.3333333333333</v>
      </c>
      <c r="M25" s="3">
        <f>IF($N25&lt;&gt;"", IF($H25="A VISTA", "", IF($H25="1+1", $C25 + CADASTROS!$C$4, IF($H25="1+2", $C25 + CADASTROS!$D$5, IF($H25="1+3", $C25 + CADASTROS!$D$6, "")))), "")</f>
        <v>45237</v>
      </c>
      <c r="N25" s="8">
        <f t="shared" si="2"/>
        <v>1306.3333333333337</v>
      </c>
      <c r="O25" s="22"/>
      <c r="P25" s="8" t="str">
        <f t="shared" si="3"/>
        <v/>
      </c>
    </row>
    <row r="26" spans="1:16">
      <c r="A26" s="2" t="s">
        <v>162</v>
      </c>
      <c r="B26" s="1" t="s">
        <v>48</v>
      </c>
      <c r="C26" s="3">
        <v>45346</v>
      </c>
      <c r="D26" s="7" t="s">
        <v>97</v>
      </c>
      <c r="E26" s="2" t="s">
        <v>112</v>
      </c>
      <c r="F26" s="2" t="s">
        <v>123</v>
      </c>
      <c r="G26" s="8">
        <v>1358</v>
      </c>
      <c r="H26" s="9" t="s">
        <v>126</v>
      </c>
      <c r="I26" s="3">
        <f>IF($H26="A VISTA", C26 + CADASTROS!$B$3, IF($H26="1+1", C26 + CADASTROS!$B$4, IF(H26="1+2", C26 + CADASTROS!$B$5, IF(H26="1+3", C26 + CADASTROS!$B$6, ""))))</f>
        <v>45347</v>
      </c>
      <c r="J26" s="8">
        <f t="shared" si="0"/>
        <v>1358</v>
      </c>
      <c r="K26" s="3" t="str">
        <f>IF($L26&lt;&gt;"", IF($H26="A VISTA", "", IF($H26="1+1", $C26 + CADASTROS!$C$4, IF($H26="1+2", $C26 + CADASTROS!$C$5, IF($H26="1+3", $C26 + CADASTROS!$E$4, "")))), "")</f>
        <v/>
      </c>
      <c r="L26" s="8" t="str">
        <f t="shared" si="1"/>
        <v/>
      </c>
      <c r="M26" s="3" t="str">
        <f>IF($N26&lt;&gt;"", IF($H26="A VISTA", "", IF($H26="1+1", $C26 + CADASTROS!$C$4, IF($H26="1+2", $C26 + CADASTROS!$D$5, IF($H26="1+3", $C26 + CADASTROS!$D$6, "")))), "")</f>
        <v/>
      </c>
      <c r="N26" s="8" t="str">
        <f t="shared" si="2"/>
        <v/>
      </c>
      <c r="O26" s="22"/>
      <c r="P26" s="8" t="str">
        <f t="shared" si="3"/>
        <v/>
      </c>
    </row>
    <row r="27" spans="1:16">
      <c r="A27" s="2" t="s">
        <v>163</v>
      </c>
      <c r="B27" s="1" t="s">
        <v>16</v>
      </c>
      <c r="C27" s="3">
        <v>45234</v>
      </c>
      <c r="D27" s="7" t="s">
        <v>65</v>
      </c>
      <c r="E27" s="2" t="s">
        <v>110</v>
      </c>
      <c r="F27" s="2" t="s">
        <v>125</v>
      </c>
      <c r="G27" s="8">
        <v>2013</v>
      </c>
      <c r="H27" s="9" t="s">
        <v>126</v>
      </c>
      <c r="I27" s="3">
        <f>IF($H27="A VISTA", C27 + CADASTROS!$B$3, IF($H27="1+1", C27 + CADASTROS!$B$4, IF(H27="1+2", C27 + CADASTROS!$B$5, IF(H27="1+3", C27 + CADASTROS!$B$6, ""))))</f>
        <v>45235</v>
      </c>
      <c r="J27" s="8">
        <f t="shared" si="0"/>
        <v>2013</v>
      </c>
      <c r="K27" s="3" t="str">
        <f>IF($L27&lt;&gt;"", IF($H27="A VISTA", "", IF($H27="1+1", $C27 + CADASTROS!$C$4, IF($H27="1+2", $C27 + CADASTROS!$C$5, IF($H27="1+3", $C27 + CADASTROS!$E$4, "")))), "")</f>
        <v/>
      </c>
      <c r="L27" s="8" t="str">
        <f t="shared" si="1"/>
        <v/>
      </c>
      <c r="M27" s="3" t="str">
        <f>IF($N27&lt;&gt;"", IF($H27="A VISTA", "", IF($H27="1+1", $C27 + CADASTROS!$C$4, IF($H27="1+2", $C27 + CADASTROS!$D$5, IF($H27="1+3", $C27 + CADASTROS!$D$6, "")))), "")</f>
        <v/>
      </c>
      <c r="N27" s="8" t="str">
        <f t="shared" si="2"/>
        <v/>
      </c>
      <c r="O27" s="22"/>
      <c r="P27" s="8" t="str">
        <f t="shared" si="3"/>
        <v/>
      </c>
    </row>
    <row r="28" spans="1:16">
      <c r="A28" s="2" t="s">
        <v>164</v>
      </c>
      <c r="B28" s="1" t="s">
        <v>56</v>
      </c>
      <c r="C28" s="3">
        <v>45298</v>
      </c>
      <c r="D28" s="7" t="s">
        <v>105</v>
      </c>
      <c r="E28" s="2" t="s">
        <v>110</v>
      </c>
      <c r="F28" s="2" t="s">
        <v>113</v>
      </c>
      <c r="G28" s="8">
        <v>9208</v>
      </c>
      <c r="H28" s="9" t="s">
        <v>138</v>
      </c>
      <c r="I28" s="3">
        <f>IF($H28="A VISTA", C28 + CADASTROS!$B$3, IF($H28="1+1", C28 + CADASTROS!$B$4, IF(H28="1+2", C28 + CADASTROS!$B$5, IF(H28="1+3", C28 + CADASTROS!$B$6, ""))))</f>
        <v>45299</v>
      </c>
      <c r="J28" s="8">
        <f t="shared" si="0"/>
        <v>4604</v>
      </c>
      <c r="K28" s="3">
        <f>IF($L28&lt;&gt;"", IF($H28="A VISTA", "", IF($H28="1+1", $C28 + CADASTROS!$C$4, IF($H28="1+2", $C28 + CADASTROS!$C$5, IF($H28="1+3", $C28 + CADASTROS!$E$4, "")))), "")</f>
        <v>45328</v>
      </c>
      <c r="L28" s="8">
        <f t="shared" si="1"/>
        <v>4604</v>
      </c>
      <c r="M28" s="3" t="str">
        <f>IF($N28&lt;&gt;"", IF($H28="A VISTA", "", IF($H28="1+1", $C28 + CADASTROS!$C$4, IF($H28="1+2", $C28 + CADASTROS!$D$5, IF($H28="1+3", $C28 + CADASTROS!$D$6, "")))), "")</f>
        <v/>
      </c>
      <c r="N28" s="8" t="str">
        <f t="shared" si="2"/>
        <v/>
      </c>
      <c r="O28" s="22"/>
      <c r="P28" s="8" t="str">
        <f t="shared" si="3"/>
        <v/>
      </c>
    </row>
    <row r="29" spans="1:16">
      <c r="A29" s="2" t="s">
        <v>165</v>
      </c>
      <c r="B29" s="1" t="s">
        <v>41</v>
      </c>
      <c r="C29" s="3">
        <v>45161</v>
      </c>
      <c r="D29" s="7" t="s">
        <v>90</v>
      </c>
      <c r="E29" s="2" t="s">
        <v>111</v>
      </c>
      <c r="F29" s="2" t="s">
        <v>118</v>
      </c>
      <c r="G29" s="8">
        <v>674</v>
      </c>
      <c r="H29" s="9" t="s">
        <v>137</v>
      </c>
      <c r="I29" s="3">
        <f>IF($H29="A VISTA", C29 + CADASTROS!$B$3, IF($H29="1+1", C29 + CADASTROS!$B$4, IF(H29="1+2", C29 + CADASTROS!$B$5, IF(H29="1+3", C29 + CADASTROS!$B$6, ""))))</f>
        <v>45162</v>
      </c>
      <c r="J29" s="8">
        <f t="shared" si="0"/>
        <v>224.66666666666666</v>
      </c>
      <c r="K29" s="3">
        <f>IF($L29&lt;&gt;"", IF($H29="A VISTA", "", IF($H29="1+1", $C29 + CADASTROS!$C$4, IF($H29="1+2", $C29 + CADASTROS!$C$5, IF($H29="1+3", $C29 + CADASTROS!$E$4, "")))), "")</f>
        <v>45191</v>
      </c>
      <c r="L29" s="8">
        <f t="shared" si="1"/>
        <v>224.66666666666666</v>
      </c>
      <c r="M29" s="3">
        <f>IF($N29&lt;&gt;"", IF($H29="A VISTA", "", IF($H29="1+1", $C29 + CADASTROS!$C$4, IF($H29="1+2", $C29 + CADASTROS!$D$5, IF($H29="1+3", $C29 + CADASTROS!$D$6, "")))), "")</f>
        <v>45206</v>
      </c>
      <c r="N29" s="8">
        <f t="shared" si="2"/>
        <v>224.66666666666671</v>
      </c>
      <c r="O29" s="22"/>
      <c r="P29" s="8" t="str">
        <f t="shared" si="3"/>
        <v/>
      </c>
    </row>
    <row r="30" spans="1:16">
      <c r="A30" s="2" t="s">
        <v>166</v>
      </c>
      <c r="B30" s="1" t="s">
        <v>27</v>
      </c>
      <c r="C30" s="3">
        <v>45482</v>
      </c>
      <c r="D30" s="7" t="s">
        <v>76</v>
      </c>
      <c r="E30" s="2" t="s">
        <v>110</v>
      </c>
      <c r="F30" s="2" t="s">
        <v>125</v>
      </c>
      <c r="G30" s="8">
        <v>2715</v>
      </c>
      <c r="H30" s="9" t="s">
        <v>137</v>
      </c>
      <c r="I30" s="3">
        <f>IF($H30="A VISTA", C30 + CADASTROS!$B$3, IF($H30="1+1", C30 + CADASTROS!$B$4, IF(H30="1+2", C30 + CADASTROS!$B$5, IF(H30="1+3", C30 + CADASTROS!$B$6, ""))))</f>
        <v>45483</v>
      </c>
      <c r="J30" s="8">
        <f t="shared" si="0"/>
        <v>905</v>
      </c>
      <c r="K30" s="3">
        <f>IF($L30&lt;&gt;"", IF($H30="A VISTA", "", IF($H30="1+1", $C30 + CADASTROS!$C$4, IF($H30="1+2", $C30 + CADASTROS!$C$5, IF($H30="1+3", $C30 + CADASTROS!$E$4, "")))), "")</f>
        <v>45512</v>
      </c>
      <c r="L30" s="8">
        <f t="shared" si="1"/>
        <v>905</v>
      </c>
      <c r="M30" s="3">
        <f>IF($N30&lt;&gt;"", IF($H30="A VISTA", "", IF($H30="1+1", $C30 + CADASTROS!$C$4, IF($H30="1+2", $C30 + CADASTROS!$D$5, IF($H30="1+3", $C30 + CADASTROS!$D$6, "")))), "")</f>
        <v>45527</v>
      </c>
      <c r="N30" s="8">
        <f t="shared" si="2"/>
        <v>905</v>
      </c>
      <c r="O30" s="22"/>
      <c r="P30" s="8" t="str">
        <f t="shared" si="3"/>
        <v/>
      </c>
    </row>
    <row r="31" spans="1:16">
      <c r="A31" s="2" t="s">
        <v>167</v>
      </c>
      <c r="B31" s="1" t="s">
        <v>18</v>
      </c>
      <c r="C31" s="3">
        <v>45320</v>
      </c>
      <c r="D31" s="7" t="s">
        <v>67</v>
      </c>
      <c r="E31" s="2" t="s">
        <v>111</v>
      </c>
      <c r="F31" s="2" t="s">
        <v>121</v>
      </c>
      <c r="G31" s="8">
        <v>912</v>
      </c>
      <c r="H31" s="9" t="s">
        <v>136</v>
      </c>
      <c r="I31" s="3">
        <f>IF($H31="A VISTA", C31 + CADASTROS!$B$3, IF($H31="1+1", C31 + CADASTROS!$B$4, IF(H31="1+2", C31 + CADASTROS!$B$5, IF(H31="1+3", C31 + CADASTROS!$B$6, ""))))</f>
        <v>45321</v>
      </c>
      <c r="J31" s="8">
        <f t="shared" si="0"/>
        <v>228</v>
      </c>
      <c r="K31" s="3">
        <f>IF($L31&lt;&gt;"", IF($H31="A VISTA", "", IF($H31="1+1", $C31 + CADASTROS!$C$4, IF($H31="1+2", $C31 + CADASTROS!$C$5, IF($H31="1+3", $C31 + CADASTROS!$E$4, "")))), "")</f>
        <v>45320</v>
      </c>
      <c r="L31" s="8">
        <f t="shared" si="1"/>
        <v>228</v>
      </c>
      <c r="M31" s="3">
        <f>IF($N31&lt;&gt;"", IF($H31="A VISTA", "", IF($H31="1+1", $C31 + CADASTROS!$C$4, IF($H31="1+2", $C31 + CADASTROS!$D$5, IF($H31="1+3", $C31 + CADASTROS!$D$6, "")))), "")</f>
        <v>45365</v>
      </c>
      <c r="N31" s="8">
        <f t="shared" si="2"/>
        <v>228</v>
      </c>
      <c r="O31" s="3">
        <f>IF($P31&lt;&gt;"", IF($H31="A VISTA", "", IF($H31="1+1", $C31 + CADASTROS!$C$4, IF($H31="1+2", $C31 + CADASTROS!$C$5, IF($H31="1+3", $C31 + CADASTROS!$E$6, "")))), "")</f>
        <v>45380</v>
      </c>
      <c r="P31" s="8">
        <f t="shared" si="3"/>
        <v>228</v>
      </c>
    </row>
    <row r="32" spans="1:16">
      <c r="A32" s="2" t="s">
        <v>168</v>
      </c>
      <c r="B32" s="1" t="s">
        <v>20</v>
      </c>
      <c r="C32" s="3">
        <v>45245</v>
      </c>
      <c r="D32" s="7" t="s">
        <v>69</v>
      </c>
      <c r="E32" s="2" t="s">
        <v>111</v>
      </c>
      <c r="F32" s="2" t="s">
        <v>117</v>
      </c>
      <c r="G32" s="8">
        <v>1239</v>
      </c>
      <c r="H32" s="9" t="s">
        <v>136</v>
      </c>
      <c r="I32" s="3">
        <f>IF($H32="A VISTA", C32 + CADASTROS!$B$3, IF($H32="1+1", C32 + CADASTROS!$B$4, IF(H32="1+2", C32 + CADASTROS!$B$5, IF(H32="1+3", C32 + CADASTROS!$B$6, ""))))</f>
        <v>45246</v>
      </c>
      <c r="J32" s="8">
        <f t="shared" si="0"/>
        <v>309.75</v>
      </c>
      <c r="K32" s="3">
        <f>IF($L32&lt;&gt;"", IF($H32="A VISTA", "", IF($H32="1+1", $C32 + CADASTROS!$C$4, IF($H32="1+2", $C32 + CADASTROS!$C$5, IF($H32="1+3", $C32 + CADASTROS!$E$4, "")))), "")</f>
        <v>45245</v>
      </c>
      <c r="L32" s="8">
        <f t="shared" si="1"/>
        <v>309.75</v>
      </c>
      <c r="M32" s="3">
        <f>IF($N32&lt;&gt;"", IF($H32="A VISTA", "", IF($H32="1+1", $C32 + CADASTROS!$C$4, IF($H32="1+2", $C32 + CADASTROS!$D$5, IF($H32="1+3", $C32 + CADASTROS!$D$6, "")))), "")</f>
        <v>45290</v>
      </c>
      <c r="N32" s="8">
        <f t="shared" si="2"/>
        <v>309.75</v>
      </c>
      <c r="O32" s="3">
        <f>IF($P32&lt;&gt;"", IF($H32="A VISTA", "", IF($H32="1+1", $C32 + CADASTROS!$C$4, IF($H32="1+2", $C32 + CADASTROS!$C$5, IF($H32="1+3", $C32 + CADASTROS!$E$6, "")))), "")</f>
        <v>45305</v>
      </c>
      <c r="P32" s="8">
        <f t="shared" si="3"/>
        <v>309.75</v>
      </c>
    </row>
    <row r="33" spans="1:16">
      <c r="A33" s="2" t="s">
        <v>169</v>
      </c>
      <c r="B33" s="1" t="s">
        <v>23</v>
      </c>
      <c r="C33" s="3">
        <v>45318</v>
      </c>
      <c r="D33" s="7" t="s">
        <v>72</v>
      </c>
      <c r="E33" s="2" t="s">
        <v>110</v>
      </c>
      <c r="F33" s="2" t="s">
        <v>113</v>
      </c>
      <c r="G33" s="8">
        <v>9295</v>
      </c>
      <c r="H33" s="9" t="s">
        <v>126</v>
      </c>
      <c r="I33" s="3">
        <f>IF($H33="A VISTA", C33 + CADASTROS!$B$3, IF($H33="1+1", C33 + CADASTROS!$B$4, IF(H33="1+2", C33 + CADASTROS!$B$5, IF(H33="1+3", C33 + CADASTROS!$B$6, ""))))</f>
        <v>45319</v>
      </c>
      <c r="J33" s="8">
        <f t="shared" si="0"/>
        <v>9295</v>
      </c>
      <c r="K33" s="3" t="str">
        <f>IF($L33&lt;&gt;"", IF($H33="A VISTA", "", IF($H33="1+1", $C33 + CADASTROS!$C$4, IF($H33="1+2", $C33 + CADASTROS!$C$5, IF($H33="1+3", $C33 + CADASTROS!$E$4, "")))), "")</f>
        <v/>
      </c>
      <c r="L33" s="8" t="str">
        <f t="shared" si="1"/>
        <v/>
      </c>
      <c r="M33" s="3" t="str">
        <f>IF($N33&lt;&gt;"", IF($H33="A VISTA", "", IF($H33="1+1", $C33 + CADASTROS!$C$4, IF($H33="1+2", $C33 + CADASTROS!$D$5, IF($H33="1+3", $C33 + CADASTROS!$D$6, "")))), "")</f>
        <v/>
      </c>
      <c r="N33" s="8" t="str">
        <f t="shared" si="2"/>
        <v/>
      </c>
      <c r="O33" s="22"/>
      <c r="P33" s="8" t="str">
        <f t="shared" si="3"/>
        <v/>
      </c>
    </row>
    <row r="34" spans="1:16">
      <c r="A34" s="2" t="s">
        <v>170</v>
      </c>
      <c r="B34" s="1" t="s">
        <v>53</v>
      </c>
      <c r="C34" s="3">
        <v>45209</v>
      </c>
      <c r="D34" s="7" t="s">
        <v>102</v>
      </c>
      <c r="E34" s="2" t="s">
        <v>111</v>
      </c>
      <c r="F34" s="2" t="s">
        <v>117</v>
      </c>
      <c r="G34" s="8">
        <v>3922</v>
      </c>
      <c r="H34" s="9" t="s">
        <v>137</v>
      </c>
      <c r="I34" s="3">
        <f>IF($H34="A VISTA", C34 + CADASTROS!$B$3, IF($H34="1+1", C34 + CADASTROS!$B$4, IF(H34="1+2", C34 + CADASTROS!$B$5, IF(H34="1+3", C34 + CADASTROS!$B$6, ""))))</f>
        <v>45210</v>
      </c>
      <c r="J34" s="8">
        <f t="shared" si="0"/>
        <v>1307.3333333333333</v>
      </c>
      <c r="K34" s="3">
        <f>IF($L34&lt;&gt;"", IF($H34="A VISTA", "", IF($H34="1+1", $C34 + CADASTROS!$C$4, IF($H34="1+2", $C34 + CADASTROS!$C$5, IF($H34="1+3", $C34 + CADASTROS!$E$4, "")))), "")</f>
        <v>45239</v>
      </c>
      <c r="L34" s="8">
        <f t="shared" si="1"/>
        <v>1307.3333333333333</v>
      </c>
      <c r="M34" s="3">
        <f>IF($N34&lt;&gt;"", IF($H34="A VISTA", "", IF($H34="1+1", $C34 + CADASTROS!$C$4, IF($H34="1+2", $C34 + CADASTROS!$D$5, IF($H34="1+3", $C34 + CADASTROS!$D$6, "")))), "")</f>
        <v>45254</v>
      </c>
      <c r="N34" s="8">
        <f t="shared" si="2"/>
        <v>1307.3333333333337</v>
      </c>
      <c r="O34" s="22"/>
      <c r="P34" s="8" t="str">
        <f t="shared" si="3"/>
        <v/>
      </c>
    </row>
    <row r="35" spans="1:16">
      <c r="A35" s="2" t="s">
        <v>171</v>
      </c>
      <c r="B35" s="1" t="s">
        <v>46</v>
      </c>
      <c r="C35" s="3">
        <v>45129</v>
      </c>
      <c r="D35" s="7" t="s">
        <v>95</v>
      </c>
      <c r="E35" s="2" t="s">
        <v>112</v>
      </c>
      <c r="F35" s="2" t="s">
        <v>122</v>
      </c>
      <c r="G35" s="8">
        <v>6216</v>
      </c>
      <c r="H35" s="9" t="s">
        <v>126</v>
      </c>
      <c r="I35" s="3">
        <f>IF($H35="A VISTA", C35 + CADASTROS!$B$3, IF($H35="1+1", C35 + CADASTROS!$B$4, IF(H35="1+2", C35 + CADASTROS!$B$5, IF(H35="1+3", C35 + CADASTROS!$B$6, ""))))</f>
        <v>45130</v>
      </c>
      <c r="J35" s="8">
        <f t="shared" si="0"/>
        <v>6216</v>
      </c>
      <c r="K35" s="3" t="str">
        <f>IF($L35&lt;&gt;"", IF($H35="A VISTA", "", IF($H35="1+1", $C35 + CADASTROS!$C$4, IF($H35="1+2", $C35 + CADASTROS!$C$5, IF($H35="1+3", $C35 + CADASTROS!$E$4, "")))), "")</f>
        <v/>
      </c>
      <c r="L35" s="8" t="str">
        <f t="shared" si="1"/>
        <v/>
      </c>
      <c r="M35" s="3" t="str">
        <f>IF($N35&lt;&gt;"", IF($H35="A VISTA", "", IF($H35="1+1", $C35 + CADASTROS!$C$4, IF($H35="1+2", $C35 + CADASTROS!$D$5, IF($H35="1+3", $C35 + CADASTROS!$D$6, "")))), "")</f>
        <v/>
      </c>
      <c r="N35" s="8" t="str">
        <f t="shared" si="2"/>
        <v/>
      </c>
      <c r="O35" s="22"/>
      <c r="P35" s="8" t="str">
        <f t="shared" si="3"/>
        <v/>
      </c>
    </row>
    <row r="36" spans="1:16">
      <c r="A36" s="2" t="s">
        <v>172</v>
      </c>
      <c r="B36" s="1" t="s">
        <v>31</v>
      </c>
      <c r="C36" s="3">
        <v>45131</v>
      </c>
      <c r="D36" s="7" t="s">
        <v>80</v>
      </c>
      <c r="E36" s="2" t="s">
        <v>111</v>
      </c>
      <c r="F36" s="2" t="s">
        <v>117</v>
      </c>
      <c r="G36" s="8">
        <v>2210</v>
      </c>
      <c r="H36" s="9" t="s">
        <v>138</v>
      </c>
      <c r="I36" s="3">
        <f>IF($H36="A VISTA", C36 + CADASTROS!$B$3, IF($H36="1+1", C36 + CADASTROS!$B$4, IF(H36="1+2", C36 + CADASTROS!$B$5, IF(H36="1+3", C36 + CADASTROS!$B$6, ""))))</f>
        <v>45132</v>
      </c>
      <c r="J36" s="8">
        <f t="shared" si="0"/>
        <v>1105</v>
      </c>
      <c r="K36" s="3">
        <f>IF($L36&lt;&gt;"", IF($H36="A VISTA", "", IF($H36="1+1", $C36 + CADASTROS!$C$4, IF($H36="1+2", $C36 + CADASTROS!$C$5, IF($H36="1+3", $C36 + CADASTROS!$E$4, "")))), "")</f>
        <v>45161</v>
      </c>
      <c r="L36" s="8">
        <f t="shared" si="1"/>
        <v>1105</v>
      </c>
      <c r="M36" s="3" t="str">
        <f>IF($N36&lt;&gt;"", IF($H36="A VISTA", "", IF($H36="1+1", $C36 + CADASTROS!$C$4, IF($H36="1+2", $C36 + CADASTROS!$D$5, IF($H36="1+3", $C36 + CADASTROS!$D$6, "")))), "")</f>
        <v/>
      </c>
      <c r="N36" s="8" t="str">
        <f t="shared" si="2"/>
        <v/>
      </c>
      <c r="O36" s="22"/>
      <c r="P36" s="8" t="str">
        <f t="shared" si="3"/>
        <v/>
      </c>
    </row>
    <row r="37" spans="1:16">
      <c r="A37" s="2" t="s">
        <v>173</v>
      </c>
      <c r="B37" s="1" t="s">
        <v>48</v>
      </c>
      <c r="C37" s="3">
        <v>45357</v>
      </c>
      <c r="D37" s="7" t="s">
        <v>97</v>
      </c>
      <c r="E37" s="2" t="s">
        <v>112</v>
      </c>
      <c r="F37" s="2" t="s">
        <v>123</v>
      </c>
      <c r="G37" s="8">
        <v>9667</v>
      </c>
      <c r="H37" s="9" t="s">
        <v>126</v>
      </c>
      <c r="I37" s="3">
        <f>IF($H37="A VISTA", C37 + CADASTROS!$B$3, IF($H37="1+1", C37 + CADASTROS!$B$4, IF(H37="1+2", C37 + CADASTROS!$B$5, IF(H37="1+3", C37 + CADASTROS!$B$6, ""))))</f>
        <v>45358</v>
      </c>
      <c r="J37" s="8">
        <f t="shared" si="0"/>
        <v>9667</v>
      </c>
      <c r="K37" s="3" t="str">
        <f>IF($L37&lt;&gt;"", IF($H37="A VISTA", "", IF($H37="1+1", $C37 + CADASTROS!$C$4, IF($H37="1+2", $C37 + CADASTROS!$C$5, IF($H37="1+3", $C37 + CADASTROS!$E$4, "")))), "")</f>
        <v/>
      </c>
      <c r="L37" s="8" t="str">
        <f t="shared" si="1"/>
        <v/>
      </c>
      <c r="M37" s="3" t="str">
        <f>IF($N37&lt;&gt;"", IF($H37="A VISTA", "", IF($H37="1+1", $C37 + CADASTROS!$C$4, IF($H37="1+2", $C37 + CADASTROS!$D$5, IF($H37="1+3", $C37 + CADASTROS!$D$6, "")))), "")</f>
        <v/>
      </c>
      <c r="N37" s="8" t="str">
        <f t="shared" si="2"/>
        <v/>
      </c>
      <c r="O37" s="22"/>
      <c r="P37" s="8" t="str">
        <f t="shared" si="3"/>
        <v/>
      </c>
    </row>
    <row r="38" spans="1:16">
      <c r="A38" s="2" t="s">
        <v>174</v>
      </c>
      <c r="B38" s="1" t="s">
        <v>15</v>
      </c>
      <c r="C38" s="3">
        <v>45391</v>
      </c>
      <c r="D38" s="7" t="s">
        <v>64</v>
      </c>
      <c r="E38" s="2" t="s">
        <v>112</v>
      </c>
      <c r="F38" s="2" t="s">
        <v>123</v>
      </c>
      <c r="G38" s="8">
        <v>8317</v>
      </c>
      <c r="H38" s="9" t="s">
        <v>126</v>
      </c>
      <c r="I38" s="3">
        <f>IF($H38="A VISTA", C38 + CADASTROS!$B$3, IF($H38="1+1", C38 + CADASTROS!$B$4, IF(H38="1+2", C38 + CADASTROS!$B$5, IF(H38="1+3", C38 + CADASTROS!$B$6, ""))))</f>
        <v>45392</v>
      </c>
      <c r="J38" s="8">
        <f t="shared" si="0"/>
        <v>8317</v>
      </c>
      <c r="K38" s="3" t="str">
        <f>IF($L38&lt;&gt;"", IF($H38="A VISTA", "", IF($H38="1+1", $C38 + CADASTROS!$C$4, IF($H38="1+2", $C38 + CADASTROS!$C$5, IF($H38="1+3", $C38 + CADASTROS!$E$4, "")))), "")</f>
        <v/>
      </c>
      <c r="L38" s="8" t="str">
        <f t="shared" si="1"/>
        <v/>
      </c>
      <c r="M38" s="3" t="str">
        <f>IF($N38&lt;&gt;"", IF($H38="A VISTA", "", IF($H38="1+1", $C38 + CADASTROS!$C$4, IF($H38="1+2", $C38 + CADASTROS!$D$5, IF($H38="1+3", $C38 + CADASTROS!$D$6, "")))), "")</f>
        <v/>
      </c>
      <c r="N38" s="8" t="str">
        <f t="shared" si="2"/>
        <v/>
      </c>
      <c r="O38" s="22"/>
      <c r="P38" s="8" t="str">
        <f t="shared" si="3"/>
        <v/>
      </c>
    </row>
    <row r="39" spans="1:16">
      <c r="A39" s="2" t="s">
        <v>175</v>
      </c>
      <c r="B39" s="1" t="s">
        <v>26</v>
      </c>
      <c r="C39" s="3">
        <v>45201</v>
      </c>
      <c r="D39" s="7" t="s">
        <v>75</v>
      </c>
      <c r="E39" s="2" t="s">
        <v>112</v>
      </c>
      <c r="F39" s="2" t="s">
        <v>123</v>
      </c>
      <c r="G39" s="8">
        <v>2499</v>
      </c>
      <c r="H39" s="9" t="s">
        <v>126</v>
      </c>
      <c r="I39" s="3">
        <f>IF($H39="A VISTA", C39 + CADASTROS!$B$3, IF($H39="1+1", C39 + CADASTROS!$B$4, IF(H39="1+2", C39 + CADASTROS!$B$5, IF(H39="1+3", C39 + CADASTROS!$B$6, ""))))</f>
        <v>45202</v>
      </c>
      <c r="J39" s="8">
        <f t="shared" si="0"/>
        <v>2499</v>
      </c>
      <c r="K39" s="3" t="str">
        <f>IF($L39&lt;&gt;"", IF($H39="A VISTA", "", IF($H39="1+1", $C39 + CADASTROS!$C$4, IF($H39="1+2", $C39 + CADASTROS!$C$5, IF($H39="1+3", $C39 + CADASTROS!$E$4, "")))), "")</f>
        <v/>
      </c>
      <c r="L39" s="8" t="str">
        <f t="shared" si="1"/>
        <v/>
      </c>
      <c r="M39" s="3" t="str">
        <f>IF($N39&lt;&gt;"", IF($H39="A VISTA", "", IF($H39="1+1", $C39 + CADASTROS!$C$4, IF($H39="1+2", $C39 + CADASTROS!$D$5, IF($H39="1+3", $C39 + CADASTROS!$D$6, "")))), "")</f>
        <v/>
      </c>
      <c r="N39" s="8" t="str">
        <f t="shared" si="2"/>
        <v/>
      </c>
      <c r="O39" s="22"/>
      <c r="P39" s="8" t="str">
        <f t="shared" si="3"/>
        <v/>
      </c>
    </row>
    <row r="40" spans="1:16">
      <c r="A40" s="2" t="s">
        <v>176</v>
      </c>
      <c r="B40" s="1" t="s">
        <v>18</v>
      </c>
      <c r="C40" s="3">
        <v>45255</v>
      </c>
      <c r="D40" s="7" t="s">
        <v>67</v>
      </c>
      <c r="E40" s="2" t="s">
        <v>111</v>
      </c>
      <c r="F40" s="2" t="s">
        <v>121</v>
      </c>
      <c r="G40" s="8">
        <v>2271</v>
      </c>
      <c r="H40" s="9" t="s">
        <v>137</v>
      </c>
      <c r="I40" s="3">
        <f>IF($H40="A VISTA", C40 + CADASTROS!$B$3, IF($H40="1+1", C40 + CADASTROS!$B$4, IF(H40="1+2", C40 + CADASTROS!$B$5, IF(H40="1+3", C40 + CADASTROS!$B$6, ""))))</f>
        <v>45256</v>
      </c>
      <c r="J40" s="8">
        <f t="shared" si="0"/>
        <v>757</v>
      </c>
      <c r="K40" s="3">
        <f>IF($L40&lt;&gt;"", IF($H40="A VISTA", "", IF($H40="1+1", $C40 + CADASTROS!$C$4, IF($H40="1+2", $C40 + CADASTROS!$C$5, IF($H40="1+3", $C40 + CADASTROS!$E$4, "")))), "")</f>
        <v>45285</v>
      </c>
      <c r="L40" s="8">
        <f t="shared" si="1"/>
        <v>757</v>
      </c>
      <c r="M40" s="3">
        <f>IF($N40&lt;&gt;"", IF($H40="A VISTA", "", IF($H40="1+1", $C40 + CADASTROS!$C$4, IF($H40="1+2", $C40 + CADASTROS!$D$5, IF($H40="1+3", $C40 + CADASTROS!$D$6, "")))), "")</f>
        <v>45300</v>
      </c>
      <c r="N40" s="8">
        <f t="shared" si="2"/>
        <v>757</v>
      </c>
      <c r="O40" s="22"/>
      <c r="P40" s="8" t="str">
        <f t="shared" si="3"/>
        <v/>
      </c>
    </row>
    <row r="41" spans="1:16">
      <c r="A41" s="2" t="s">
        <v>177</v>
      </c>
      <c r="B41" s="1" t="s">
        <v>15</v>
      </c>
      <c r="C41" s="3">
        <v>45509</v>
      </c>
      <c r="D41" s="7" t="s">
        <v>64</v>
      </c>
      <c r="E41" s="2" t="s">
        <v>112</v>
      </c>
      <c r="F41" s="2" t="s">
        <v>123</v>
      </c>
      <c r="G41" s="8">
        <v>3684</v>
      </c>
      <c r="H41" s="9" t="s">
        <v>126</v>
      </c>
      <c r="I41" s="3">
        <f>IF($H41="A VISTA", C41 + CADASTROS!$B$3, IF($H41="1+1", C41 + CADASTROS!$B$4, IF(H41="1+2", C41 + CADASTROS!$B$5, IF(H41="1+3", C41 + CADASTROS!$B$6, ""))))</f>
        <v>45510</v>
      </c>
      <c r="J41" s="8">
        <f t="shared" si="0"/>
        <v>3684</v>
      </c>
      <c r="K41" s="3" t="str">
        <f>IF($L41&lt;&gt;"", IF($H41="A VISTA", "", IF($H41="1+1", $C41 + CADASTROS!$C$4, IF($H41="1+2", $C41 + CADASTROS!$C$5, IF($H41="1+3", $C41 + CADASTROS!$E$4, "")))), "")</f>
        <v/>
      </c>
      <c r="L41" s="8" t="str">
        <f t="shared" si="1"/>
        <v/>
      </c>
      <c r="M41" s="3" t="str">
        <f>IF($N41&lt;&gt;"", IF($H41="A VISTA", "", IF($H41="1+1", $C41 + CADASTROS!$C$4, IF($H41="1+2", $C41 + CADASTROS!$D$5, IF($H41="1+3", $C41 + CADASTROS!$D$6, "")))), "")</f>
        <v/>
      </c>
      <c r="N41" s="8" t="str">
        <f t="shared" si="2"/>
        <v/>
      </c>
      <c r="O41" s="22"/>
      <c r="P41" s="8" t="str">
        <f t="shared" si="3"/>
        <v/>
      </c>
    </row>
    <row r="42" spans="1:16">
      <c r="A42" s="2" t="s">
        <v>178</v>
      </c>
      <c r="B42" s="1" t="s">
        <v>28</v>
      </c>
      <c r="C42" s="3">
        <v>45216</v>
      </c>
      <c r="D42" s="7" t="s">
        <v>77</v>
      </c>
      <c r="E42" s="2" t="s">
        <v>110</v>
      </c>
      <c r="F42" s="2" t="s">
        <v>114</v>
      </c>
      <c r="G42" s="8">
        <v>5533</v>
      </c>
      <c r="H42" s="9" t="s">
        <v>138</v>
      </c>
      <c r="I42" s="3">
        <f>IF($H42="A VISTA", C42 + CADASTROS!$B$3, IF($H42="1+1", C42 + CADASTROS!$B$4, IF(H42="1+2", C42 + CADASTROS!$B$5, IF(H42="1+3", C42 + CADASTROS!$B$6, ""))))</f>
        <v>45217</v>
      </c>
      <c r="J42" s="8">
        <f t="shared" si="0"/>
        <v>2766.5</v>
      </c>
      <c r="K42" s="3">
        <f>IF($L42&lt;&gt;"", IF($H42="A VISTA", "", IF($H42="1+1", $C42 + CADASTROS!$C$4, IF($H42="1+2", $C42 + CADASTROS!$C$5, IF($H42="1+3", $C42 + CADASTROS!$E$4, "")))), "")</f>
        <v>45246</v>
      </c>
      <c r="L42" s="8">
        <f t="shared" si="1"/>
        <v>2766.5</v>
      </c>
      <c r="M42" s="3" t="str">
        <f>IF($N42&lt;&gt;"", IF($H42="A VISTA", "", IF($H42="1+1", $C42 + CADASTROS!$C$4, IF($H42="1+2", $C42 + CADASTROS!$D$5, IF($H42="1+3", $C42 + CADASTROS!$D$6, "")))), "")</f>
        <v/>
      </c>
      <c r="N42" s="8" t="str">
        <f t="shared" si="2"/>
        <v/>
      </c>
      <c r="O42" s="22"/>
      <c r="P42" s="8" t="str">
        <f t="shared" si="3"/>
        <v/>
      </c>
    </row>
    <row r="43" spans="1:16">
      <c r="A43" s="2" t="s">
        <v>179</v>
      </c>
      <c r="B43" s="1" t="s">
        <v>22</v>
      </c>
      <c r="C43" s="3">
        <v>45292</v>
      </c>
      <c r="D43" s="7" t="s">
        <v>71</v>
      </c>
      <c r="E43" s="2" t="s">
        <v>111</v>
      </c>
      <c r="F43" s="2" t="s">
        <v>119</v>
      </c>
      <c r="G43" s="8">
        <v>9498</v>
      </c>
      <c r="H43" s="9" t="s">
        <v>137</v>
      </c>
      <c r="I43" s="3">
        <f>IF($H43="A VISTA", C43 + CADASTROS!$B$3, IF($H43="1+1", C43 + CADASTROS!$B$4, IF(H43="1+2", C43 + CADASTROS!$B$5, IF(H43="1+3", C43 + CADASTROS!$B$6, ""))))</f>
        <v>45293</v>
      </c>
      <c r="J43" s="8">
        <f t="shared" si="0"/>
        <v>3166</v>
      </c>
      <c r="K43" s="3">
        <f>IF($L43&lt;&gt;"", IF($H43="A VISTA", "", IF($H43="1+1", $C43 + CADASTROS!$C$4, IF($H43="1+2", $C43 + CADASTROS!$C$5, IF($H43="1+3", $C43 + CADASTROS!$E$4, "")))), "")</f>
        <v>45322</v>
      </c>
      <c r="L43" s="8">
        <f t="shared" si="1"/>
        <v>3166</v>
      </c>
      <c r="M43" s="3">
        <f>IF($N43&lt;&gt;"", IF($H43="A VISTA", "", IF($H43="1+1", $C43 + CADASTROS!$C$4, IF($H43="1+2", $C43 + CADASTROS!$D$5, IF($H43="1+3", $C43 + CADASTROS!$D$6, "")))), "")</f>
        <v>45337</v>
      </c>
      <c r="N43" s="8">
        <f t="shared" si="2"/>
        <v>3166</v>
      </c>
      <c r="O43" s="22"/>
      <c r="P43" s="8" t="str">
        <f t="shared" si="3"/>
        <v/>
      </c>
    </row>
    <row r="44" spans="1:16">
      <c r="A44" s="2" t="s">
        <v>180</v>
      </c>
      <c r="B44" s="1" t="s">
        <v>15</v>
      </c>
      <c r="C44" s="3">
        <v>45150</v>
      </c>
      <c r="D44" s="7" t="s">
        <v>64</v>
      </c>
      <c r="E44" s="2" t="s">
        <v>112</v>
      </c>
      <c r="F44" s="2" t="s">
        <v>123</v>
      </c>
      <c r="G44" s="8">
        <v>4564</v>
      </c>
      <c r="H44" s="9" t="s">
        <v>126</v>
      </c>
      <c r="I44" s="3">
        <f>IF($H44="A VISTA", C44 + CADASTROS!$B$3, IF($H44="1+1", C44 + CADASTROS!$B$4, IF(H44="1+2", C44 + CADASTROS!$B$5, IF(H44="1+3", C44 + CADASTROS!$B$6, ""))))</f>
        <v>45151</v>
      </c>
      <c r="J44" s="8">
        <f t="shared" si="0"/>
        <v>4564</v>
      </c>
      <c r="K44" s="3" t="str">
        <f>IF($L44&lt;&gt;"", IF($H44="A VISTA", "", IF($H44="1+1", $C44 + CADASTROS!$C$4, IF($H44="1+2", $C44 + CADASTROS!$C$5, IF($H44="1+3", $C44 + CADASTROS!$E$4, "")))), "")</f>
        <v/>
      </c>
      <c r="L44" s="8" t="str">
        <f t="shared" si="1"/>
        <v/>
      </c>
      <c r="M44" s="3" t="str">
        <f>IF($N44&lt;&gt;"", IF($H44="A VISTA", "", IF($H44="1+1", $C44 + CADASTROS!$C$4, IF($H44="1+2", $C44 + CADASTROS!$D$5, IF($H44="1+3", $C44 + CADASTROS!$D$6, "")))), "")</f>
        <v/>
      </c>
      <c r="N44" s="8" t="str">
        <f t="shared" si="2"/>
        <v/>
      </c>
      <c r="O44" s="22"/>
      <c r="P44" s="8" t="str">
        <f t="shared" si="3"/>
        <v/>
      </c>
    </row>
    <row r="45" spans="1:16">
      <c r="A45" s="2" t="s">
        <v>181</v>
      </c>
      <c r="B45" s="1" t="s">
        <v>52</v>
      </c>
      <c r="C45" s="3">
        <v>45493</v>
      </c>
      <c r="D45" s="7" t="s">
        <v>101</v>
      </c>
      <c r="E45" s="2" t="s">
        <v>111</v>
      </c>
      <c r="F45" s="2" t="s">
        <v>118</v>
      </c>
      <c r="G45" s="8">
        <v>5538</v>
      </c>
      <c r="H45" s="9" t="s">
        <v>136</v>
      </c>
      <c r="I45" s="3">
        <f>IF($H45="A VISTA", C45 + CADASTROS!$B$3, IF($H45="1+1", C45 + CADASTROS!$B$4, IF(H45="1+2", C45 + CADASTROS!$B$5, IF(H45="1+3", C45 + CADASTROS!$B$6, ""))))</f>
        <v>45494</v>
      </c>
      <c r="J45" s="8">
        <f t="shared" si="0"/>
        <v>1384.5</v>
      </c>
      <c r="K45" s="3">
        <f>IF($L45&lt;&gt;"", IF($H45="A VISTA", "", IF($H45="1+1", $C45 + CADASTROS!$C$4, IF($H45="1+2", $C45 + CADASTROS!$C$5, IF($H45="1+3", $C45 + CADASTROS!$E$4, "")))), "")</f>
        <v>45493</v>
      </c>
      <c r="L45" s="8">
        <f t="shared" si="1"/>
        <v>1384.5</v>
      </c>
      <c r="M45" s="3">
        <f>IF($N45&lt;&gt;"", IF($H45="A VISTA", "", IF($H45="1+1", $C45 + CADASTROS!$C$4, IF($H45="1+2", $C45 + CADASTROS!$D$5, IF($H45="1+3", $C45 + CADASTROS!$D$6, "")))), "")</f>
        <v>45538</v>
      </c>
      <c r="N45" s="8">
        <f t="shared" si="2"/>
        <v>1384.5</v>
      </c>
      <c r="O45" s="3">
        <f>IF($P45&lt;&gt;"", IF($H45="A VISTA", "", IF($H45="1+1", $C45 + CADASTROS!$C$4, IF($H45="1+2", $C45 + CADASTROS!$C$5, IF($H45="1+3", $C45 + CADASTROS!$E$6, "")))), "")</f>
        <v>45553</v>
      </c>
      <c r="P45" s="8">
        <f t="shared" si="3"/>
        <v>1384.5</v>
      </c>
    </row>
    <row r="46" spans="1:16">
      <c r="A46" s="2" t="s">
        <v>182</v>
      </c>
      <c r="B46" s="1" t="s">
        <v>56</v>
      </c>
      <c r="C46" s="3">
        <v>45320</v>
      </c>
      <c r="D46" s="7" t="s">
        <v>105</v>
      </c>
      <c r="E46" s="2" t="s">
        <v>110</v>
      </c>
      <c r="F46" s="2" t="s">
        <v>113</v>
      </c>
      <c r="G46" s="8">
        <v>3074</v>
      </c>
      <c r="H46" s="9" t="s">
        <v>126</v>
      </c>
      <c r="I46" s="3">
        <f>IF($H46="A VISTA", C46 + CADASTROS!$B$3, IF($H46="1+1", C46 + CADASTROS!$B$4, IF(H46="1+2", C46 + CADASTROS!$B$5, IF(H46="1+3", C46 + CADASTROS!$B$6, ""))))</f>
        <v>45321</v>
      </c>
      <c r="J46" s="8">
        <f t="shared" si="0"/>
        <v>3074</v>
      </c>
      <c r="K46" s="3" t="str">
        <f>IF($L46&lt;&gt;"", IF($H46="A VISTA", "", IF($H46="1+1", $C46 + CADASTROS!$C$4, IF($H46="1+2", $C46 + CADASTROS!$C$5, IF($H46="1+3", $C46 + CADASTROS!$E$4, "")))), "")</f>
        <v/>
      </c>
      <c r="L46" s="8" t="str">
        <f t="shared" si="1"/>
        <v/>
      </c>
      <c r="M46" s="3" t="str">
        <f>IF($N46&lt;&gt;"", IF($H46="A VISTA", "", IF($H46="1+1", $C46 + CADASTROS!$C$4, IF($H46="1+2", $C46 + CADASTROS!$D$5, IF($H46="1+3", $C46 + CADASTROS!$D$6, "")))), "")</f>
        <v/>
      </c>
      <c r="N46" s="8" t="str">
        <f t="shared" si="2"/>
        <v/>
      </c>
      <c r="O46" s="22"/>
      <c r="P46" s="8" t="str">
        <f t="shared" si="3"/>
        <v/>
      </c>
    </row>
    <row r="47" spans="1:16">
      <c r="A47" s="2" t="s">
        <v>183</v>
      </c>
      <c r="B47" s="1" t="s">
        <v>22</v>
      </c>
      <c r="C47" s="3">
        <v>45527</v>
      </c>
      <c r="D47" s="7" t="s">
        <v>71</v>
      </c>
      <c r="E47" s="2" t="s">
        <v>111</v>
      </c>
      <c r="F47" s="2" t="s">
        <v>119</v>
      </c>
      <c r="G47" s="8">
        <v>1534</v>
      </c>
      <c r="H47" s="9" t="s">
        <v>136</v>
      </c>
      <c r="I47" s="3">
        <f>IF($H47="A VISTA", C47 + CADASTROS!$B$3, IF($H47="1+1", C47 + CADASTROS!$B$4, IF(H47="1+2", C47 + CADASTROS!$B$5, IF(H47="1+3", C47 + CADASTROS!$B$6, ""))))</f>
        <v>45528</v>
      </c>
      <c r="J47" s="8">
        <f t="shared" si="0"/>
        <v>383.5</v>
      </c>
      <c r="K47" s="3">
        <f>IF($L47&lt;&gt;"", IF($H47="A VISTA", "", IF($H47="1+1", $C47 + CADASTROS!$C$4, IF($H47="1+2", $C47 + CADASTROS!$C$5, IF($H47="1+3", $C47 + CADASTROS!$E$4, "")))), "")</f>
        <v>45527</v>
      </c>
      <c r="L47" s="8">
        <f t="shared" si="1"/>
        <v>383.5</v>
      </c>
      <c r="M47" s="3">
        <f>IF($N47&lt;&gt;"", IF($H47="A VISTA", "", IF($H47="1+1", $C47 + CADASTROS!$C$4, IF($H47="1+2", $C47 + CADASTROS!$D$5, IF($H47="1+3", $C47 + CADASTROS!$D$6, "")))), "")</f>
        <v>45572</v>
      </c>
      <c r="N47" s="8">
        <f t="shared" si="2"/>
        <v>383.5</v>
      </c>
      <c r="O47" s="3">
        <f>IF($P47&lt;&gt;"", IF($H47="A VISTA", "", IF($H47="1+1", $C47 + CADASTROS!$C$4, IF($H47="1+2", $C47 + CADASTROS!$C$5, IF($H47="1+3", $C47 + CADASTROS!$E$6, "")))), "")</f>
        <v>45587</v>
      </c>
      <c r="P47" s="8">
        <f t="shared" si="3"/>
        <v>383.5</v>
      </c>
    </row>
    <row r="48" spans="1:16">
      <c r="A48" s="2" t="s">
        <v>184</v>
      </c>
      <c r="B48" s="1" t="s">
        <v>16</v>
      </c>
      <c r="C48" s="3">
        <v>45178</v>
      </c>
      <c r="D48" s="7" t="s">
        <v>65</v>
      </c>
      <c r="E48" s="2" t="s">
        <v>110</v>
      </c>
      <c r="F48" s="2" t="s">
        <v>125</v>
      </c>
      <c r="G48" s="8">
        <v>7469</v>
      </c>
      <c r="H48" s="9" t="s">
        <v>126</v>
      </c>
      <c r="I48" s="3">
        <f>IF($H48="A VISTA", C48 + CADASTROS!$B$3, IF($H48="1+1", C48 + CADASTROS!$B$4, IF(H48="1+2", C48 + CADASTROS!$B$5, IF(H48="1+3", C48 + CADASTROS!$B$6, ""))))</f>
        <v>45179</v>
      </c>
      <c r="J48" s="8">
        <f t="shared" si="0"/>
        <v>7469</v>
      </c>
      <c r="K48" s="3" t="str">
        <f>IF($L48&lt;&gt;"", IF($H48="A VISTA", "", IF($H48="1+1", $C48 + CADASTROS!$C$4, IF($H48="1+2", $C48 + CADASTROS!$C$5, IF($H48="1+3", $C48 + CADASTROS!$E$4, "")))), "")</f>
        <v/>
      </c>
      <c r="L48" s="8" t="str">
        <f t="shared" si="1"/>
        <v/>
      </c>
      <c r="M48" s="3" t="str">
        <f>IF($N48&lt;&gt;"", IF($H48="A VISTA", "", IF($H48="1+1", $C48 + CADASTROS!$C$4, IF($H48="1+2", $C48 + CADASTROS!$D$5, IF($H48="1+3", $C48 + CADASTROS!$D$6, "")))), "")</f>
        <v/>
      </c>
      <c r="N48" s="8" t="str">
        <f t="shared" si="2"/>
        <v/>
      </c>
      <c r="O48" s="22"/>
      <c r="P48" s="8" t="str">
        <f t="shared" si="3"/>
        <v/>
      </c>
    </row>
    <row r="49" spans="1:16">
      <c r="A49" s="2" t="s">
        <v>185</v>
      </c>
      <c r="B49" s="1" t="s">
        <v>19</v>
      </c>
      <c r="C49" s="3">
        <v>45363</v>
      </c>
      <c r="D49" s="7" t="s">
        <v>68</v>
      </c>
      <c r="E49" s="2" t="s">
        <v>111</v>
      </c>
      <c r="F49" s="2" t="s">
        <v>118</v>
      </c>
      <c r="G49" s="8">
        <v>9947</v>
      </c>
      <c r="H49" s="9" t="s">
        <v>137</v>
      </c>
      <c r="I49" s="3">
        <f>IF($H49="A VISTA", C49 + CADASTROS!$B$3, IF($H49="1+1", C49 + CADASTROS!$B$4, IF(H49="1+2", C49 + CADASTROS!$B$5, IF(H49="1+3", C49 + CADASTROS!$B$6, ""))))</f>
        <v>45364</v>
      </c>
      <c r="J49" s="8">
        <f t="shared" si="0"/>
        <v>3315.6666666666665</v>
      </c>
      <c r="K49" s="3">
        <f>IF($L49&lt;&gt;"", IF($H49="A VISTA", "", IF($H49="1+1", $C49 + CADASTROS!$C$4, IF($H49="1+2", $C49 + CADASTROS!$C$5, IF($H49="1+3", $C49 + CADASTROS!$E$4, "")))), "")</f>
        <v>45393</v>
      </c>
      <c r="L49" s="8">
        <f t="shared" si="1"/>
        <v>3315.6666666666665</v>
      </c>
      <c r="M49" s="3">
        <f>IF($N49&lt;&gt;"", IF($H49="A VISTA", "", IF($H49="1+1", $C49 + CADASTROS!$C$4, IF($H49="1+2", $C49 + CADASTROS!$D$5, IF($H49="1+3", $C49 + CADASTROS!$D$6, "")))), "")</f>
        <v>45408</v>
      </c>
      <c r="N49" s="8">
        <f t="shared" si="2"/>
        <v>3315.6666666666674</v>
      </c>
      <c r="O49" s="22"/>
      <c r="P49" s="8" t="str">
        <f t="shared" si="3"/>
        <v/>
      </c>
    </row>
    <row r="50" spans="1:16">
      <c r="A50" s="2" t="s">
        <v>186</v>
      </c>
      <c r="B50" s="1" t="s">
        <v>39</v>
      </c>
      <c r="C50" s="3">
        <v>45472</v>
      </c>
      <c r="D50" s="7" t="s">
        <v>88</v>
      </c>
      <c r="E50" s="2" t="s">
        <v>110</v>
      </c>
      <c r="F50" s="2" t="s">
        <v>114</v>
      </c>
      <c r="G50" s="8">
        <v>2814</v>
      </c>
      <c r="H50" s="9" t="s">
        <v>126</v>
      </c>
      <c r="I50" s="3">
        <f>IF($H50="A VISTA", C50 + CADASTROS!$B$3, IF($H50="1+1", C50 + CADASTROS!$B$4, IF(H50="1+2", C50 + CADASTROS!$B$5, IF(H50="1+3", C50 + CADASTROS!$B$6, ""))))</f>
        <v>45473</v>
      </c>
      <c r="J50" s="8">
        <f t="shared" si="0"/>
        <v>2814</v>
      </c>
      <c r="K50" s="3" t="str">
        <f>IF($L50&lt;&gt;"", IF($H50="A VISTA", "", IF($H50="1+1", $C50 + CADASTROS!$C$4, IF($H50="1+2", $C50 + CADASTROS!$C$5, IF($H50="1+3", $C50 + CADASTROS!$E$4, "")))), "")</f>
        <v/>
      </c>
      <c r="L50" s="8" t="str">
        <f t="shared" si="1"/>
        <v/>
      </c>
      <c r="M50" s="3" t="str">
        <f>IF($N50&lt;&gt;"", IF($H50="A VISTA", "", IF($H50="1+1", $C50 + CADASTROS!$C$4, IF($H50="1+2", $C50 + CADASTROS!$D$5, IF($H50="1+3", $C50 + CADASTROS!$D$6, "")))), "")</f>
        <v/>
      </c>
      <c r="N50" s="8" t="str">
        <f t="shared" si="2"/>
        <v/>
      </c>
      <c r="O50" s="22"/>
      <c r="P50" s="8" t="str">
        <f t="shared" si="3"/>
        <v/>
      </c>
    </row>
    <row r="51" spans="1:16">
      <c r="A51" s="2" t="s">
        <v>187</v>
      </c>
      <c r="B51" s="1" t="s">
        <v>26</v>
      </c>
      <c r="C51" s="3">
        <v>45285</v>
      </c>
      <c r="D51" s="7" t="s">
        <v>75</v>
      </c>
      <c r="E51" s="2" t="s">
        <v>112</v>
      </c>
      <c r="F51" s="2" t="s">
        <v>123</v>
      </c>
      <c r="G51" s="8">
        <v>2049</v>
      </c>
      <c r="H51" s="9" t="s">
        <v>126</v>
      </c>
      <c r="I51" s="3">
        <f>IF($H51="A VISTA", C51 + CADASTROS!$B$3, IF($H51="1+1", C51 + CADASTROS!$B$4, IF(H51="1+2", C51 + CADASTROS!$B$5, IF(H51="1+3", C51 + CADASTROS!$B$6, ""))))</f>
        <v>45286</v>
      </c>
      <c r="J51" s="8">
        <f t="shared" si="0"/>
        <v>2049</v>
      </c>
      <c r="K51" s="3" t="str">
        <f>IF($L51&lt;&gt;"", IF($H51="A VISTA", "", IF($H51="1+1", $C51 + CADASTROS!$C$4, IF($H51="1+2", $C51 + CADASTROS!$C$5, IF($H51="1+3", $C51 + CADASTROS!$E$4, "")))), "")</f>
        <v/>
      </c>
      <c r="L51" s="8" t="str">
        <f t="shared" si="1"/>
        <v/>
      </c>
      <c r="M51" s="3" t="str">
        <f>IF($N51&lt;&gt;"", IF($H51="A VISTA", "", IF($H51="1+1", $C51 + CADASTROS!$C$4, IF($H51="1+2", $C51 + CADASTROS!$D$5, IF($H51="1+3", $C51 + CADASTROS!$D$6, "")))), "")</f>
        <v/>
      </c>
      <c r="N51" s="8" t="str">
        <f t="shared" si="2"/>
        <v/>
      </c>
      <c r="O51" s="22"/>
      <c r="P51" s="8" t="str">
        <f t="shared" si="3"/>
        <v/>
      </c>
    </row>
    <row r="52" spans="1:16">
      <c r="A52" s="2" t="s">
        <v>188</v>
      </c>
      <c r="B52" s="1" t="s">
        <v>31</v>
      </c>
      <c r="C52" s="3">
        <v>45293</v>
      </c>
      <c r="D52" s="7" t="s">
        <v>80</v>
      </c>
      <c r="E52" s="2" t="s">
        <v>111</v>
      </c>
      <c r="F52" s="2" t="s">
        <v>117</v>
      </c>
      <c r="G52" s="8">
        <v>4784</v>
      </c>
      <c r="H52" s="9" t="s">
        <v>138</v>
      </c>
      <c r="I52" s="3">
        <f>IF($H52="A VISTA", C52 + CADASTROS!$B$3, IF($H52="1+1", C52 + CADASTROS!$B$4, IF(H52="1+2", C52 + CADASTROS!$B$5, IF(H52="1+3", C52 + CADASTROS!$B$6, ""))))</f>
        <v>45294</v>
      </c>
      <c r="J52" s="8">
        <f t="shared" si="0"/>
        <v>2392</v>
      </c>
      <c r="K52" s="3">
        <f>IF($L52&lt;&gt;"", IF($H52="A VISTA", "", IF($H52="1+1", $C52 + CADASTROS!$C$4, IF($H52="1+2", $C52 + CADASTROS!$C$5, IF($H52="1+3", $C52 + CADASTROS!$E$4, "")))), "")</f>
        <v>45323</v>
      </c>
      <c r="L52" s="8">
        <f t="shared" si="1"/>
        <v>2392</v>
      </c>
      <c r="M52" s="3" t="str">
        <f>IF($N52&lt;&gt;"", IF($H52="A VISTA", "", IF($H52="1+1", $C52 + CADASTROS!$C$4, IF($H52="1+2", $C52 + CADASTROS!$D$5, IF($H52="1+3", $C52 + CADASTROS!$D$6, "")))), "")</f>
        <v/>
      </c>
      <c r="N52" s="8" t="str">
        <f t="shared" si="2"/>
        <v/>
      </c>
      <c r="O52" s="22"/>
      <c r="P52" s="8" t="str">
        <f t="shared" si="3"/>
        <v/>
      </c>
    </row>
    <row r="53" spans="1:16">
      <c r="A53" s="2" t="s">
        <v>189</v>
      </c>
      <c r="B53" s="1" t="s">
        <v>19</v>
      </c>
      <c r="C53" s="3">
        <v>45089</v>
      </c>
      <c r="D53" s="7" t="s">
        <v>68</v>
      </c>
      <c r="E53" s="4" t="s">
        <v>111</v>
      </c>
      <c r="F53" s="4" t="s">
        <v>118</v>
      </c>
      <c r="G53" s="8">
        <v>3758</v>
      </c>
      <c r="H53" s="8" t="s">
        <v>137</v>
      </c>
      <c r="I53" s="3">
        <f>IF($H53="A VISTA", C53 + CADASTROS!$B$3, IF($H53="1+1", C53 + CADASTROS!$B$4, IF(H53="1+2", C53 + CADASTROS!$B$5, IF(H53="1+3", C53 + CADASTROS!$B$6, ""))))</f>
        <v>45090</v>
      </c>
      <c r="J53" s="8">
        <f t="shared" si="0"/>
        <v>1252.6666666666667</v>
      </c>
      <c r="K53" s="3">
        <f>IF($L53&lt;&gt;"", IF($H53="A VISTA", "", IF($H53="1+1", $C53 + CADASTROS!$C$4, IF($H53="1+2", $C53 + CADASTROS!$C$5, IF($H53="1+3", $C53 + CADASTROS!$E$4, "")))), "")</f>
        <v>45119</v>
      </c>
      <c r="L53" s="8">
        <f t="shared" si="1"/>
        <v>1252.6666666666667</v>
      </c>
      <c r="M53" s="3">
        <f>IF($N53&lt;&gt;"", IF($H53="A VISTA", "", IF($H53="1+1", $C53 + CADASTROS!$C$4, IF($H53="1+2", $C53 + CADASTROS!$D$5, IF($H53="1+3", $C53 + CADASTROS!$D$6, "")))), "")</f>
        <v>45134</v>
      </c>
      <c r="N53" s="8">
        <f t="shared" si="2"/>
        <v>1252.6666666666663</v>
      </c>
      <c r="O53" s="22"/>
      <c r="P53" s="8" t="str">
        <f t="shared" si="3"/>
        <v/>
      </c>
    </row>
    <row r="54" spans="1:16">
      <c r="A54" s="2" t="s">
        <v>190</v>
      </c>
      <c r="B54" s="6" t="s">
        <v>37</v>
      </c>
      <c r="C54" s="7">
        <v>45240</v>
      </c>
      <c r="D54" s="7" t="s">
        <v>86</v>
      </c>
      <c r="E54" s="4" t="s">
        <v>112</v>
      </c>
      <c r="F54" s="4" t="s">
        <v>123</v>
      </c>
      <c r="G54" s="8">
        <v>3093</v>
      </c>
      <c r="H54" s="8" t="s">
        <v>126</v>
      </c>
      <c r="I54" s="3">
        <f>IF($H54="A VISTA", C54 + CADASTROS!$B$3, IF($H54="1+1", C54 + CADASTROS!$B$4, IF(H54="1+2", C54 + CADASTROS!$B$5, IF(H54="1+3", C54 + CADASTROS!$B$6, ""))))</f>
        <v>45241</v>
      </c>
      <c r="J54" s="8">
        <f t="shared" si="0"/>
        <v>3093</v>
      </c>
      <c r="K54" s="3" t="str">
        <f>IF($L54&lt;&gt;"", IF($H54="A VISTA", "", IF($H54="1+1", $C54 + CADASTROS!$C$4, IF($H54="1+2", $C54 + CADASTROS!$C$5, IF($H54="1+3", $C54 + CADASTROS!$E$4, "")))), "")</f>
        <v/>
      </c>
      <c r="L54" s="8" t="str">
        <f t="shared" si="1"/>
        <v/>
      </c>
      <c r="M54" s="3" t="str">
        <f>IF($N54&lt;&gt;"", IF($H54="A VISTA", "", IF($H54="1+1", $C54 + CADASTROS!$C$4, IF($H54="1+2", $C54 + CADASTROS!$D$5, IF($H54="1+3", $C54 + CADASTROS!$D$6, "")))), "")</f>
        <v/>
      </c>
      <c r="N54" s="8" t="str">
        <f t="shared" si="2"/>
        <v/>
      </c>
      <c r="O54" s="22"/>
      <c r="P54" s="8" t="str">
        <f t="shared" si="3"/>
        <v/>
      </c>
    </row>
    <row r="55" spans="1:16">
      <c r="A55" s="2" t="s">
        <v>191</v>
      </c>
      <c r="B55" s="6" t="s">
        <v>14</v>
      </c>
      <c r="C55" s="7">
        <v>45158</v>
      </c>
      <c r="D55" s="7" t="s">
        <v>61</v>
      </c>
      <c r="E55" s="4" t="s">
        <v>110</v>
      </c>
      <c r="F55" s="4" t="s">
        <v>113</v>
      </c>
      <c r="G55" s="8">
        <v>6874</v>
      </c>
      <c r="H55" s="8" t="s">
        <v>137</v>
      </c>
      <c r="I55" s="3">
        <f>IF($H55="A VISTA", C55 + CADASTROS!$B$3, IF($H55="1+1", C55 + CADASTROS!$B$4, IF(H55="1+2", C55 + CADASTROS!$B$5, IF(H55="1+3", C55 + CADASTROS!$B$6, ""))))</f>
        <v>45159</v>
      </c>
      <c r="J55" s="8">
        <f t="shared" si="0"/>
        <v>2291.3333333333335</v>
      </c>
      <c r="K55" s="3">
        <f>IF($L55&lt;&gt;"", IF($H55="A VISTA", "", IF($H55="1+1", $C55 + CADASTROS!$C$4, IF($H55="1+2", $C55 + CADASTROS!$C$5, IF($H55="1+3", $C55 + CADASTROS!$E$4, "")))), "")</f>
        <v>45188</v>
      </c>
      <c r="L55" s="8">
        <f t="shared" si="1"/>
        <v>2291.3333333333335</v>
      </c>
      <c r="M55" s="3">
        <f>IF($N55&lt;&gt;"", IF($H55="A VISTA", "", IF($H55="1+1", $C55 + CADASTROS!$C$4, IF($H55="1+2", $C55 + CADASTROS!$D$5, IF($H55="1+3", $C55 + CADASTROS!$D$6, "")))), "")</f>
        <v>45203</v>
      </c>
      <c r="N55" s="8">
        <f t="shared" si="2"/>
        <v>2291.3333333333326</v>
      </c>
      <c r="O55" s="22"/>
      <c r="P55" s="8" t="str">
        <f t="shared" si="3"/>
        <v/>
      </c>
    </row>
    <row r="56" spans="1:16">
      <c r="A56" s="2" t="s">
        <v>192</v>
      </c>
      <c r="B56" s="6" t="s">
        <v>51</v>
      </c>
      <c r="C56" s="7">
        <v>45315</v>
      </c>
      <c r="D56" s="7" t="s">
        <v>100</v>
      </c>
      <c r="E56" s="4" t="s">
        <v>111</v>
      </c>
      <c r="F56" s="4" t="s">
        <v>121</v>
      </c>
      <c r="G56" s="8">
        <v>9167</v>
      </c>
      <c r="H56" s="8" t="s">
        <v>138</v>
      </c>
      <c r="I56" s="3">
        <f>IF($H56="A VISTA", C56 + CADASTROS!$B$3, IF($H56="1+1", C56 + CADASTROS!$B$4, IF(H56="1+2", C56 + CADASTROS!$B$5, IF(H56="1+3", C56 + CADASTROS!$B$6, ""))))</f>
        <v>45316</v>
      </c>
      <c r="J56" s="8">
        <f t="shared" si="0"/>
        <v>4583.5</v>
      </c>
      <c r="K56" s="3">
        <f>IF($L56&lt;&gt;"", IF($H56="A VISTA", "", IF($H56="1+1", $C56 + CADASTROS!$C$4, IF($H56="1+2", $C56 + CADASTROS!$C$5, IF($H56="1+3", $C56 + CADASTROS!$E$4, "")))), "")</f>
        <v>45345</v>
      </c>
      <c r="L56" s="8">
        <f t="shared" si="1"/>
        <v>4583.5</v>
      </c>
      <c r="M56" s="3" t="str">
        <f>IF($N56&lt;&gt;"", IF($H56="A VISTA", "", IF($H56="1+1", $C56 + CADASTROS!$C$4, IF($H56="1+2", $C56 + CADASTROS!$D$5, IF($H56="1+3", $C56 + CADASTROS!$D$6, "")))), "")</f>
        <v/>
      </c>
      <c r="N56" s="8" t="str">
        <f t="shared" si="2"/>
        <v/>
      </c>
      <c r="O56" s="22"/>
      <c r="P56" s="8" t="str">
        <f t="shared" si="3"/>
        <v/>
      </c>
    </row>
    <row r="57" spans="1:16">
      <c r="A57" s="2" t="s">
        <v>193</v>
      </c>
      <c r="B57" s="6" t="s">
        <v>18</v>
      </c>
      <c r="C57" s="7">
        <v>45284</v>
      </c>
      <c r="D57" s="7" t="s">
        <v>67</v>
      </c>
      <c r="E57" s="4" t="s">
        <v>111</v>
      </c>
      <c r="F57" s="4" t="s">
        <v>121</v>
      </c>
      <c r="G57" s="8">
        <v>9532</v>
      </c>
      <c r="H57" s="8" t="s">
        <v>137</v>
      </c>
      <c r="I57" s="3">
        <f>IF($H57="A VISTA", C57 + CADASTROS!$B$3, IF($H57="1+1", C57 + CADASTROS!$B$4, IF(H57="1+2", C57 + CADASTROS!$B$5, IF(H57="1+3", C57 + CADASTROS!$B$6, ""))))</f>
        <v>45285</v>
      </c>
      <c r="J57" s="8">
        <f t="shared" si="0"/>
        <v>3177.3333333333335</v>
      </c>
      <c r="K57" s="3">
        <f>IF($L57&lt;&gt;"", IF($H57="A VISTA", "", IF($H57="1+1", $C57 + CADASTROS!$C$4, IF($H57="1+2", $C57 + CADASTROS!$C$5, IF($H57="1+3", $C57 + CADASTROS!$E$4, "")))), "")</f>
        <v>45314</v>
      </c>
      <c r="L57" s="8">
        <f t="shared" si="1"/>
        <v>3177.3333333333335</v>
      </c>
      <c r="M57" s="3">
        <f>IF($N57&lt;&gt;"", IF($H57="A VISTA", "", IF($H57="1+1", $C57 + CADASTROS!$C$4, IF($H57="1+2", $C57 + CADASTROS!$D$5, IF($H57="1+3", $C57 + CADASTROS!$D$6, "")))), "")</f>
        <v>45329</v>
      </c>
      <c r="N57" s="8">
        <f t="shared" si="2"/>
        <v>3177.3333333333326</v>
      </c>
      <c r="O57" s="22"/>
      <c r="P57" s="8" t="str">
        <f t="shared" si="3"/>
        <v/>
      </c>
    </row>
    <row r="58" spans="1:16">
      <c r="A58" s="2" t="s">
        <v>194</v>
      </c>
      <c r="B58" s="6" t="s">
        <v>49</v>
      </c>
      <c r="C58" s="7">
        <v>45441</v>
      </c>
      <c r="D58" s="7" t="s">
        <v>98</v>
      </c>
      <c r="E58" s="4" t="s">
        <v>110</v>
      </c>
      <c r="F58" s="4" t="s">
        <v>125</v>
      </c>
      <c r="G58" s="8">
        <v>4103</v>
      </c>
      <c r="H58" s="8" t="s">
        <v>126</v>
      </c>
      <c r="I58" s="3">
        <f>IF($H58="A VISTA", C58 + CADASTROS!$B$3, IF($H58="1+1", C58 + CADASTROS!$B$4, IF(H58="1+2", C58 + CADASTROS!$B$5, IF(H58="1+3", C58 + CADASTROS!$B$6, ""))))</f>
        <v>45442</v>
      </c>
      <c r="J58" s="8">
        <f t="shared" si="0"/>
        <v>4103</v>
      </c>
      <c r="K58" s="3" t="str">
        <f>IF($L58&lt;&gt;"", IF($H58="A VISTA", "", IF($H58="1+1", $C58 + CADASTROS!$C$4, IF($H58="1+2", $C58 + CADASTROS!$C$5, IF($H58="1+3", $C58 + CADASTROS!$E$4, "")))), "")</f>
        <v/>
      </c>
      <c r="L58" s="8" t="str">
        <f t="shared" si="1"/>
        <v/>
      </c>
      <c r="M58" s="3" t="str">
        <f>IF($N58&lt;&gt;"", IF($H58="A VISTA", "", IF($H58="1+1", $C58 + CADASTROS!$C$4, IF($H58="1+2", $C58 + CADASTROS!$D$5, IF($H58="1+3", $C58 + CADASTROS!$D$6, "")))), "")</f>
        <v/>
      </c>
      <c r="N58" s="8" t="str">
        <f t="shared" si="2"/>
        <v/>
      </c>
      <c r="O58" s="22"/>
      <c r="P58" s="8" t="str">
        <f t="shared" si="3"/>
        <v/>
      </c>
    </row>
    <row r="59" spans="1:16">
      <c r="A59" s="2" t="s">
        <v>195</v>
      </c>
      <c r="B59" s="6" t="s">
        <v>24</v>
      </c>
      <c r="C59" s="7">
        <v>45354</v>
      </c>
      <c r="D59" s="7" t="s">
        <v>73</v>
      </c>
      <c r="E59" s="4" t="s">
        <v>112</v>
      </c>
      <c r="F59" s="4" t="s">
        <v>122</v>
      </c>
      <c r="G59" s="8">
        <v>3979</v>
      </c>
      <c r="H59" s="8" t="s">
        <v>126</v>
      </c>
      <c r="I59" s="3">
        <f>IF($H59="A VISTA", C59 + CADASTROS!$B$3, IF($H59="1+1", C59 + CADASTROS!$B$4, IF(H59="1+2", C59 + CADASTROS!$B$5, IF(H59="1+3", C59 + CADASTROS!$B$6, ""))))</f>
        <v>45355</v>
      </c>
      <c r="J59" s="8">
        <f t="shared" si="0"/>
        <v>3979</v>
      </c>
      <c r="K59" s="3" t="str">
        <f>IF($L59&lt;&gt;"", IF($H59="A VISTA", "", IF($H59="1+1", $C59 + CADASTROS!$C$4, IF($H59="1+2", $C59 + CADASTROS!$C$5, IF($H59="1+3", $C59 + CADASTROS!$E$4, "")))), "")</f>
        <v/>
      </c>
      <c r="L59" s="8" t="str">
        <f t="shared" si="1"/>
        <v/>
      </c>
      <c r="M59" s="3" t="str">
        <f>IF($N59&lt;&gt;"", IF($H59="A VISTA", "", IF($H59="1+1", $C59 + CADASTROS!$C$4, IF($H59="1+2", $C59 + CADASTROS!$D$5, IF($H59="1+3", $C59 + CADASTROS!$D$6, "")))), "")</f>
        <v/>
      </c>
      <c r="N59" s="8" t="str">
        <f t="shared" si="2"/>
        <v/>
      </c>
      <c r="O59" s="22"/>
      <c r="P59" s="8" t="str">
        <f t="shared" si="3"/>
        <v/>
      </c>
    </row>
    <row r="60" spans="1:16">
      <c r="A60" s="2" t="s">
        <v>196</v>
      </c>
      <c r="B60" s="6" t="s">
        <v>13</v>
      </c>
      <c r="C60" s="7">
        <v>45306</v>
      </c>
      <c r="D60" s="7" t="s">
        <v>63</v>
      </c>
      <c r="E60" s="4" t="s">
        <v>111</v>
      </c>
      <c r="F60" s="4" t="s">
        <v>120</v>
      </c>
      <c r="G60" s="8">
        <v>3454</v>
      </c>
      <c r="H60" s="8" t="s">
        <v>136</v>
      </c>
      <c r="I60" s="3">
        <f>IF($H60="A VISTA", C60 + CADASTROS!$B$3, IF($H60="1+1", C60 + CADASTROS!$B$4, IF(H60="1+2", C60 + CADASTROS!$B$5, IF(H60="1+3", C60 + CADASTROS!$B$6, ""))))</f>
        <v>45307</v>
      </c>
      <c r="J60" s="8">
        <f t="shared" si="0"/>
        <v>863.5</v>
      </c>
      <c r="K60" s="3">
        <f>IF($L60&lt;&gt;"", IF($H60="A VISTA", "", IF($H60="1+1", $C60 + CADASTROS!$C$4, IF($H60="1+2", $C60 + CADASTROS!$C$5, IF($H60="1+3", $C60 + CADASTROS!$E$4, "")))), "")</f>
        <v>45306</v>
      </c>
      <c r="L60" s="8">
        <f t="shared" si="1"/>
        <v>863.5</v>
      </c>
      <c r="M60" s="3">
        <f>IF($N60&lt;&gt;"", IF($H60="A VISTA", "", IF($H60="1+1", $C60 + CADASTROS!$C$4, IF($H60="1+2", $C60 + CADASTROS!$D$5, IF($H60="1+3", $C60 + CADASTROS!$D$6, "")))), "")</f>
        <v>45351</v>
      </c>
      <c r="N60" s="8">
        <f t="shared" si="2"/>
        <v>863.5</v>
      </c>
      <c r="O60" s="3">
        <f>IF($P60&lt;&gt;"", IF($H60="A VISTA", "", IF($H60="1+1", $C60 + CADASTROS!$C$4, IF($H60="1+2", $C60 + CADASTROS!$C$5, IF($H60="1+3", $C60 + CADASTROS!$E$6, "")))), "")</f>
        <v>45366</v>
      </c>
      <c r="P60" s="8">
        <f t="shared" si="3"/>
        <v>863.5</v>
      </c>
    </row>
    <row r="61" spans="1:16">
      <c r="A61" s="2" t="s">
        <v>197</v>
      </c>
      <c r="B61" s="6" t="s">
        <v>46</v>
      </c>
      <c r="C61" s="7">
        <v>45277</v>
      </c>
      <c r="D61" s="7" t="s">
        <v>95</v>
      </c>
      <c r="E61" s="4" t="s">
        <v>112</v>
      </c>
      <c r="F61" s="4" t="s">
        <v>122</v>
      </c>
      <c r="G61" s="8">
        <v>1846</v>
      </c>
      <c r="H61" s="8" t="s">
        <v>126</v>
      </c>
      <c r="I61" s="3">
        <f>IF($H61="A VISTA", C61 + CADASTROS!$B$3, IF($H61="1+1", C61 + CADASTROS!$B$4, IF(H61="1+2", C61 + CADASTROS!$B$5, IF(H61="1+3", C61 + CADASTROS!$B$6, ""))))</f>
        <v>45278</v>
      </c>
      <c r="J61" s="8">
        <f t="shared" si="0"/>
        <v>1846</v>
      </c>
      <c r="K61" s="3" t="str">
        <f>IF($L61&lt;&gt;"", IF($H61="A VISTA", "", IF($H61="1+1", $C61 + CADASTROS!$C$4, IF($H61="1+2", $C61 + CADASTROS!$C$5, IF($H61="1+3", $C61 + CADASTROS!$E$4, "")))), "")</f>
        <v/>
      </c>
      <c r="L61" s="8" t="str">
        <f t="shared" si="1"/>
        <v/>
      </c>
      <c r="M61" s="3" t="str">
        <f>IF($N61&lt;&gt;"", IF($H61="A VISTA", "", IF($H61="1+1", $C61 + CADASTROS!$C$4, IF($H61="1+2", $C61 + CADASTROS!$D$5, IF($H61="1+3", $C61 + CADASTROS!$D$6, "")))), "")</f>
        <v/>
      </c>
      <c r="N61" s="8" t="str">
        <f t="shared" si="2"/>
        <v/>
      </c>
      <c r="O61" s="22"/>
      <c r="P61" s="8" t="str">
        <f t="shared" si="3"/>
        <v/>
      </c>
    </row>
    <row r="62" spans="1:16">
      <c r="A62" s="2" t="s">
        <v>198</v>
      </c>
      <c r="B62" s="6" t="s">
        <v>30</v>
      </c>
      <c r="C62" s="7">
        <v>45203</v>
      </c>
      <c r="D62" s="7" t="s">
        <v>79</v>
      </c>
      <c r="E62" s="4" t="s">
        <v>111</v>
      </c>
      <c r="F62" s="4" t="s">
        <v>118</v>
      </c>
      <c r="G62" s="8">
        <v>4464</v>
      </c>
      <c r="H62" s="8" t="s">
        <v>126</v>
      </c>
      <c r="I62" s="3">
        <f>IF($H62="A VISTA", C62 + CADASTROS!$B$3, IF($H62="1+1", C62 + CADASTROS!$B$4, IF(H62="1+2", C62 + CADASTROS!$B$5, IF(H62="1+3", C62 + CADASTROS!$B$6, ""))))</f>
        <v>45204</v>
      </c>
      <c r="J62" s="8">
        <f t="shared" si="0"/>
        <v>4464</v>
      </c>
      <c r="K62" s="3" t="str">
        <f>IF($L62&lt;&gt;"", IF($H62="A VISTA", "", IF($H62="1+1", $C62 + CADASTROS!$C$4, IF($H62="1+2", $C62 + CADASTROS!$C$5, IF($H62="1+3", $C62 + CADASTROS!$E$4, "")))), "")</f>
        <v/>
      </c>
      <c r="L62" s="8" t="str">
        <f t="shared" si="1"/>
        <v/>
      </c>
      <c r="M62" s="3" t="str">
        <f>IF($N62&lt;&gt;"", IF($H62="A VISTA", "", IF($H62="1+1", $C62 + CADASTROS!$C$4, IF($H62="1+2", $C62 + CADASTROS!$D$5, IF($H62="1+3", $C62 + CADASTROS!$D$6, "")))), "")</f>
        <v/>
      </c>
      <c r="N62" s="8" t="str">
        <f t="shared" si="2"/>
        <v/>
      </c>
      <c r="O62" s="22"/>
      <c r="P62" s="8" t="str">
        <f t="shared" si="3"/>
        <v/>
      </c>
    </row>
    <row r="63" spans="1:16">
      <c r="A63" s="2" t="s">
        <v>199</v>
      </c>
      <c r="B63" s="6" t="s">
        <v>38</v>
      </c>
      <c r="C63" s="7">
        <v>45238</v>
      </c>
      <c r="D63" s="7" t="s">
        <v>87</v>
      </c>
      <c r="E63" s="4" t="s">
        <v>110</v>
      </c>
      <c r="F63" s="4" t="s">
        <v>125</v>
      </c>
      <c r="G63" s="8">
        <v>4026</v>
      </c>
      <c r="H63" s="8" t="s">
        <v>137</v>
      </c>
      <c r="I63" s="3">
        <f>IF($H63="A VISTA", C63 + CADASTROS!$B$3, IF($H63="1+1", C63 + CADASTROS!$B$4, IF(H63="1+2", C63 + CADASTROS!$B$5, IF(H63="1+3", C63 + CADASTROS!$B$6, ""))))</f>
        <v>45239</v>
      </c>
      <c r="J63" s="8">
        <f t="shared" si="0"/>
        <v>1342</v>
      </c>
      <c r="K63" s="3">
        <f>IF($L63&lt;&gt;"", IF($H63="A VISTA", "", IF($H63="1+1", $C63 + CADASTROS!$C$4, IF($H63="1+2", $C63 + CADASTROS!$C$5, IF($H63="1+3", $C63 + CADASTROS!$E$4, "")))), "")</f>
        <v>45268</v>
      </c>
      <c r="L63" s="8">
        <f t="shared" si="1"/>
        <v>1342</v>
      </c>
      <c r="M63" s="3">
        <f>IF($N63&lt;&gt;"", IF($H63="A VISTA", "", IF($H63="1+1", $C63 + CADASTROS!$C$4, IF($H63="1+2", $C63 + CADASTROS!$D$5, IF($H63="1+3", $C63 + CADASTROS!$D$6, "")))), "")</f>
        <v>45283</v>
      </c>
      <c r="N63" s="8">
        <f t="shared" si="2"/>
        <v>1342</v>
      </c>
      <c r="O63" s="3" t="str">
        <f>IF($P63&lt;&gt;"", IF($H63="A VISTA", "", IF($H63="1+1", $C63 + CADASTROS!$C$4, IF($H63="1+2", $C63 + CADASTROS!$C$5, IF($H63="1+3", $C63 + CADASTROS!$E$6, "")))), "")</f>
        <v/>
      </c>
      <c r="P63" s="8" t="str">
        <f t="shared" si="3"/>
        <v/>
      </c>
    </row>
    <row r="64" spans="1:16">
      <c r="A64" s="2" t="s">
        <v>200</v>
      </c>
      <c r="B64" s="6" t="s">
        <v>52</v>
      </c>
      <c r="C64" s="7">
        <v>45143</v>
      </c>
      <c r="D64" s="7" t="s">
        <v>101</v>
      </c>
      <c r="E64" s="4" t="s">
        <v>111</v>
      </c>
      <c r="F64" s="4" t="s">
        <v>118</v>
      </c>
      <c r="G64" s="8">
        <v>7675</v>
      </c>
      <c r="H64" s="8" t="s">
        <v>137</v>
      </c>
      <c r="I64" s="3">
        <f>IF($H64="A VISTA", C64 + CADASTROS!$B$3, IF($H64="1+1", C64 + CADASTROS!$B$4, IF(H64="1+2", C64 + CADASTROS!$B$5, IF(H64="1+3", C64 + CADASTROS!$B$6, ""))))</f>
        <v>45144</v>
      </c>
      <c r="J64" s="8">
        <f t="shared" si="0"/>
        <v>2558.3333333333335</v>
      </c>
      <c r="K64" s="3">
        <f>IF($L64&lt;&gt;"", IF($H64="A VISTA", "", IF($H64="1+1", $C64 + CADASTROS!$C$4, IF($H64="1+2", $C64 + CADASTROS!$C$5, IF($H64="1+3", $C64 + CADASTROS!$E$4, "")))), "")</f>
        <v>45173</v>
      </c>
      <c r="L64" s="8">
        <f t="shared" si="1"/>
        <v>2558.3333333333335</v>
      </c>
      <c r="M64" s="3">
        <f>IF($N64&lt;&gt;"", IF($H64="A VISTA", "", IF($H64="1+1", $C64 + CADASTROS!$C$4, IF($H64="1+2", $C64 + CADASTROS!$D$5, IF($H64="1+3", $C64 + CADASTROS!$D$6, "")))), "")</f>
        <v>45188</v>
      </c>
      <c r="N64" s="8">
        <f t="shared" si="2"/>
        <v>2558.3333333333326</v>
      </c>
      <c r="O64" s="3" t="str">
        <f>IF($P64&lt;&gt;"", IF($H64="A VISTA", "", IF($H64="1+1", $C64 + CADASTROS!$C$4, IF($H64="1+2", $C64 + CADASTROS!$C$5, IF($H64="1+3", $C64 + CADASTROS!$E$6, "")))), "")</f>
        <v/>
      </c>
      <c r="P64" s="8" t="str">
        <f t="shared" si="3"/>
        <v/>
      </c>
    </row>
    <row r="65" spans="1:16">
      <c r="A65" s="2" t="s">
        <v>201</v>
      </c>
      <c r="B65" s="6" t="s">
        <v>41</v>
      </c>
      <c r="C65" s="7">
        <v>45123</v>
      </c>
      <c r="D65" s="7" t="s">
        <v>90</v>
      </c>
      <c r="E65" s="4" t="s">
        <v>111</v>
      </c>
      <c r="F65" s="4" t="s">
        <v>118</v>
      </c>
      <c r="G65" s="8">
        <v>1083</v>
      </c>
      <c r="H65" s="8" t="s">
        <v>138</v>
      </c>
      <c r="I65" s="3">
        <f>IF($H65="A VISTA", C65 + CADASTROS!$B$3, IF($H65="1+1", C65 + CADASTROS!$B$4, IF(H65="1+2", C65 + CADASTROS!$B$5, IF(H65="1+3", C65 + CADASTROS!$B$6, ""))))</f>
        <v>45124</v>
      </c>
      <c r="J65" s="8">
        <f t="shared" si="0"/>
        <v>541.5</v>
      </c>
      <c r="K65" s="3">
        <f>IF($L65&lt;&gt;"", IF($H65="A VISTA", "", IF($H65="1+1", $C65 + CADASTROS!$C$4, IF($H65="1+2", $C65 + CADASTROS!$C$5, IF($H65="1+3", $C65 + CADASTROS!$E$4, "")))), "")</f>
        <v>45153</v>
      </c>
      <c r="L65" s="8">
        <f t="shared" si="1"/>
        <v>541.5</v>
      </c>
      <c r="M65" s="3" t="str">
        <f>IF($N65&lt;&gt;"", IF($H65="A VISTA", "", IF($H65="1+1", $C65 + CADASTROS!$C$4, IF($H65="1+2", $C65 + CADASTROS!$D$5, IF($H65="1+3", $C65 + CADASTROS!$D$6, "")))), "")</f>
        <v/>
      </c>
      <c r="N65" s="8" t="str">
        <f t="shared" si="2"/>
        <v/>
      </c>
      <c r="O65" s="22"/>
      <c r="P65" s="8" t="str">
        <f t="shared" si="3"/>
        <v/>
      </c>
    </row>
    <row r="66" spans="1:16">
      <c r="A66" s="2" t="s">
        <v>202</v>
      </c>
      <c r="B66" s="6" t="s">
        <v>43</v>
      </c>
      <c r="C66" s="7">
        <v>45208</v>
      </c>
      <c r="D66" s="7" t="s">
        <v>92</v>
      </c>
      <c r="E66" s="4" t="s">
        <v>110</v>
      </c>
      <c r="F66" s="4" t="s">
        <v>124</v>
      </c>
      <c r="G66" s="8">
        <v>937</v>
      </c>
      <c r="H66" s="8" t="s">
        <v>138</v>
      </c>
      <c r="I66" s="3">
        <f>IF($H66="A VISTA", C66 + CADASTROS!$B$3, IF($H66="1+1", C66 + CADASTROS!$B$4, IF(H66="1+2", C66 + CADASTROS!$B$5, IF(H66="1+3", C66 + CADASTROS!$B$6, ""))))</f>
        <v>45209</v>
      </c>
      <c r="J66" s="8">
        <f t="shared" si="0"/>
        <v>468.5</v>
      </c>
      <c r="K66" s="3">
        <f>IF($L66&lt;&gt;"", IF($H66="A VISTA", "", IF($H66="1+1", $C66 + CADASTROS!$C$4, IF($H66="1+2", $C66 + CADASTROS!$C$5, IF($H66="1+3", $C66 + CADASTROS!$E$4, "")))), "")</f>
        <v>45238</v>
      </c>
      <c r="L66" s="8">
        <f t="shared" si="1"/>
        <v>468.5</v>
      </c>
      <c r="M66" s="3" t="str">
        <f>IF($N66&lt;&gt;"", IF($H66="A VISTA", "", IF($H66="1+1", $C66 + CADASTROS!$C$4, IF($H66="1+2", $C66 + CADASTROS!$D$5, IF($H66="1+3", $C66 + CADASTROS!$D$6, "")))), "")</f>
        <v/>
      </c>
      <c r="N66" s="8" t="str">
        <f t="shared" si="2"/>
        <v/>
      </c>
      <c r="O66" s="22"/>
      <c r="P66" s="8" t="str">
        <f t="shared" si="3"/>
        <v/>
      </c>
    </row>
    <row r="67" spans="1:16">
      <c r="A67" s="2" t="s">
        <v>203</v>
      </c>
      <c r="B67" s="6" t="s">
        <v>53</v>
      </c>
      <c r="C67" s="7">
        <v>45385</v>
      </c>
      <c r="D67" s="7" t="s">
        <v>102</v>
      </c>
      <c r="E67" s="4" t="s">
        <v>111</v>
      </c>
      <c r="F67" s="4" t="s">
        <v>117</v>
      </c>
      <c r="G67" s="8">
        <v>5152</v>
      </c>
      <c r="H67" s="8" t="s">
        <v>138</v>
      </c>
      <c r="I67" s="3">
        <f>IF($H67="A VISTA", C67 + CADASTROS!$B$3, IF($H67="1+1", C67 + CADASTROS!$B$4, IF(H67="1+2", C67 + CADASTROS!$B$5, IF(H67="1+3", C67 + CADASTROS!$B$6, ""))))</f>
        <v>45386</v>
      </c>
      <c r="J67" s="8">
        <f t="shared" ref="J67:J130" si="4">IF($H67="A VISTA", $G67, IF($H67="1+1", $G67/2, IF($H67="1+2", $G67/3, IF($H67="1+3", $G67/4, ""))))</f>
        <v>2576</v>
      </c>
      <c r="K67" s="3">
        <f>IF($L67&lt;&gt;"", IF($H67="A VISTA", "", IF($H67="1+1", $C67 + CADASTROS!$C$4, IF($H67="1+2", $C67 + CADASTROS!$C$5, IF($H67="1+3", $C67 + CADASTROS!$E$4, "")))), "")</f>
        <v>45415</v>
      </c>
      <c r="L67" s="8">
        <f t="shared" ref="L67:L130" si="5">IF($H67="A VISTA", "", IF($H67="1+1", $G67-$J67, IF($H67="1+2", $G67/3, IF($H67="1+3", ($G67-$J67)/3, ""))))</f>
        <v>2576</v>
      </c>
      <c r="M67" s="3" t="str">
        <f>IF($N67&lt;&gt;"", IF($H67="A VISTA", "", IF($H67="1+1", $C67 + CADASTROS!$C$4, IF($H67="1+2", $C67 + CADASTROS!$D$5, IF($H67="1+3", $C67 + CADASTROS!$D$6, "")))), "")</f>
        <v/>
      </c>
      <c r="N67" s="8" t="str">
        <f t="shared" ref="N67:N130" si="6">IF($H67="A VISTA","",IF($H67="1+2",$G67-$J67-$L67,IF($H67="1+3",($G67-$J67-$L67)/2,"")))</f>
        <v/>
      </c>
      <c r="O67" s="22"/>
      <c r="P67" s="8" t="str">
        <f t="shared" ref="P67:P130" si="7">IF($H67="A VISTA", "", IF($H67="1+3", $G67-$J67-$L67-$N67, ""))</f>
        <v/>
      </c>
    </row>
    <row r="68" spans="1:16">
      <c r="A68" s="2" t="s">
        <v>204</v>
      </c>
      <c r="B68" s="6" t="s">
        <v>51</v>
      </c>
      <c r="C68" s="7">
        <v>45194</v>
      </c>
      <c r="D68" s="7" t="s">
        <v>100</v>
      </c>
      <c r="E68" s="4" t="s">
        <v>111</v>
      </c>
      <c r="F68" s="4" t="s">
        <v>121</v>
      </c>
      <c r="G68" s="8">
        <v>1653</v>
      </c>
      <c r="H68" s="8" t="s">
        <v>136</v>
      </c>
      <c r="I68" s="3">
        <f>IF($H68="A VISTA", C68 + CADASTROS!$B$3, IF($H68="1+1", C68 + CADASTROS!$B$4, IF(H68="1+2", C68 + CADASTROS!$B$5, IF(H68="1+3", C68 + CADASTROS!$B$6, ""))))</f>
        <v>45195</v>
      </c>
      <c r="J68" s="8">
        <f t="shared" si="4"/>
        <v>413.25</v>
      </c>
      <c r="K68" s="3">
        <f>IF($L68&lt;&gt;"", IF($H68="A VISTA", "", IF($H68="1+1", $C68 + CADASTROS!$C$4, IF($H68="1+2", $C68 + CADASTROS!$C$5, IF($H68="1+3", $C68 + CADASTROS!$E$4, "")))), "")</f>
        <v>45194</v>
      </c>
      <c r="L68" s="8">
        <f t="shared" si="5"/>
        <v>413.25</v>
      </c>
      <c r="M68" s="3">
        <f>IF($N68&lt;&gt;"", IF($H68="A VISTA", "", IF($H68="1+1", $C68 + CADASTROS!$C$4, IF($H68="1+2", $C68 + CADASTROS!$D$5, IF($H68="1+3", $C68 + CADASTROS!$D$6, "")))), "")</f>
        <v>45239</v>
      </c>
      <c r="N68" s="8">
        <f t="shared" si="6"/>
        <v>413.25</v>
      </c>
      <c r="O68" s="3">
        <f>IF($P68&lt;&gt;"", IF($H68="A VISTA", "", IF($H68="1+1", $C68 + CADASTROS!$C$4, IF($H68="1+2", $C68 + CADASTROS!$C$5, IF($H68="1+3", $C68 + CADASTROS!$E$6, "")))), "")</f>
        <v>45254</v>
      </c>
      <c r="P68" s="8">
        <f t="shared" si="7"/>
        <v>413.25</v>
      </c>
    </row>
    <row r="69" spans="1:16">
      <c r="A69" s="2" t="s">
        <v>205</v>
      </c>
      <c r="B69" s="6" t="s">
        <v>44</v>
      </c>
      <c r="C69" s="7">
        <v>45501</v>
      </c>
      <c r="D69" s="7" t="s">
        <v>93</v>
      </c>
      <c r="E69" s="4" t="s">
        <v>111</v>
      </c>
      <c r="F69" s="4" t="s">
        <v>119</v>
      </c>
      <c r="G69" s="8">
        <v>1492</v>
      </c>
      <c r="H69" s="8" t="s">
        <v>136</v>
      </c>
      <c r="I69" s="3">
        <f>IF($H69="A VISTA", C69 + CADASTROS!$B$3, IF($H69="1+1", C69 + CADASTROS!$B$4, IF(H69="1+2", C69 + CADASTROS!$B$5, IF(H69="1+3", C69 + CADASTROS!$B$6, ""))))</f>
        <v>45502</v>
      </c>
      <c r="J69" s="8">
        <f t="shared" si="4"/>
        <v>373</v>
      </c>
      <c r="K69" s="3">
        <f>IF($L69&lt;&gt;"", IF($H69="A VISTA", "", IF($H69="1+1", $C69 + CADASTROS!$C$4, IF($H69="1+2", $C69 + CADASTROS!$C$5, IF($H69="1+3", $C69 + CADASTROS!$E$4, "")))), "")</f>
        <v>45501</v>
      </c>
      <c r="L69" s="8">
        <f t="shared" si="5"/>
        <v>373</v>
      </c>
      <c r="M69" s="3">
        <f>IF($N69&lt;&gt;"", IF($H69="A VISTA", "", IF($H69="1+1", $C69 + CADASTROS!$C$4, IF($H69="1+2", $C69 + CADASTROS!$D$5, IF($H69="1+3", $C69 + CADASTROS!$D$6, "")))), "")</f>
        <v>45546</v>
      </c>
      <c r="N69" s="8">
        <f t="shared" si="6"/>
        <v>373</v>
      </c>
      <c r="O69" s="3">
        <f>IF($P69&lt;&gt;"", IF($H69="A VISTA", "", IF($H69="1+1", $C69 + CADASTROS!$C$4, IF($H69="1+2", $C69 + CADASTROS!$C$5, IF($H69="1+3", $C69 + CADASTROS!$E$6, "")))), "")</f>
        <v>45561</v>
      </c>
      <c r="P69" s="8">
        <f t="shared" si="7"/>
        <v>373</v>
      </c>
    </row>
    <row r="70" spans="1:16">
      <c r="A70" s="2" t="s">
        <v>206</v>
      </c>
      <c r="B70" s="6" t="s">
        <v>32</v>
      </c>
      <c r="C70" s="7">
        <v>45053</v>
      </c>
      <c r="D70" s="7" t="s">
        <v>81</v>
      </c>
      <c r="E70" s="4" t="s">
        <v>110</v>
      </c>
      <c r="F70" s="4" t="s">
        <v>124</v>
      </c>
      <c r="G70" s="8">
        <v>1271</v>
      </c>
      <c r="H70" s="8" t="s">
        <v>136</v>
      </c>
      <c r="I70" s="3">
        <f>IF($H70="A VISTA", C70 + CADASTROS!$B$3, IF($H70="1+1", C70 + CADASTROS!$B$4, IF(H70="1+2", C70 + CADASTROS!$B$5, IF(H70="1+3", C70 + CADASTROS!$B$6, ""))))</f>
        <v>45054</v>
      </c>
      <c r="J70" s="8">
        <f t="shared" si="4"/>
        <v>317.75</v>
      </c>
      <c r="K70" s="3">
        <f>IF($L70&lt;&gt;"", IF($H70="A VISTA", "", IF($H70="1+1", $C70 + CADASTROS!$C$4, IF($H70="1+2", $C70 + CADASTROS!$C$5, IF($H70="1+3", $C70 + CADASTROS!$E$4, "")))), "")</f>
        <v>45053</v>
      </c>
      <c r="L70" s="8">
        <f t="shared" si="5"/>
        <v>317.75</v>
      </c>
      <c r="M70" s="3">
        <f>IF($N70&lt;&gt;"", IF($H70="A VISTA", "", IF($H70="1+1", $C70 + CADASTROS!$C$4, IF($H70="1+2", $C70 + CADASTROS!$D$5, IF($H70="1+3", $C70 + CADASTROS!$D$6, "")))), "")</f>
        <v>45098</v>
      </c>
      <c r="N70" s="8">
        <f t="shared" si="6"/>
        <v>317.75</v>
      </c>
      <c r="O70" s="3">
        <f>IF($P70&lt;&gt;"", IF($H70="A VISTA", "", IF($H70="1+1", $C70 + CADASTROS!$C$4, IF($H70="1+2", $C70 + CADASTROS!$C$5, IF($H70="1+3", $C70 + CADASTROS!$E$6, "")))), "")</f>
        <v>45113</v>
      </c>
      <c r="P70" s="8">
        <f t="shared" si="7"/>
        <v>317.75</v>
      </c>
    </row>
    <row r="71" spans="1:16">
      <c r="A71" s="2" t="s">
        <v>207</v>
      </c>
      <c r="B71" s="6" t="s">
        <v>60</v>
      </c>
      <c r="C71" s="7">
        <v>45547</v>
      </c>
      <c r="D71" s="7" t="s">
        <v>109</v>
      </c>
      <c r="E71" s="4" t="s">
        <v>111</v>
      </c>
      <c r="F71" s="4" t="s">
        <v>118</v>
      </c>
      <c r="G71" s="8">
        <v>4805</v>
      </c>
      <c r="H71" s="8" t="s">
        <v>137</v>
      </c>
      <c r="I71" s="3">
        <f>IF($H71="A VISTA", C71 + CADASTROS!$B$3, IF($H71="1+1", C71 + CADASTROS!$B$4, IF(H71="1+2", C71 + CADASTROS!$B$5, IF(H71="1+3", C71 + CADASTROS!$B$6, ""))))</f>
        <v>45548</v>
      </c>
      <c r="J71" s="8">
        <f t="shared" si="4"/>
        <v>1601.6666666666667</v>
      </c>
      <c r="K71" s="3">
        <f>IF($L71&lt;&gt;"", IF($H71="A VISTA", "", IF($H71="1+1", $C71 + CADASTROS!$C$4, IF($H71="1+2", $C71 + CADASTROS!$C$5, IF($H71="1+3", $C71 + CADASTROS!$E$4, "")))), "")</f>
        <v>45577</v>
      </c>
      <c r="L71" s="8">
        <f t="shared" si="5"/>
        <v>1601.6666666666667</v>
      </c>
      <c r="M71" s="3">
        <f>IF($N71&lt;&gt;"", IF($H71="A VISTA", "", IF($H71="1+1", $C71 + CADASTROS!$C$4, IF($H71="1+2", $C71 + CADASTROS!$D$5, IF($H71="1+3", $C71 + CADASTROS!$D$6, "")))), "")</f>
        <v>45592</v>
      </c>
      <c r="N71" s="8">
        <f t="shared" si="6"/>
        <v>1601.6666666666663</v>
      </c>
      <c r="O71" s="3" t="str">
        <f>IF($P71&lt;&gt;"", IF($H71="A VISTA", "", IF($H71="1+1", $C71 + CADASTROS!$C$4, IF($H71="1+2", $C71 + CADASTROS!$C$5, IF($H71="1+3", $C71 + CADASTROS!$E$6, "")))), "")</f>
        <v/>
      </c>
      <c r="P71" s="8" t="str">
        <f t="shared" si="7"/>
        <v/>
      </c>
    </row>
    <row r="72" spans="1:16">
      <c r="A72" s="2" t="s">
        <v>208</v>
      </c>
      <c r="B72" s="6" t="s">
        <v>57</v>
      </c>
      <c r="C72" s="7">
        <v>45224</v>
      </c>
      <c r="D72" s="7" t="s">
        <v>106</v>
      </c>
      <c r="E72" s="4" t="s">
        <v>112</v>
      </c>
      <c r="F72" s="4" t="s">
        <v>122</v>
      </c>
      <c r="G72" s="8">
        <v>7493</v>
      </c>
      <c r="H72" s="8" t="s">
        <v>126</v>
      </c>
      <c r="I72" s="3">
        <f>IF($H72="A VISTA", C72 + CADASTROS!$B$3, IF($H72="1+1", C72 + CADASTROS!$B$4, IF(H72="1+2", C72 + CADASTROS!$B$5, IF(H72="1+3", C72 + CADASTROS!$B$6, ""))))</f>
        <v>45225</v>
      </c>
      <c r="J72" s="8">
        <f t="shared" si="4"/>
        <v>7493</v>
      </c>
      <c r="K72" s="3" t="str">
        <f>IF($L72&lt;&gt;"", IF($H72="A VISTA", "", IF($H72="1+1", $C72 + CADASTROS!$C$4, IF($H72="1+2", $C72 + CADASTROS!$C$5, IF($H72="1+3", $C72 + CADASTROS!$E$4, "")))), "")</f>
        <v/>
      </c>
      <c r="L72" s="8" t="str">
        <f t="shared" si="5"/>
        <v/>
      </c>
      <c r="M72" s="3" t="str">
        <f>IF($N72&lt;&gt;"", IF($H72="A VISTA", "", IF($H72="1+1", $C72 + CADASTROS!$C$4, IF($H72="1+2", $C72 + CADASTROS!$D$5, IF($H72="1+3", $C72 + CADASTROS!$D$6, "")))), "")</f>
        <v/>
      </c>
      <c r="N72" s="8" t="str">
        <f t="shared" si="6"/>
        <v/>
      </c>
      <c r="O72" s="22"/>
      <c r="P72" s="8" t="str">
        <f t="shared" si="7"/>
        <v/>
      </c>
    </row>
    <row r="73" spans="1:16">
      <c r="A73" s="2" t="s">
        <v>209</v>
      </c>
      <c r="B73" s="6" t="s">
        <v>22</v>
      </c>
      <c r="C73" s="7">
        <v>45325</v>
      </c>
      <c r="D73" s="7" t="s">
        <v>71</v>
      </c>
      <c r="E73" s="4" t="s">
        <v>111</v>
      </c>
      <c r="F73" s="4" t="s">
        <v>119</v>
      </c>
      <c r="G73" s="8">
        <v>7961</v>
      </c>
      <c r="H73" s="8" t="s">
        <v>136</v>
      </c>
      <c r="I73" s="3">
        <f>IF($H73="A VISTA", C73 + CADASTROS!$B$3, IF($H73="1+1", C73 + CADASTROS!$B$4, IF(H73="1+2", C73 + CADASTROS!$B$5, IF(H73="1+3", C73 + CADASTROS!$B$6, ""))))</f>
        <v>45326</v>
      </c>
      <c r="J73" s="8">
        <f t="shared" si="4"/>
        <v>1990.25</v>
      </c>
      <c r="K73" s="3">
        <f>IF($L73&lt;&gt;"", IF($H73="A VISTA", "", IF($H73="1+1", $C73 + CADASTROS!$C$4, IF($H73="1+2", $C73 + CADASTROS!$C$5, IF($H73="1+3", $C73 + CADASTROS!$E$4, "")))), "")</f>
        <v>45325</v>
      </c>
      <c r="L73" s="8">
        <f t="shared" si="5"/>
        <v>1990.25</v>
      </c>
      <c r="M73" s="3">
        <f>IF($N73&lt;&gt;"", IF($H73="A VISTA", "", IF($H73="1+1", $C73 + CADASTROS!$C$4, IF($H73="1+2", $C73 + CADASTROS!$D$5, IF($H73="1+3", $C73 + CADASTROS!$D$6, "")))), "")</f>
        <v>45370</v>
      </c>
      <c r="N73" s="8">
        <f t="shared" si="6"/>
        <v>1990.25</v>
      </c>
      <c r="O73" s="3">
        <f>IF($P73&lt;&gt;"", IF($H73="A VISTA", "", IF($H73="1+1", $C73 + CADASTROS!$C$4, IF($H73="1+2", $C73 + CADASTROS!$C$5, IF($H73="1+3", $C73 + CADASTROS!$E$6, "")))), "")</f>
        <v>45385</v>
      </c>
      <c r="P73" s="8">
        <f t="shared" si="7"/>
        <v>1990.25</v>
      </c>
    </row>
    <row r="74" spans="1:16">
      <c r="A74" s="2" t="s">
        <v>210</v>
      </c>
      <c r="B74" s="6" t="s">
        <v>28</v>
      </c>
      <c r="C74" s="7">
        <v>45202</v>
      </c>
      <c r="D74" s="7" t="s">
        <v>77</v>
      </c>
      <c r="E74" s="4" t="s">
        <v>110</v>
      </c>
      <c r="F74" s="4" t="s">
        <v>114</v>
      </c>
      <c r="G74" s="8">
        <v>7983</v>
      </c>
      <c r="H74" s="8" t="s">
        <v>136</v>
      </c>
      <c r="I74" s="3">
        <f>IF($H74="A VISTA", C74 + CADASTROS!$B$3, IF($H74="1+1", C74 + CADASTROS!$B$4, IF(H74="1+2", C74 + CADASTROS!$B$5, IF(H74="1+3", C74 + CADASTROS!$B$6, ""))))</f>
        <v>45203</v>
      </c>
      <c r="J74" s="8">
        <f t="shared" si="4"/>
        <v>1995.75</v>
      </c>
      <c r="K74" s="3">
        <f>IF($L74&lt;&gt;"", IF($H74="A VISTA", "", IF($H74="1+1", $C74 + CADASTROS!$C$4, IF($H74="1+2", $C74 + CADASTROS!$C$5, IF($H74="1+3", $C74 + CADASTROS!$E$4, "")))), "")</f>
        <v>45202</v>
      </c>
      <c r="L74" s="8">
        <f t="shared" si="5"/>
        <v>1995.75</v>
      </c>
      <c r="M74" s="3">
        <f>IF($N74&lt;&gt;"", IF($H74="A VISTA", "", IF($H74="1+1", $C74 + CADASTROS!$C$4, IF($H74="1+2", $C74 + CADASTROS!$D$5, IF($H74="1+3", $C74 + CADASTROS!$D$6, "")))), "")</f>
        <v>45247</v>
      </c>
      <c r="N74" s="8">
        <f t="shared" si="6"/>
        <v>1995.75</v>
      </c>
      <c r="O74" s="3">
        <f>IF($P74&lt;&gt;"", IF($H74="A VISTA", "", IF($H74="1+1", $C74 + CADASTROS!$C$4, IF($H74="1+2", $C74 + CADASTROS!$C$5, IF($H74="1+3", $C74 + CADASTROS!$E$6, "")))), "")</f>
        <v>45262</v>
      </c>
      <c r="P74" s="8">
        <f t="shared" si="7"/>
        <v>1995.75</v>
      </c>
    </row>
    <row r="75" spans="1:16">
      <c r="A75" s="2" t="s">
        <v>211</v>
      </c>
      <c r="B75" s="6" t="s">
        <v>36</v>
      </c>
      <c r="C75" s="7">
        <v>45294</v>
      </c>
      <c r="D75" s="7" t="s">
        <v>85</v>
      </c>
      <c r="E75" s="4" t="s">
        <v>111</v>
      </c>
      <c r="F75" s="4" t="s">
        <v>120</v>
      </c>
      <c r="G75" s="8">
        <v>1465</v>
      </c>
      <c r="H75" s="8" t="s">
        <v>126</v>
      </c>
      <c r="I75" s="3">
        <f>IF($H75="A VISTA", C75 + CADASTROS!$B$3, IF($H75="1+1", C75 + CADASTROS!$B$4, IF(H75="1+2", C75 + CADASTROS!$B$5, IF(H75="1+3", C75 + CADASTROS!$B$6, ""))))</f>
        <v>45295</v>
      </c>
      <c r="J75" s="8">
        <f t="shared" si="4"/>
        <v>1465</v>
      </c>
      <c r="K75" s="3" t="str">
        <f>IF($L75&lt;&gt;"", IF($H75="A VISTA", "", IF($H75="1+1", $C75 + CADASTROS!$C$4, IF($H75="1+2", $C75 + CADASTROS!$C$5, IF($H75="1+3", $C75 + CADASTROS!$E$4, "")))), "")</f>
        <v/>
      </c>
      <c r="L75" s="8" t="str">
        <f t="shared" si="5"/>
        <v/>
      </c>
      <c r="M75" s="3" t="str">
        <f>IF($N75&lt;&gt;"", IF($H75="A VISTA", "", IF($H75="1+1", $C75 + CADASTROS!$C$4, IF($H75="1+2", $C75 + CADASTROS!$D$5, IF($H75="1+3", $C75 + CADASTROS!$D$6, "")))), "")</f>
        <v/>
      </c>
      <c r="N75" s="8" t="str">
        <f t="shared" si="6"/>
        <v/>
      </c>
      <c r="O75" s="22"/>
      <c r="P75" s="8" t="str">
        <f t="shared" si="7"/>
        <v/>
      </c>
    </row>
    <row r="76" spans="1:16">
      <c r="A76" s="2" t="s">
        <v>212</v>
      </c>
      <c r="B76" s="6" t="s">
        <v>54</v>
      </c>
      <c r="C76" s="7">
        <v>45415</v>
      </c>
      <c r="D76" s="7" t="s">
        <v>103</v>
      </c>
      <c r="E76" s="4" t="s">
        <v>110</v>
      </c>
      <c r="F76" s="4" t="s">
        <v>124</v>
      </c>
      <c r="G76" s="8">
        <v>8254</v>
      </c>
      <c r="H76" s="8" t="s">
        <v>136</v>
      </c>
      <c r="I76" s="3">
        <f>IF($H76="A VISTA", C76 + CADASTROS!$B$3, IF($H76="1+1", C76 + CADASTROS!$B$4, IF(H76="1+2", C76 + CADASTROS!$B$5, IF(H76="1+3", C76 + CADASTROS!$B$6, ""))))</f>
        <v>45416</v>
      </c>
      <c r="J76" s="8">
        <f t="shared" si="4"/>
        <v>2063.5</v>
      </c>
      <c r="K76" s="3">
        <f>IF($L76&lt;&gt;"", IF($H76="A VISTA", "", IF($H76="1+1", $C76 + CADASTROS!$C$4, IF($H76="1+2", $C76 + CADASTROS!$C$5, IF($H76="1+3", $C76 + CADASTROS!$E$4, "")))), "")</f>
        <v>45415</v>
      </c>
      <c r="L76" s="8">
        <f t="shared" si="5"/>
        <v>2063.5</v>
      </c>
      <c r="M76" s="3">
        <f>IF($N76&lt;&gt;"", IF($H76="A VISTA", "", IF($H76="1+1", $C76 + CADASTROS!$C$4, IF($H76="1+2", $C76 + CADASTROS!$D$5, IF($H76="1+3", $C76 + CADASTROS!$D$6, "")))), "")</f>
        <v>45460</v>
      </c>
      <c r="N76" s="8">
        <f t="shared" si="6"/>
        <v>2063.5</v>
      </c>
      <c r="O76" s="3">
        <f>IF($P76&lt;&gt;"", IF($H76="A VISTA", "", IF($H76="1+1", $C76 + CADASTROS!$C$4, IF($H76="1+2", $C76 + CADASTROS!$C$5, IF($H76="1+3", $C76 + CADASTROS!$E$6, "")))), "")</f>
        <v>45475</v>
      </c>
      <c r="P76" s="8">
        <f t="shared" si="7"/>
        <v>2063.5</v>
      </c>
    </row>
    <row r="77" spans="1:16">
      <c r="A77" s="2" t="s">
        <v>213</v>
      </c>
      <c r="B77" s="6" t="s">
        <v>53</v>
      </c>
      <c r="C77" s="7">
        <v>45272</v>
      </c>
      <c r="D77" s="7" t="s">
        <v>102</v>
      </c>
      <c r="E77" s="4" t="s">
        <v>111</v>
      </c>
      <c r="F77" s="4" t="s">
        <v>117</v>
      </c>
      <c r="G77" s="8">
        <v>1081</v>
      </c>
      <c r="H77" s="8" t="s">
        <v>137</v>
      </c>
      <c r="I77" s="3">
        <f>IF($H77="A VISTA", C77 + CADASTROS!$B$3, IF($H77="1+1", C77 + CADASTROS!$B$4, IF(H77="1+2", C77 + CADASTROS!$B$5, IF(H77="1+3", C77 + CADASTROS!$B$6, ""))))</f>
        <v>45273</v>
      </c>
      <c r="J77" s="8">
        <f t="shared" si="4"/>
        <v>360.33333333333331</v>
      </c>
      <c r="K77" s="3">
        <f>IF($L77&lt;&gt;"", IF($H77="A VISTA", "", IF($H77="1+1", $C77 + CADASTROS!$C$4, IF($H77="1+2", $C77 + CADASTROS!$C$5, IF($H77="1+3", $C77 + CADASTROS!$E$4, "")))), "")</f>
        <v>45302</v>
      </c>
      <c r="L77" s="8">
        <f t="shared" si="5"/>
        <v>360.33333333333331</v>
      </c>
      <c r="M77" s="3">
        <f>IF($N77&lt;&gt;"", IF($H77="A VISTA", "", IF($H77="1+1", $C77 + CADASTROS!$C$4, IF($H77="1+2", $C77 + CADASTROS!$D$5, IF($H77="1+3", $C77 + CADASTROS!$D$6, "")))), "")</f>
        <v>45317</v>
      </c>
      <c r="N77" s="8">
        <f t="shared" si="6"/>
        <v>360.33333333333343</v>
      </c>
      <c r="O77" s="3" t="str">
        <f>IF($P77&lt;&gt;"", IF($H77="A VISTA", "", IF($H77="1+1", $C77 + CADASTROS!$C$4, IF($H77="1+2", $C77 + CADASTROS!$C$5, IF($H77="1+3", $C77 + CADASTROS!$E$6, "")))), "")</f>
        <v/>
      </c>
      <c r="P77" s="8" t="str">
        <f t="shared" si="7"/>
        <v/>
      </c>
    </row>
    <row r="78" spans="1:16">
      <c r="A78" s="2" t="s">
        <v>214</v>
      </c>
      <c r="B78" s="6" t="s">
        <v>38</v>
      </c>
      <c r="C78" s="7">
        <v>45199</v>
      </c>
      <c r="D78" s="7" t="s">
        <v>87</v>
      </c>
      <c r="E78" s="4" t="s">
        <v>110</v>
      </c>
      <c r="F78" s="4" t="s">
        <v>125</v>
      </c>
      <c r="G78" s="8">
        <v>458</v>
      </c>
      <c r="H78" s="8" t="s">
        <v>138</v>
      </c>
      <c r="I78" s="3">
        <f>IF($H78="A VISTA", C78 + CADASTROS!$B$3, IF($H78="1+1", C78 + CADASTROS!$B$4, IF(H78="1+2", C78 + CADASTROS!$B$5, IF(H78="1+3", C78 + CADASTROS!$B$6, ""))))</f>
        <v>45200</v>
      </c>
      <c r="J78" s="8">
        <f t="shared" si="4"/>
        <v>229</v>
      </c>
      <c r="K78" s="3">
        <f>IF($L78&lt;&gt;"", IF($H78="A VISTA", "", IF($H78="1+1", $C78 + CADASTROS!$C$4, IF($H78="1+2", $C78 + CADASTROS!$C$5, IF($H78="1+3", $C78 + CADASTROS!$E$4, "")))), "")</f>
        <v>45229</v>
      </c>
      <c r="L78" s="8">
        <f t="shared" si="5"/>
        <v>229</v>
      </c>
      <c r="M78" s="3" t="str">
        <f>IF($N78&lt;&gt;"", IF($H78="A VISTA", "", IF($H78="1+1", $C78 + CADASTROS!$C$4, IF($H78="1+2", $C78 + CADASTROS!$D$5, IF($H78="1+3", $C78 + CADASTROS!$D$6, "")))), "")</f>
        <v/>
      </c>
      <c r="N78" s="8" t="str">
        <f t="shared" si="6"/>
        <v/>
      </c>
      <c r="O78" s="22"/>
      <c r="P78" s="8" t="str">
        <f t="shared" si="7"/>
        <v/>
      </c>
    </row>
    <row r="79" spans="1:16">
      <c r="A79" s="2" t="s">
        <v>215</v>
      </c>
      <c r="B79" s="6" t="s">
        <v>26</v>
      </c>
      <c r="C79" s="7">
        <v>45167</v>
      </c>
      <c r="D79" s="7" t="s">
        <v>75</v>
      </c>
      <c r="E79" s="4" t="s">
        <v>112</v>
      </c>
      <c r="F79" s="4" t="s">
        <v>123</v>
      </c>
      <c r="G79" s="8">
        <v>1482</v>
      </c>
      <c r="H79" s="8" t="s">
        <v>126</v>
      </c>
      <c r="I79" s="3">
        <f>IF($H79="A VISTA", C79 + CADASTROS!$B$3, IF($H79="1+1", C79 + CADASTROS!$B$4, IF(H79="1+2", C79 + CADASTROS!$B$5, IF(H79="1+3", C79 + CADASTROS!$B$6, ""))))</f>
        <v>45168</v>
      </c>
      <c r="J79" s="8">
        <f t="shared" si="4"/>
        <v>1482</v>
      </c>
      <c r="K79" s="3" t="str">
        <f>IF($L79&lt;&gt;"", IF($H79="A VISTA", "", IF($H79="1+1", $C79 + CADASTROS!$C$4, IF($H79="1+2", $C79 + CADASTROS!$C$5, IF($H79="1+3", $C79 + CADASTROS!$E$4, "")))), "")</f>
        <v/>
      </c>
      <c r="L79" s="8" t="str">
        <f t="shared" si="5"/>
        <v/>
      </c>
      <c r="M79" s="3" t="str">
        <f>IF($N79&lt;&gt;"", IF($H79="A VISTA", "", IF($H79="1+1", $C79 + CADASTROS!$C$4, IF($H79="1+2", $C79 + CADASTROS!$D$5, IF($H79="1+3", $C79 + CADASTROS!$D$6, "")))), "")</f>
        <v/>
      </c>
      <c r="N79" s="8" t="str">
        <f t="shared" si="6"/>
        <v/>
      </c>
      <c r="O79" s="22"/>
      <c r="P79" s="8" t="str">
        <f t="shared" si="7"/>
        <v/>
      </c>
    </row>
    <row r="80" spans="1:16">
      <c r="A80" s="2" t="s">
        <v>216</v>
      </c>
      <c r="B80" s="6" t="s">
        <v>57</v>
      </c>
      <c r="C80" s="7">
        <v>45498</v>
      </c>
      <c r="D80" s="7" t="s">
        <v>106</v>
      </c>
      <c r="E80" s="4" t="s">
        <v>112</v>
      </c>
      <c r="F80" s="4" t="s">
        <v>122</v>
      </c>
      <c r="G80" s="8">
        <v>2313</v>
      </c>
      <c r="H80" s="8" t="s">
        <v>126</v>
      </c>
      <c r="I80" s="3">
        <f>IF($H80="A VISTA", C80 + CADASTROS!$B$3, IF($H80="1+1", C80 + CADASTROS!$B$4, IF(H80="1+2", C80 + CADASTROS!$B$5, IF(H80="1+3", C80 + CADASTROS!$B$6, ""))))</f>
        <v>45499</v>
      </c>
      <c r="J80" s="8">
        <f t="shared" si="4"/>
        <v>2313</v>
      </c>
      <c r="K80" s="3" t="str">
        <f>IF($L80&lt;&gt;"", IF($H80="A VISTA", "", IF($H80="1+1", $C80 + CADASTROS!$C$4, IF($H80="1+2", $C80 + CADASTROS!$C$5, IF($H80="1+3", $C80 + CADASTROS!$E$4, "")))), "")</f>
        <v/>
      </c>
      <c r="L80" s="8" t="str">
        <f t="shared" si="5"/>
        <v/>
      </c>
      <c r="M80" s="3" t="str">
        <f>IF($N80&lt;&gt;"", IF($H80="A VISTA", "", IF($H80="1+1", $C80 + CADASTROS!$C$4, IF($H80="1+2", $C80 + CADASTROS!$D$5, IF($H80="1+3", $C80 + CADASTROS!$D$6, "")))), "")</f>
        <v/>
      </c>
      <c r="N80" s="8" t="str">
        <f t="shared" si="6"/>
        <v/>
      </c>
      <c r="O80" s="22"/>
      <c r="P80" s="8" t="str">
        <f t="shared" si="7"/>
        <v/>
      </c>
    </row>
    <row r="81" spans="1:16">
      <c r="A81" s="2" t="s">
        <v>217</v>
      </c>
      <c r="B81" s="6" t="s">
        <v>48</v>
      </c>
      <c r="C81" s="7">
        <v>45262</v>
      </c>
      <c r="D81" s="7" t="s">
        <v>97</v>
      </c>
      <c r="E81" s="4" t="s">
        <v>112</v>
      </c>
      <c r="F81" s="4" t="s">
        <v>123</v>
      </c>
      <c r="G81" s="8">
        <v>997</v>
      </c>
      <c r="H81" s="8" t="s">
        <v>126</v>
      </c>
      <c r="I81" s="3">
        <f>IF($H81="A VISTA", C81 + CADASTROS!$B$3, IF($H81="1+1", C81 + CADASTROS!$B$4, IF(H81="1+2", C81 + CADASTROS!$B$5, IF(H81="1+3", C81 + CADASTROS!$B$6, ""))))</f>
        <v>45263</v>
      </c>
      <c r="J81" s="8">
        <f t="shared" si="4"/>
        <v>997</v>
      </c>
      <c r="K81" s="3" t="str">
        <f>IF($L81&lt;&gt;"", IF($H81="A VISTA", "", IF($H81="1+1", $C81 + CADASTROS!$C$4, IF($H81="1+2", $C81 + CADASTROS!$C$5, IF($H81="1+3", $C81 + CADASTROS!$E$4, "")))), "")</f>
        <v/>
      </c>
      <c r="L81" s="8" t="str">
        <f t="shared" si="5"/>
        <v/>
      </c>
      <c r="M81" s="3" t="str">
        <f>IF($N81&lt;&gt;"", IF($H81="A VISTA", "", IF($H81="1+1", $C81 + CADASTROS!$C$4, IF($H81="1+2", $C81 + CADASTROS!$D$5, IF($H81="1+3", $C81 + CADASTROS!$D$6, "")))), "")</f>
        <v/>
      </c>
      <c r="N81" s="8" t="str">
        <f t="shared" si="6"/>
        <v/>
      </c>
      <c r="O81" s="22"/>
      <c r="P81" s="8" t="str">
        <f t="shared" si="7"/>
        <v/>
      </c>
    </row>
    <row r="82" spans="1:16">
      <c r="A82" s="2" t="s">
        <v>218</v>
      </c>
      <c r="B82" s="6" t="s">
        <v>37</v>
      </c>
      <c r="C82" s="7">
        <v>45461</v>
      </c>
      <c r="D82" s="7" t="s">
        <v>86</v>
      </c>
      <c r="E82" s="4" t="s">
        <v>112</v>
      </c>
      <c r="F82" s="4" t="s">
        <v>123</v>
      </c>
      <c r="G82" s="8">
        <v>6409</v>
      </c>
      <c r="H82" s="8" t="s">
        <v>126</v>
      </c>
      <c r="I82" s="3">
        <f>IF($H82="A VISTA", C82 + CADASTROS!$B$3, IF($H82="1+1", C82 + CADASTROS!$B$4, IF(H82="1+2", C82 + CADASTROS!$B$5, IF(H82="1+3", C82 + CADASTROS!$B$6, ""))))</f>
        <v>45462</v>
      </c>
      <c r="J82" s="8">
        <f t="shared" si="4"/>
        <v>6409</v>
      </c>
      <c r="K82" s="3" t="str">
        <f>IF($L82&lt;&gt;"", IF($H82="A VISTA", "", IF($H82="1+1", $C82 + CADASTROS!$C$4, IF($H82="1+2", $C82 + CADASTROS!$C$5, IF($H82="1+3", $C82 + CADASTROS!$E$4, "")))), "")</f>
        <v/>
      </c>
      <c r="L82" s="8" t="str">
        <f t="shared" si="5"/>
        <v/>
      </c>
      <c r="M82" s="3" t="str">
        <f>IF($N82&lt;&gt;"", IF($H82="A VISTA", "", IF($H82="1+1", $C82 + CADASTROS!$C$4, IF($H82="1+2", $C82 + CADASTROS!$D$5, IF($H82="1+3", $C82 + CADASTROS!$D$6, "")))), "")</f>
        <v/>
      </c>
      <c r="N82" s="8" t="str">
        <f t="shared" si="6"/>
        <v/>
      </c>
      <c r="O82" s="22"/>
      <c r="P82" s="8" t="str">
        <f t="shared" si="7"/>
        <v/>
      </c>
    </row>
    <row r="83" spans="1:16">
      <c r="A83" s="2" t="s">
        <v>219</v>
      </c>
      <c r="B83" s="6" t="s">
        <v>24</v>
      </c>
      <c r="C83" s="7">
        <v>45187</v>
      </c>
      <c r="D83" s="7" t="s">
        <v>73</v>
      </c>
      <c r="E83" s="4" t="s">
        <v>112</v>
      </c>
      <c r="F83" s="4" t="s">
        <v>122</v>
      </c>
      <c r="G83" s="8">
        <v>9435</v>
      </c>
      <c r="H83" s="8" t="s">
        <v>126</v>
      </c>
      <c r="I83" s="3">
        <f>IF($H83="A VISTA", C83 + CADASTROS!$B$3, IF($H83="1+1", C83 + CADASTROS!$B$4, IF(H83="1+2", C83 + CADASTROS!$B$5, IF(H83="1+3", C83 + CADASTROS!$B$6, ""))))</f>
        <v>45188</v>
      </c>
      <c r="J83" s="8">
        <f t="shared" si="4"/>
        <v>9435</v>
      </c>
      <c r="K83" s="3" t="str">
        <f>IF($L83&lt;&gt;"", IF($H83="A VISTA", "", IF($H83="1+1", $C83 + CADASTROS!$C$4, IF($H83="1+2", $C83 + CADASTROS!$C$5, IF($H83="1+3", $C83 + CADASTROS!$E$4, "")))), "")</f>
        <v/>
      </c>
      <c r="L83" s="8" t="str">
        <f t="shared" si="5"/>
        <v/>
      </c>
      <c r="M83" s="3" t="str">
        <f>IF($N83&lt;&gt;"", IF($H83="A VISTA", "", IF($H83="1+1", $C83 + CADASTROS!$C$4, IF($H83="1+2", $C83 + CADASTROS!$D$5, IF($H83="1+3", $C83 + CADASTROS!$D$6, "")))), "")</f>
        <v/>
      </c>
      <c r="N83" s="8" t="str">
        <f t="shared" si="6"/>
        <v/>
      </c>
      <c r="O83" s="22"/>
      <c r="P83" s="8" t="str">
        <f t="shared" si="7"/>
        <v/>
      </c>
    </row>
    <row r="84" spans="1:16">
      <c r="A84" s="2" t="s">
        <v>220</v>
      </c>
      <c r="B84" s="6" t="s">
        <v>14</v>
      </c>
      <c r="C84" s="7">
        <v>45172</v>
      </c>
      <c r="D84" s="7" t="s">
        <v>61</v>
      </c>
      <c r="E84" s="4" t="s">
        <v>110</v>
      </c>
      <c r="F84" s="4" t="s">
        <v>113</v>
      </c>
      <c r="G84" s="8">
        <v>9657</v>
      </c>
      <c r="H84" s="8" t="s">
        <v>137</v>
      </c>
      <c r="I84" s="3">
        <f>IF($H84="A VISTA", C84 + CADASTROS!$B$3, IF($H84="1+1", C84 + CADASTROS!$B$4, IF(H84="1+2", C84 + CADASTROS!$B$5, IF(H84="1+3", C84 + CADASTROS!$B$6, ""))))</f>
        <v>45173</v>
      </c>
      <c r="J84" s="8">
        <f t="shared" si="4"/>
        <v>3219</v>
      </c>
      <c r="K84" s="3">
        <f>IF($L84&lt;&gt;"", IF($H84="A VISTA", "", IF($H84="1+1", $C84 + CADASTROS!$C$4, IF($H84="1+2", $C84 + CADASTROS!$C$5, IF($H84="1+3", $C84 + CADASTROS!$E$4, "")))), "")</f>
        <v>45202</v>
      </c>
      <c r="L84" s="8">
        <f t="shared" si="5"/>
        <v>3219</v>
      </c>
      <c r="M84" s="3">
        <f>IF($N84&lt;&gt;"", IF($H84="A VISTA", "", IF($H84="1+1", $C84 + CADASTROS!$C$4, IF($H84="1+2", $C84 + CADASTROS!$D$5, IF($H84="1+3", $C84 + CADASTROS!$D$6, "")))), "")</f>
        <v>45217</v>
      </c>
      <c r="N84" s="8">
        <f t="shared" si="6"/>
        <v>3219</v>
      </c>
      <c r="O84" s="22"/>
      <c r="P84" s="8" t="str">
        <f t="shared" si="7"/>
        <v/>
      </c>
    </row>
    <row r="85" spans="1:16">
      <c r="A85" s="2" t="s">
        <v>221</v>
      </c>
      <c r="B85" s="6" t="s">
        <v>56</v>
      </c>
      <c r="C85" s="7">
        <v>45443</v>
      </c>
      <c r="D85" s="7" t="s">
        <v>105</v>
      </c>
      <c r="E85" s="4" t="s">
        <v>110</v>
      </c>
      <c r="F85" s="4" t="s">
        <v>113</v>
      </c>
      <c r="G85" s="8">
        <v>2139</v>
      </c>
      <c r="H85" s="8" t="s">
        <v>138</v>
      </c>
      <c r="I85" s="3">
        <f>IF($H85="A VISTA", C85 + CADASTROS!$B$3, IF($H85="1+1", C85 + CADASTROS!$B$4, IF(H85="1+2", C85 + CADASTROS!$B$5, IF(H85="1+3", C85 + CADASTROS!$B$6, ""))))</f>
        <v>45444</v>
      </c>
      <c r="J85" s="8">
        <f t="shared" si="4"/>
        <v>1069.5</v>
      </c>
      <c r="K85" s="3">
        <f>IF($L85&lt;&gt;"", IF($H85="A VISTA", "", IF($H85="1+1", $C85 + CADASTROS!$C$4, IF($H85="1+2", $C85 + CADASTROS!$C$5, IF($H85="1+3", $C85 + CADASTROS!$E$4, "")))), "")</f>
        <v>45473</v>
      </c>
      <c r="L85" s="8">
        <f t="shared" si="5"/>
        <v>1069.5</v>
      </c>
      <c r="M85" s="3" t="str">
        <f>IF($N85&lt;&gt;"", IF($H85="A VISTA", "", IF($H85="1+1", $C85 + CADASTROS!$C$4, IF($H85="1+2", $C85 + CADASTROS!$D$5, IF($H85="1+3", $C85 + CADASTROS!$D$6, "")))), "")</f>
        <v/>
      </c>
      <c r="N85" s="8" t="str">
        <f t="shared" si="6"/>
        <v/>
      </c>
      <c r="O85" s="22"/>
      <c r="P85" s="8" t="str">
        <f t="shared" si="7"/>
        <v/>
      </c>
    </row>
    <row r="86" spans="1:16">
      <c r="A86" s="2" t="s">
        <v>222</v>
      </c>
      <c r="B86" s="6" t="s">
        <v>13</v>
      </c>
      <c r="C86" s="7">
        <v>45253</v>
      </c>
      <c r="D86" s="7" t="s">
        <v>63</v>
      </c>
      <c r="E86" s="4" t="s">
        <v>111</v>
      </c>
      <c r="F86" s="4" t="s">
        <v>120</v>
      </c>
      <c r="G86" s="8">
        <v>5262</v>
      </c>
      <c r="H86" s="8" t="s">
        <v>126</v>
      </c>
      <c r="I86" s="3">
        <f>IF($H86="A VISTA", C86 + CADASTROS!$B$3, IF($H86="1+1", C86 + CADASTROS!$B$4, IF(H86="1+2", C86 + CADASTROS!$B$5, IF(H86="1+3", C86 + CADASTROS!$B$6, ""))))</f>
        <v>45254</v>
      </c>
      <c r="J86" s="8">
        <f t="shared" si="4"/>
        <v>5262</v>
      </c>
      <c r="K86" s="3" t="str">
        <f>IF($L86&lt;&gt;"", IF($H86="A VISTA", "", IF($H86="1+1", $C86 + CADASTROS!$C$4, IF($H86="1+2", $C86 + CADASTROS!$C$5, IF($H86="1+3", $C86 + CADASTROS!$E$4, "")))), "")</f>
        <v/>
      </c>
      <c r="L86" s="8" t="str">
        <f t="shared" si="5"/>
        <v/>
      </c>
      <c r="M86" s="3" t="str">
        <f>IF($N86&lt;&gt;"", IF($H86="A VISTA", "", IF($H86="1+1", $C86 + CADASTROS!$C$4, IF($H86="1+2", $C86 + CADASTROS!$D$5, IF($H86="1+3", $C86 + CADASTROS!$D$6, "")))), "")</f>
        <v/>
      </c>
      <c r="N86" s="8" t="str">
        <f t="shared" si="6"/>
        <v/>
      </c>
      <c r="O86" s="22"/>
      <c r="P86" s="8" t="str">
        <f t="shared" si="7"/>
        <v/>
      </c>
    </row>
    <row r="87" spans="1:16">
      <c r="A87" s="2" t="s">
        <v>223</v>
      </c>
      <c r="B87" s="6" t="s">
        <v>18</v>
      </c>
      <c r="C87" s="7">
        <v>45273</v>
      </c>
      <c r="D87" s="7" t="s">
        <v>67</v>
      </c>
      <c r="E87" s="4" t="s">
        <v>111</v>
      </c>
      <c r="F87" s="4" t="s">
        <v>121</v>
      </c>
      <c r="G87" s="8">
        <v>7294</v>
      </c>
      <c r="H87" s="8" t="s">
        <v>138</v>
      </c>
      <c r="I87" s="3">
        <f>IF($H87="A VISTA", C87 + CADASTROS!$B$3, IF($H87="1+1", C87 + CADASTROS!$B$4, IF(H87="1+2", C87 + CADASTROS!$B$5, IF(H87="1+3", C87 + CADASTROS!$B$6, ""))))</f>
        <v>45274</v>
      </c>
      <c r="J87" s="8">
        <f t="shared" si="4"/>
        <v>3647</v>
      </c>
      <c r="K87" s="3">
        <f>IF($L87&lt;&gt;"", IF($H87="A VISTA", "", IF($H87="1+1", $C87 + CADASTROS!$C$4, IF($H87="1+2", $C87 + CADASTROS!$C$5, IF($H87="1+3", $C87 + CADASTROS!$E$4, "")))), "")</f>
        <v>45303</v>
      </c>
      <c r="L87" s="8">
        <f t="shared" si="5"/>
        <v>3647</v>
      </c>
      <c r="M87" s="3" t="str">
        <f>IF($N87&lt;&gt;"", IF($H87="A VISTA", "", IF($H87="1+1", $C87 + CADASTROS!$C$4, IF($H87="1+2", $C87 + CADASTROS!$D$5, IF($H87="1+3", $C87 + CADASTROS!$D$6, "")))), "")</f>
        <v/>
      </c>
      <c r="N87" s="8" t="str">
        <f t="shared" si="6"/>
        <v/>
      </c>
      <c r="O87" s="22"/>
      <c r="P87" s="8" t="str">
        <f t="shared" si="7"/>
        <v/>
      </c>
    </row>
    <row r="88" spans="1:16">
      <c r="A88" s="2" t="s">
        <v>224</v>
      </c>
      <c r="B88" s="6" t="s">
        <v>43</v>
      </c>
      <c r="C88" s="7">
        <v>45442</v>
      </c>
      <c r="D88" s="7" t="s">
        <v>92</v>
      </c>
      <c r="E88" s="4" t="s">
        <v>110</v>
      </c>
      <c r="F88" s="4" t="s">
        <v>124</v>
      </c>
      <c r="G88" s="8">
        <v>8906</v>
      </c>
      <c r="H88" s="8" t="s">
        <v>138</v>
      </c>
      <c r="I88" s="3">
        <f>IF($H88="A VISTA", C88 + CADASTROS!$B$3, IF($H88="1+1", C88 + CADASTROS!$B$4, IF(H88="1+2", C88 + CADASTROS!$B$5, IF(H88="1+3", C88 + CADASTROS!$B$6, ""))))</f>
        <v>45443</v>
      </c>
      <c r="J88" s="8">
        <f t="shared" si="4"/>
        <v>4453</v>
      </c>
      <c r="K88" s="3">
        <f>IF($L88&lt;&gt;"", IF($H88="A VISTA", "", IF($H88="1+1", $C88 + CADASTROS!$C$4, IF($H88="1+2", $C88 + CADASTROS!$C$5, IF($H88="1+3", $C88 + CADASTROS!$E$4, "")))), "")</f>
        <v>45472</v>
      </c>
      <c r="L88" s="8">
        <f t="shared" si="5"/>
        <v>4453</v>
      </c>
      <c r="M88" s="3" t="str">
        <f>IF($N88&lt;&gt;"", IF($H88="A VISTA", "", IF($H88="1+1", $C88 + CADASTROS!$C$4, IF($H88="1+2", $C88 + CADASTROS!$D$5, IF($H88="1+3", $C88 + CADASTROS!$D$6, "")))), "")</f>
        <v/>
      </c>
      <c r="N88" s="8" t="str">
        <f t="shared" si="6"/>
        <v/>
      </c>
      <c r="O88" s="22"/>
      <c r="P88" s="8" t="str">
        <f t="shared" si="7"/>
        <v/>
      </c>
    </row>
    <row r="89" spans="1:16">
      <c r="A89" s="2" t="s">
        <v>225</v>
      </c>
      <c r="B89" s="6" t="s">
        <v>39</v>
      </c>
      <c r="C89" s="7">
        <v>45397</v>
      </c>
      <c r="D89" s="7" t="s">
        <v>88</v>
      </c>
      <c r="E89" s="4" t="s">
        <v>110</v>
      </c>
      <c r="F89" s="4" t="s">
        <v>114</v>
      </c>
      <c r="G89" s="8">
        <v>3965</v>
      </c>
      <c r="H89" s="8" t="s">
        <v>136</v>
      </c>
      <c r="I89" s="3">
        <f>IF($H89="A VISTA", C89 + CADASTROS!$B$3, IF($H89="1+1", C89 + CADASTROS!$B$4, IF(H89="1+2", C89 + CADASTROS!$B$5, IF(H89="1+3", C89 + CADASTROS!$B$6, ""))))</f>
        <v>45398</v>
      </c>
      <c r="J89" s="8">
        <f t="shared" si="4"/>
        <v>991.25</v>
      </c>
      <c r="K89" s="3">
        <f>IF($L89&lt;&gt;"", IF($H89="A VISTA", "", IF($H89="1+1", $C89 + CADASTROS!$C$4, IF($H89="1+2", $C89 + CADASTROS!$C$5, IF($H89="1+3", $C89 + CADASTROS!$E$4, "")))), "")</f>
        <v>45397</v>
      </c>
      <c r="L89" s="8">
        <f t="shared" si="5"/>
        <v>991.25</v>
      </c>
      <c r="M89" s="3">
        <f>IF($N89&lt;&gt;"", IF($H89="A VISTA", "", IF($H89="1+1", $C89 + CADASTROS!$C$4, IF($H89="1+2", $C89 + CADASTROS!$D$5, IF($H89="1+3", $C89 + CADASTROS!$D$6, "")))), "")</f>
        <v>45442</v>
      </c>
      <c r="N89" s="8">
        <f t="shared" si="6"/>
        <v>991.25</v>
      </c>
      <c r="O89" s="3">
        <f>IF($P89&lt;&gt;"", IF($H89="A VISTA", "", IF($H89="1+1", $C89 + CADASTROS!$C$4, IF($H89="1+2", $C89 + CADASTROS!$C$5, IF($H89="1+3", $C89 + CADASTROS!$E$6, "")))), "")</f>
        <v>45457</v>
      </c>
      <c r="P89" s="8">
        <f t="shared" si="7"/>
        <v>991.25</v>
      </c>
    </row>
    <row r="90" spans="1:16">
      <c r="A90" s="2" t="s">
        <v>226</v>
      </c>
      <c r="B90" s="6" t="s">
        <v>57</v>
      </c>
      <c r="C90" s="7">
        <v>45309</v>
      </c>
      <c r="D90" s="7" t="s">
        <v>106</v>
      </c>
      <c r="E90" s="4" t="s">
        <v>112</v>
      </c>
      <c r="F90" s="4" t="s">
        <v>122</v>
      </c>
      <c r="G90" s="8">
        <v>7082</v>
      </c>
      <c r="H90" s="8" t="s">
        <v>126</v>
      </c>
      <c r="I90" s="3">
        <f>IF($H90="A VISTA", C90 + CADASTROS!$B$3, IF($H90="1+1", C90 + CADASTROS!$B$4, IF(H90="1+2", C90 + CADASTROS!$B$5, IF(H90="1+3", C90 + CADASTROS!$B$6, ""))))</f>
        <v>45310</v>
      </c>
      <c r="J90" s="8">
        <f t="shared" si="4"/>
        <v>7082</v>
      </c>
      <c r="K90" s="3" t="str">
        <f>IF($L90&lt;&gt;"", IF($H90="A VISTA", "", IF($H90="1+1", $C90 + CADASTROS!$C$4, IF($H90="1+2", $C90 + CADASTROS!$C$5, IF($H90="1+3", $C90 + CADASTROS!$E$4, "")))), "")</f>
        <v/>
      </c>
      <c r="L90" s="8" t="str">
        <f t="shared" si="5"/>
        <v/>
      </c>
      <c r="M90" s="3" t="str">
        <f>IF($N90&lt;&gt;"", IF($H90="A VISTA", "", IF($H90="1+1", $C90 + CADASTROS!$C$4, IF($H90="1+2", $C90 + CADASTROS!$D$5, IF($H90="1+3", $C90 + CADASTROS!$D$6, "")))), "")</f>
        <v/>
      </c>
      <c r="N90" s="8" t="str">
        <f t="shared" si="6"/>
        <v/>
      </c>
      <c r="O90" s="3" t="str">
        <f>IF($P90&lt;&gt;"", IF($H90="A VISTA", "", IF($H90="1+1", $C90 + CADASTROS!$C$4, IF($H90="1+2", $C90 + CADASTROS!$C$5, IF($H90="1+3", $C90 + CADASTROS!$E$6, "")))), "")</f>
        <v/>
      </c>
      <c r="P90" s="8" t="str">
        <f t="shared" si="7"/>
        <v/>
      </c>
    </row>
    <row r="91" spans="1:16">
      <c r="A91" s="2" t="s">
        <v>227</v>
      </c>
      <c r="B91" s="6" t="s">
        <v>57</v>
      </c>
      <c r="C91" s="7">
        <v>45391</v>
      </c>
      <c r="D91" s="7" t="s">
        <v>106</v>
      </c>
      <c r="E91" s="4" t="s">
        <v>112</v>
      </c>
      <c r="F91" s="4" t="s">
        <v>122</v>
      </c>
      <c r="G91" s="8">
        <v>2490</v>
      </c>
      <c r="H91" s="8" t="s">
        <v>126</v>
      </c>
      <c r="I91" s="3">
        <f>IF($H91="A VISTA", C91 + CADASTROS!$B$3, IF($H91="1+1", C91 + CADASTROS!$B$4, IF(H91="1+2", C91 + CADASTROS!$B$5, IF(H91="1+3", C91 + CADASTROS!$B$6, ""))))</f>
        <v>45392</v>
      </c>
      <c r="J91" s="8">
        <f t="shared" si="4"/>
        <v>2490</v>
      </c>
      <c r="K91" s="3" t="str">
        <f>IF($L91&lt;&gt;"", IF($H91="A VISTA", "", IF($H91="1+1", $C91 + CADASTROS!$C$4, IF($H91="1+2", $C91 + CADASTROS!$C$5, IF($H91="1+3", $C91 + CADASTROS!$E$4, "")))), "")</f>
        <v/>
      </c>
      <c r="L91" s="8" t="str">
        <f t="shared" si="5"/>
        <v/>
      </c>
      <c r="M91" s="3" t="str">
        <f>IF($N91&lt;&gt;"", IF($H91="A VISTA", "", IF($H91="1+1", $C91 + CADASTROS!$C$4, IF($H91="1+2", $C91 + CADASTROS!$D$5, IF($H91="1+3", $C91 + CADASTROS!$D$6, "")))), "")</f>
        <v/>
      </c>
      <c r="N91" s="8" t="str">
        <f t="shared" si="6"/>
        <v/>
      </c>
      <c r="O91" s="3" t="str">
        <f>IF($P91&lt;&gt;"", IF($H91="A VISTA", "", IF($H91="1+1", $C91 + CADASTROS!$C$4, IF($H91="1+2", $C91 + CADASTROS!$C$5, IF($H91="1+3", $C91 + CADASTROS!$E$6, "")))), "")</f>
        <v/>
      </c>
      <c r="P91" s="8" t="str">
        <f t="shared" si="7"/>
        <v/>
      </c>
    </row>
    <row r="92" spans="1:16">
      <c r="A92" s="2" t="s">
        <v>228</v>
      </c>
      <c r="B92" s="6" t="s">
        <v>37</v>
      </c>
      <c r="C92" s="7">
        <v>45435</v>
      </c>
      <c r="D92" s="7" t="s">
        <v>86</v>
      </c>
      <c r="E92" s="4" t="s">
        <v>112</v>
      </c>
      <c r="F92" s="4" t="s">
        <v>123</v>
      </c>
      <c r="G92" s="8">
        <v>7198</v>
      </c>
      <c r="H92" s="8" t="s">
        <v>126</v>
      </c>
      <c r="I92" s="3">
        <f>IF($H92="A VISTA", C92 + CADASTROS!$B$3, IF($H92="1+1", C92 + CADASTROS!$B$4, IF(H92="1+2", C92 + CADASTROS!$B$5, IF(H92="1+3", C92 + CADASTROS!$B$6, ""))))</f>
        <v>45436</v>
      </c>
      <c r="J92" s="8">
        <f t="shared" si="4"/>
        <v>7198</v>
      </c>
      <c r="K92" s="3" t="str">
        <f>IF($L92&lt;&gt;"", IF($H92="A VISTA", "", IF($H92="1+1", $C92 + CADASTROS!$C$4, IF($H92="1+2", $C92 + CADASTROS!$C$5, IF($H92="1+3", $C92 + CADASTROS!$E$4, "")))), "")</f>
        <v/>
      </c>
      <c r="L92" s="8" t="str">
        <f t="shared" si="5"/>
        <v/>
      </c>
      <c r="M92" s="3" t="str">
        <f>IF($N92&lt;&gt;"", IF($H92="A VISTA", "", IF($H92="1+1", $C92 + CADASTROS!$C$4, IF($H92="1+2", $C92 + CADASTROS!$D$5, IF($H92="1+3", $C92 + CADASTROS!$D$6, "")))), "")</f>
        <v/>
      </c>
      <c r="N92" s="8" t="str">
        <f t="shared" si="6"/>
        <v/>
      </c>
      <c r="O92" s="3" t="str">
        <f>IF($P92&lt;&gt;"", IF($H92="A VISTA", "", IF($H92="1+1", $C92 + CADASTROS!$C$4, IF($H92="1+2", $C92 + CADASTROS!$C$5, IF($H92="1+3", $C92 + CADASTROS!$E$6, "")))), "")</f>
        <v/>
      </c>
      <c r="P92" s="8" t="str">
        <f t="shared" si="7"/>
        <v/>
      </c>
    </row>
    <row r="93" spans="1:16">
      <c r="A93" s="2" t="s">
        <v>229</v>
      </c>
      <c r="B93" s="6" t="s">
        <v>14</v>
      </c>
      <c r="C93" s="7">
        <v>45207</v>
      </c>
      <c r="D93" s="7" t="s">
        <v>61</v>
      </c>
      <c r="E93" s="4" t="s">
        <v>110</v>
      </c>
      <c r="F93" s="4" t="s">
        <v>113</v>
      </c>
      <c r="G93" s="8">
        <v>9350</v>
      </c>
      <c r="H93" s="8" t="s">
        <v>136</v>
      </c>
      <c r="I93" s="3">
        <f>IF($H93="A VISTA", C93 + CADASTROS!$B$3, IF($H93="1+1", C93 + CADASTROS!$B$4, IF(H93="1+2", C93 + CADASTROS!$B$5, IF(H93="1+3", C93 + CADASTROS!$B$6, ""))))</f>
        <v>45208</v>
      </c>
      <c r="J93" s="8">
        <f t="shared" si="4"/>
        <v>2337.5</v>
      </c>
      <c r="K93" s="3">
        <f>IF($L93&lt;&gt;"", IF($H93="A VISTA", "", IF($H93="1+1", $C93 + CADASTROS!$C$4, IF($H93="1+2", $C93 + CADASTROS!$C$5, IF($H93="1+3", $C93 + CADASTROS!$E$4, "")))), "")</f>
        <v>45207</v>
      </c>
      <c r="L93" s="8">
        <f t="shared" si="5"/>
        <v>2337.5</v>
      </c>
      <c r="M93" s="3">
        <f>IF($N93&lt;&gt;"", IF($H93="A VISTA", "", IF($H93="1+1", $C93 + CADASTROS!$C$4, IF($H93="1+2", $C93 + CADASTROS!$D$5, IF($H93="1+3", $C93 + CADASTROS!$D$6, "")))), "")</f>
        <v>45252</v>
      </c>
      <c r="N93" s="8">
        <f t="shared" si="6"/>
        <v>2337.5</v>
      </c>
      <c r="O93" s="3">
        <f>IF($P93&lt;&gt;"", IF($H93="A VISTA", "", IF($H93="1+1", $C93 + CADASTROS!$C$4, IF($H93="1+2", $C93 + CADASTROS!$C$5, IF($H93="1+3", $C93 + CADASTROS!$E$6, "")))), "")</f>
        <v>45267</v>
      </c>
      <c r="P93" s="8">
        <f t="shared" si="7"/>
        <v>2337.5</v>
      </c>
    </row>
    <row r="94" spans="1:16">
      <c r="A94" s="2" t="s">
        <v>230</v>
      </c>
      <c r="B94" s="6" t="s">
        <v>19</v>
      </c>
      <c r="C94" s="7">
        <v>45192</v>
      </c>
      <c r="D94" s="7" t="s">
        <v>68</v>
      </c>
      <c r="E94" s="4" t="s">
        <v>111</v>
      </c>
      <c r="F94" s="4" t="s">
        <v>118</v>
      </c>
      <c r="G94" s="8">
        <v>7961</v>
      </c>
      <c r="H94" s="8" t="s">
        <v>137</v>
      </c>
      <c r="I94" s="3">
        <f>IF($H94="A VISTA", C94 + CADASTROS!$B$3, IF($H94="1+1", C94 + CADASTROS!$B$4, IF(H94="1+2", C94 + CADASTROS!$B$5, IF(H94="1+3", C94 + CADASTROS!$B$6, ""))))</f>
        <v>45193</v>
      </c>
      <c r="J94" s="8">
        <f t="shared" si="4"/>
        <v>2653.6666666666665</v>
      </c>
      <c r="K94" s="3">
        <f>IF($L94&lt;&gt;"", IF($H94="A VISTA", "", IF($H94="1+1", $C94 + CADASTROS!$C$4, IF($H94="1+2", $C94 + CADASTROS!$C$5, IF($H94="1+3", $C94 + CADASTROS!$E$4, "")))), "")</f>
        <v>45222</v>
      </c>
      <c r="L94" s="8">
        <f t="shared" si="5"/>
        <v>2653.6666666666665</v>
      </c>
      <c r="M94" s="3">
        <f>IF($N94&lt;&gt;"", IF($H94="A VISTA", "", IF($H94="1+1", $C94 + CADASTROS!$C$4, IF($H94="1+2", $C94 + CADASTROS!$D$5, IF($H94="1+3", $C94 + CADASTROS!$D$6, "")))), "")</f>
        <v>45237</v>
      </c>
      <c r="N94" s="8">
        <f t="shared" si="6"/>
        <v>2653.6666666666674</v>
      </c>
      <c r="O94" s="3" t="str">
        <f>IF($P94&lt;&gt;"", IF($H94="A VISTA", "", IF($H94="1+1", $C94 + CADASTROS!$C$4, IF($H94="1+2", $C94 + CADASTROS!$C$5, IF($H94="1+3", $C94 + CADASTROS!$E$6, "")))), "")</f>
        <v/>
      </c>
      <c r="P94" s="8" t="str">
        <f t="shared" si="7"/>
        <v/>
      </c>
    </row>
    <row r="95" spans="1:16">
      <c r="A95" s="2" t="s">
        <v>231</v>
      </c>
      <c r="B95" s="6" t="s">
        <v>38</v>
      </c>
      <c r="C95" s="7">
        <v>45213</v>
      </c>
      <c r="D95" s="7" t="s">
        <v>87</v>
      </c>
      <c r="E95" s="4" t="s">
        <v>110</v>
      </c>
      <c r="F95" s="4" t="s">
        <v>125</v>
      </c>
      <c r="G95" s="8">
        <v>2627</v>
      </c>
      <c r="H95" s="8" t="s">
        <v>126</v>
      </c>
      <c r="I95" s="3">
        <f>IF($H95="A VISTA", C95 + CADASTROS!$B$3, IF($H95="1+1", C95 + CADASTROS!$B$4, IF(H95="1+2", C95 + CADASTROS!$B$5, IF(H95="1+3", C95 + CADASTROS!$B$6, ""))))</f>
        <v>45214</v>
      </c>
      <c r="J95" s="8">
        <f t="shared" si="4"/>
        <v>2627</v>
      </c>
      <c r="K95" s="3" t="str">
        <f>IF($L95&lt;&gt;"", IF($H95="A VISTA", "", IF($H95="1+1", $C95 + CADASTROS!$C$4, IF($H95="1+2", $C95 + CADASTROS!$C$5, IF($H95="1+3", $C95 + CADASTROS!$E$4, "")))), "")</f>
        <v/>
      </c>
      <c r="L95" s="8" t="str">
        <f t="shared" si="5"/>
        <v/>
      </c>
      <c r="M95" s="3" t="str">
        <f>IF($N95&lt;&gt;"", IF($H95="A VISTA", "", IF($H95="1+1", $C95 + CADASTROS!$C$4, IF($H95="1+2", $C95 + CADASTROS!$D$5, IF($H95="1+3", $C95 + CADASTROS!$D$6, "")))), "")</f>
        <v/>
      </c>
      <c r="N95" s="8" t="str">
        <f t="shared" si="6"/>
        <v/>
      </c>
      <c r="O95" s="3" t="str">
        <f>IF($P95&lt;&gt;"", IF($H95="A VISTA", "", IF($H95="1+1", $C95 + CADASTROS!$C$4, IF($H95="1+2", $C95 + CADASTROS!$C$5, IF($H95="1+3", $C95 + CADASTROS!$E$6, "")))), "")</f>
        <v/>
      </c>
      <c r="P95" s="8" t="str">
        <f t="shared" si="7"/>
        <v/>
      </c>
    </row>
    <row r="96" spans="1:16">
      <c r="A96" s="2" t="s">
        <v>232</v>
      </c>
      <c r="B96" s="6" t="s">
        <v>15</v>
      </c>
      <c r="C96" s="7">
        <v>45153</v>
      </c>
      <c r="D96" s="7" t="s">
        <v>64</v>
      </c>
      <c r="E96" s="4" t="s">
        <v>112</v>
      </c>
      <c r="F96" s="4" t="s">
        <v>123</v>
      </c>
      <c r="G96" s="8">
        <v>7220</v>
      </c>
      <c r="H96" s="8" t="s">
        <v>126</v>
      </c>
      <c r="I96" s="3">
        <f>IF($H96="A VISTA", C96 + CADASTROS!$B$3, IF($H96="1+1", C96 + CADASTROS!$B$4, IF(H96="1+2", C96 + CADASTROS!$B$5, IF(H96="1+3", C96 + CADASTROS!$B$6, ""))))</f>
        <v>45154</v>
      </c>
      <c r="J96" s="8">
        <f t="shared" si="4"/>
        <v>7220</v>
      </c>
      <c r="K96" s="3" t="str">
        <f>IF($L96&lt;&gt;"", IF($H96="A VISTA", "", IF($H96="1+1", $C96 + CADASTROS!$C$4, IF($H96="1+2", $C96 + CADASTROS!$C$5, IF($H96="1+3", $C96 + CADASTROS!$E$4, "")))), "")</f>
        <v/>
      </c>
      <c r="L96" s="8" t="str">
        <f t="shared" si="5"/>
        <v/>
      </c>
      <c r="M96" s="3" t="str">
        <f>IF($N96&lt;&gt;"", IF($H96="A VISTA", "", IF($H96="1+1", $C96 + CADASTROS!$C$4, IF($H96="1+2", $C96 + CADASTROS!$D$5, IF($H96="1+3", $C96 + CADASTROS!$D$6, "")))), "")</f>
        <v/>
      </c>
      <c r="N96" s="8" t="str">
        <f t="shared" si="6"/>
        <v/>
      </c>
      <c r="O96" s="3" t="str">
        <f>IF($P96&lt;&gt;"", IF($H96="A VISTA", "", IF($H96="1+1", $C96 + CADASTROS!$C$4, IF($H96="1+2", $C96 + CADASTROS!$C$5, IF($H96="1+3", $C96 + CADASTROS!$E$6, "")))), "")</f>
        <v/>
      </c>
      <c r="P96" s="8" t="str">
        <f t="shared" si="7"/>
        <v/>
      </c>
    </row>
    <row r="97" spans="1:16">
      <c r="A97" s="2" t="s">
        <v>233</v>
      </c>
      <c r="B97" s="6" t="s">
        <v>27</v>
      </c>
      <c r="C97" s="7">
        <v>45204</v>
      </c>
      <c r="D97" s="7" t="s">
        <v>76</v>
      </c>
      <c r="E97" s="4" t="s">
        <v>110</v>
      </c>
      <c r="F97" s="4" t="s">
        <v>125</v>
      </c>
      <c r="G97" s="8">
        <v>9017</v>
      </c>
      <c r="H97" s="8" t="s">
        <v>138</v>
      </c>
      <c r="I97" s="3">
        <f>IF($H97="A VISTA", C97 + CADASTROS!$B$3, IF($H97="1+1", C97 + CADASTROS!$B$4, IF(H97="1+2", C97 + CADASTROS!$B$5, IF(H97="1+3", C97 + CADASTROS!$B$6, ""))))</f>
        <v>45205</v>
      </c>
      <c r="J97" s="8">
        <f t="shared" si="4"/>
        <v>4508.5</v>
      </c>
      <c r="K97" s="3">
        <f>IF($L97&lt;&gt;"", IF($H97="A VISTA", "", IF($H97="1+1", $C97 + CADASTROS!$C$4, IF($H97="1+2", $C97 + CADASTROS!$C$5, IF($H97="1+3", $C97 + CADASTROS!$E$4, "")))), "")</f>
        <v>45234</v>
      </c>
      <c r="L97" s="8">
        <f t="shared" si="5"/>
        <v>4508.5</v>
      </c>
      <c r="M97" s="3" t="str">
        <f>IF($N97&lt;&gt;"", IF($H97="A VISTA", "", IF($H97="1+1", $C97 + CADASTROS!$C$4, IF($H97="1+2", $C97 + CADASTROS!$D$5, IF($H97="1+3", $C97 + CADASTROS!$D$6, "")))), "")</f>
        <v/>
      </c>
      <c r="N97" s="8" t="str">
        <f t="shared" si="6"/>
        <v/>
      </c>
      <c r="O97" s="3" t="str">
        <f>IF($P97&lt;&gt;"", IF($H97="A VISTA", "", IF($H97="1+1", $C97 + CADASTROS!$C$4, IF($H97="1+2", $C97 + CADASTROS!$C$5, IF($H97="1+3", $C97 + CADASTROS!$E$6, "")))), "")</f>
        <v/>
      </c>
      <c r="P97" s="8" t="str">
        <f t="shared" si="7"/>
        <v/>
      </c>
    </row>
    <row r="98" spans="1:16">
      <c r="A98" s="2" t="s">
        <v>234</v>
      </c>
      <c r="B98" s="6" t="s">
        <v>34</v>
      </c>
      <c r="C98" s="7">
        <v>45319</v>
      </c>
      <c r="D98" s="7" t="s">
        <v>83</v>
      </c>
      <c r="E98" s="4" t="s">
        <v>110</v>
      </c>
      <c r="F98" s="4" t="s">
        <v>113</v>
      </c>
      <c r="G98" s="8">
        <v>1543</v>
      </c>
      <c r="H98" s="8" t="s">
        <v>136</v>
      </c>
      <c r="I98" s="3">
        <f>IF($H98="A VISTA", C98 + CADASTROS!$B$3, IF($H98="1+1", C98 + CADASTROS!$B$4, IF(H98="1+2", C98 + CADASTROS!$B$5, IF(H98="1+3", C98 + CADASTROS!$B$6, ""))))</f>
        <v>45320</v>
      </c>
      <c r="J98" s="8">
        <f t="shared" si="4"/>
        <v>385.75</v>
      </c>
      <c r="K98" s="3">
        <f>IF($L98&lt;&gt;"", IF($H98="A VISTA", "", IF($H98="1+1", $C98 + CADASTROS!$C$4, IF($H98="1+2", $C98 + CADASTROS!$C$5, IF($H98="1+3", $C98 + CADASTROS!$E$4, "")))), "")</f>
        <v>45319</v>
      </c>
      <c r="L98" s="8">
        <f t="shared" si="5"/>
        <v>385.75</v>
      </c>
      <c r="M98" s="3">
        <f>IF($N98&lt;&gt;"", IF($H98="A VISTA", "", IF($H98="1+1", $C98 + CADASTROS!$C$4, IF($H98="1+2", $C98 + CADASTROS!$D$5, IF($H98="1+3", $C98 + CADASTROS!$D$6, "")))), "")</f>
        <v>45364</v>
      </c>
      <c r="N98" s="8">
        <f t="shared" si="6"/>
        <v>385.75</v>
      </c>
      <c r="O98" s="3">
        <f>IF($P98&lt;&gt;"", IF($H98="A VISTA", "", IF($H98="1+1", $C98 + CADASTROS!$C$4, IF($H98="1+2", $C98 + CADASTROS!$C$5, IF($H98="1+3", $C98 + CADASTROS!$E$6, "")))), "")</f>
        <v>45379</v>
      </c>
      <c r="P98" s="8">
        <f t="shared" si="7"/>
        <v>385.75</v>
      </c>
    </row>
    <row r="99" spans="1:16">
      <c r="A99" s="2" t="s">
        <v>235</v>
      </c>
      <c r="B99" s="6" t="s">
        <v>19</v>
      </c>
      <c r="C99" s="7">
        <v>45115</v>
      </c>
      <c r="D99" s="7" t="s">
        <v>68</v>
      </c>
      <c r="E99" s="4" t="s">
        <v>111</v>
      </c>
      <c r="F99" s="4" t="s">
        <v>118</v>
      </c>
      <c r="G99" s="8">
        <v>6512</v>
      </c>
      <c r="H99" s="8" t="s">
        <v>126</v>
      </c>
      <c r="I99" s="3">
        <f>IF($H99="A VISTA", C99 + CADASTROS!$B$3, IF($H99="1+1", C99 + CADASTROS!$B$4, IF(H99="1+2", C99 + CADASTROS!$B$5, IF(H99="1+3", C99 + CADASTROS!$B$6, ""))))</f>
        <v>45116</v>
      </c>
      <c r="J99" s="8">
        <f t="shared" si="4"/>
        <v>6512</v>
      </c>
      <c r="K99" s="3" t="str">
        <f>IF($L99&lt;&gt;"", IF($H99="A VISTA", "", IF($H99="1+1", $C99 + CADASTROS!$C$4, IF($H99="1+2", $C99 + CADASTROS!$C$5, IF($H99="1+3", $C99 + CADASTROS!$E$4, "")))), "")</f>
        <v/>
      </c>
      <c r="L99" s="8" t="str">
        <f t="shared" si="5"/>
        <v/>
      </c>
      <c r="M99" s="3" t="str">
        <f>IF($N99&lt;&gt;"", IF($H99="A VISTA", "", IF($H99="1+1", $C99 + CADASTROS!$C$4, IF($H99="1+2", $C99 + CADASTROS!$D$5, IF($H99="1+3", $C99 + CADASTROS!$D$6, "")))), "")</f>
        <v/>
      </c>
      <c r="N99" s="8" t="str">
        <f t="shared" si="6"/>
        <v/>
      </c>
      <c r="O99" s="3" t="str">
        <f>IF($P99&lt;&gt;"", IF($H99="A VISTA", "", IF($H99="1+1", $C99 + CADASTROS!$C$4, IF($H99="1+2", $C99 + CADASTROS!$C$5, IF($H99="1+3", $C99 + CADASTROS!$E$6, "")))), "")</f>
        <v/>
      </c>
      <c r="P99" s="8" t="str">
        <f t="shared" si="7"/>
        <v/>
      </c>
    </row>
    <row r="100" spans="1:16">
      <c r="A100" s="2" t="s">
        <v>236</v>
      </c>
      <c r="B100" s="6" t="s">
        <v>18</v>
      </c>
      <c r="C100" s="7">
        <v>45276</v>
      </c>
      <c r="D100" s="7" t="s">
        <v>67</v>
      </c>
      <c r="E100" s="4" t="s">
        <v>111</v>
      </c>
      <c r="F100" s="4" t="s">
        <v>121</v>
      </c>
      <c r="G100" s="8">
        <v>6491</v>
      </c>
      <c r="H100" s="8" t="s">
        <v>137</v>
      </c>
      <c r="I100" s="3">
        <f>IF($H100="A VISTA", C100 + CADASTROS!$B$3, IF($H100="1+1", C100 + CADASTROS!$B$4, IF(H100="1+2", C100 + CADASTROS!$B$5, IF(H100="1+3", C100 + CADASTROS!$B$6, ""))))</f>
        <v>45277</v>
      </c>
      <c r="J100" s="8">
        <f t="shared" si="4"/>
        <v>2163.6666666666665</v>
      </c>
      <c r="K100" s="3">
        <f>IF($L100&lt;&gt;"", IF($H100="A VISTA", "", IF($H100="1+1", $C100 + CADASTROS!$C$4, IF($H100="1+2", $C100 + CADASTROS!$C$5, IF($H100="1+3", $C100 + CADASTROS!$E$4, "")))), "")</f>
        <v>45306</v>
      </c>
      <c r="L100" s="8">
        <f t="shared" si="5"/>
        <v>2163.6666666666665</v>
      </c>
      <c r="M100" s="3">
        <f>IF($N100&lt;&gt;"", IF($H100="A VISTA", "", IF($H100="1+1", $C100 + CADASTROS!$C$4, IF($H100="1+2", $C100 + CADASTROS!$D$5, IF($H100="1+3", $C100 + CADASTROS!$D$6, "")))), "")</f>
        <v>45321</v>
      </c>
      <c r="N100" s="8">
        <f t="shared" si="6"/>
        <v>2163.6666666666674</v>
      </c>
      <c r="O100" s="3" t="str">
        <f>IF($P100&lt;&gt;"", IF($H100="A VISTA", "", IF($H100="1+1", $C100 + CADASTROS!$C$4, IF($H100="1+2", $C100 + CADASTROS!$C$5, IF($H100="1+3", $C100 + CADASTROS!$E$6, "")))), "")</f>
        <v/>
      </c>
      <c r="P100" s="8" t="str">
        <f t="shared" si="7"/>
        <v/>
      </c>
    </row>
    <row r="101" spans="1:16">
      <c r="A101" s="2" t="s">
        <v>237</v>
      </c>
      <c r="B101" s="6" t="s">
        <v>21</v>
      </c>
      <c r="C101" s="7">
        <v>45063</v>
      </c>
      <c r="D101" s="7" t="s">
        <v>70</v>
      </c>
      <c r="E101" s="4" t="s">
        <v>110</v>
      </c>
      <c r="F101" s="4" t="s">
        <v>124</v>
      </c>
      <c r="G101" s="8">
        <v>9466</v>
      </c>
      <c r="H101" s="8" t="s">
        <v>137</v>
      </c>
      <c r="I101" s="3">
        <f>IF($H101="A VISTA", C101 + CADASTROS!$B$3, IF($H101="1+1", C101 + CADASTROS!$B$4, IF(H101="1+2", C101 + CADASTROS!$B$5, IF(H101="1+3", C101 + CADASTROS!$B$6, ""))))</f>
        <v>45064</v>
      </c>
      <c r="J101" s="8">
        <f t="shared" si="4"/>
        <v>3155.3333333333335</v>
      </c>
      <c r="K101" s="3">
        <f>IF($L101&lt;&gt;"", IF($H101="A VISTA", "", IF($H101="1+1", $C101 + CADASTROS!$C$4, IF($H101="1+2", $C101 + CADASTROS!$C$5, IF($H101="1+3", $C101 + CADASTROS!$E$4, "")))), "")</f>
        <v>45093</v>
      </c>
      <c r="L101" s="8">
        <f t="shared" si="5"/>
        <v>3155.3333333333335</v>
      </c>
      <c r="M101" s="3">
        <f>IF($N101&lt;&gt;"", IF($H101="A VISTA", "", IF($H101="1+1", $C101 + CADASTROS!$C$4, IF($H101="1+2", $C101 + CADASTROS!$D$5, IF($H101="1+3", $C101 + CADASTROS!$D$6, "")))), "")</f>
        <v>45108</v>
      </c>
      <c r="N101" s="8">
        <f t="shared" si="6"/>
        <v>3155.3333333333326</v>
      </c>
      <c r="O101" s="3" t="str">
        <f>IF($P101&lt;&gt;"", IF($H101="A VISTA", "", IF($H101="1+1", $C101 + CADASTROS!$C$4, IF($H101="1+2", $C101 + CADASTROS!$C$5, IF($H101="1+3", $C101 + CADASTROS!$E$6, "")))), "")</f>
        <v/>
      </c>
      <c r="P101" s="8" t="str">
        <f t="shared" si="7"/>
        <v/>
      </c>
    </row>
    <row r="102" spans="1:16">
      <c r="A102" s="2" t="s">
        <v>238</v>
      </c>
      <c r="B102" s="6" t="s">
        <v>48</v>
      </c>
      <c r="C102" s="7">
        <v>45429</v>
      </c>
      <c r="D102" s="7" t="s">
        <v>97</v>
      </c>
      <c r="E102" s="4" t="s">
        <v>112</v>
      </c>
      <c r="F102" s="4" t="s">
        <v>123</v>
      </c>
      <c r="G102" s="8">
        <v>8631</v>
      </c>
      <c r="H102" s="8" t="s">
        <v>126</v>
      </c>
      <c r="I102" s="3">
        <f>IF($H102="A VISTA", C102 + CADASTROS!$B$3, IF($H102="1+1", C102 + CADASTROS!$B$4, IF(H102="1+2", C102 + CADASTROS!$B$5, IF(H102="1+3", C102 + CADASTROS!$B$6, ""))))</f>
        <v>45430</v>
      </c>
      <c r="J102" s="8">
        <f t="shared" si="4"/>
        <v>8631</v>
      </c>
      <c r="K102" s="3" t="str">
        <f>IF($L102&lt;&gt;"", IF($H102="A VISTA", "", IF($H102="1+1", $C102 + CADASTROS!$C$4, IF($H102="1+2", $C102 + CADASTROS!$C$5, IF($H102="1+3", $C102 + CADASTROS!$E$4, "")))), "")</f>
        <v/>
      </c>
      <c r="L102" s="8" t="str">
        <f t="shared" si="5"/>
        <v/>
      </c>
      <c r="M102" s="3" t="str">
        <f>IF($N102&lt;&gt;"", IF($H102="A VISTA", "", IF($H102="1+1", $C102 + CADASTROS!$C$4, IF($H102="1+2", $C102 + CADASTROS!$D$5, IF($H102="1+3", $C102 + CADASTROS!$D$6, "")))), "")</f>
        <v/>
      </c>
      <c r="N102" s="8" t="str">
        <f t="shared" si="6"/>
        <v/>
      </c>
      <c r="O102" s="3" t="str">
        <f>IF($P102&lt;&gt;"", IF($H102="A VISTA", "", IF($H102="1+1", $C102 + CADASTROS!$C$4, IF($H102="1+2", $C102 + CADASTROS!$C$5, IF($H102="1+3", $C102 + CADASTROS!$E$6, "")))), "")</f>
        <v/>
      </c>
      <c r="P102" s="8" t="str">
        <f t="shared" si="7"/>
        <v/>
      </c>
    </row>
    <row r="103" spans="1:16">
      <c r="A103" s="2" t="s">
        <v>239</v>
      </c>
      <c r="B103" s="6" t="s">
        <v>28</v>
      </c>
      <c r="C103" s="7">
        <v>45161</v>
      </c>
      <c r="D103" s="7" t="s">
        <v>77</v>
      </c>
      <c r="E103" s="4" t="s">
        <v>110</v>
      </c>
      <c r="F103" s="4" t="s">
        <v>114</v>
      </c>
      <c r="G103" s="8">
        <v>2326</v>
      </c>
      <c r="H103" s="8" t="s">
        <v>138</v>
      </c>
      <c r="I103" s="3">
        <f>IF($H103="A VISTA", C103 + CADASTROS!$B$3, IF($H103="1+1", C103 + CADASTROS!$B$4, IF(H103="1+2", C103 + CADASTROS!$B$5, IF(H103="1+3", C103 + CADASTROS!$B$6, ""))))</f>
        <v>45162</v>
      </c>
      <c r="J103" s="8">
        <f t="shared" si="4"/>
        <v>1163</v>
      </c>
      <c r="K103" s="3">
        <f>IF($L103&lt;&gt;"", IF($H103="A VISTA", "", IF($H103="1+1", $C103 + CADASTROS!$C$4, IF($H103="1+2", $C103 + CADASTROS!$C$5, IF($H103="1+3", $C103 + CADASTROS!$E$4, "")))), "")</f>
        <v>45191</v>
      </c>
      <c r="L103" s="8">
        <f t="shared" si="5"/>
        <v>1163</v>
      </c>
      <c r="M103" s="3" t="str">
        <f>IF($N103&lt;&gt;"", IF($H103="A VISTA", "", IF($H103="1+1", $C103 + CADASTROS!$C$4, IF($H103="1+2", $C103 + CADASTROS!$D$5, IF($H103="1+3", $C103 + CADASTROS!$D$6, "")))), "")</f>
        <v/>
      </c>
      <c r="N103" s="8" t="str">
        <f t="shared" si="6"/>
        <v/>
      </c>
      <c r="O103" s="3" t="str">
        <f>IF($P103&lt;&gt;"", IF($H103="A VISTA", "", IF($H103="1+1", $C103 + CADASTROS!$C$4, IF($H103="1+2", $C103 + CADASTROS!$C$5, IF($H103="1+3", $C103 + CADASTROS!$E$6, "")))), "")</f>
        <v/>
      </c>
      <c r="P103" s="8" t="str">
        <f t="shared" si="7"/>
        <v/>
      </c>
    </row>
    <row r="104" spans="1:16">
      <c r="A104" s="2" t="s">
        <v>240</v>
      </c>
      <c r="B104" s="6" t="s">
        <v>43</v>
      </c>
      <c r="C104" s="7">
        <v>45427</v>
      </c>
      <c r="D104" s="7" t="s">
        <v>92</v>
      </c>
      <c r="E104" s="4" t="s">
        <v>110</v>
      </c>
      <c r="F104" s="4" t="s">
        <v>124</v>
      </c>
      <c r="G104" s="8">
        <v>1400</v>
      </c>
      <c r="H104" s="8" t="s">
        <v>136</v>
      </c>
      <c r="I104" s="3">
        <f>IF($H104="A VISTA", C104 + CADASTROS!$B$3, IF($H104="1+1", C104 + CADASTROS!$B$4, IF(H104="1+2", C104 + CADASTROS!$B$5, IF(H104="1+3", C104 + CADASTROS!$B$6, ""))))</f>
        <v>45428</v>
      </c>
      <c r="J104" s="8">
        <f t="shared" si="4"/>
        <v>350</v>
      </c>
      <c r="K104" s="3">
        <f>IF($L104&lt;&gt;"", IF($H104="A VISTA", "", IF($H104="1+1", $C104 + CADASTROS!$C$4, IF($H104="1+2", $C104 + CADASTROS!$C$5, IF($H104="1+3", $C104 + CADASTROS!$E$4, "")))), "")</f>
        <v>45427</v>
      </c>
      <c r="L104" s="8">
        <f t="shared" si="5"/>
        <v>350</v>
      </c>
      <c r="M104" s="3">
        <f>IF($N104&lt;&gt;"", IF($H104="A VISTA", "", IF($H104="1+1", $C104 + CADASTROS!$C$4, IF($H104="1+2", $C104 + CADASTROS!$D$5, IF($H104="1+3", $C104 + CADASTROS!$D$6, "")))), "")</f>
        <v>45472</v>
      </c>
      <c r="N104" s="8">
        <f t="shared" si="6"/>
        <v>350</v>
      </c>
      <c r="O104" s="3">
        <f>IF($P104&lt;&gt;"", IF($H104="A VISTA", "", IF($H104="1+1", $C104 + CADASTROS!$C$4, IF($H104="1+2", $C104 + CADASTROS!$C$5, IF($H104="1+3", $C104 + CADASTROS!$E$6, "")))), "")</f>
        <v>45487</v>
      </c>
      <c r="P104" s="8">
        <f t="shared" si="7"/>
        <v>350</v>
      </c>
    </row>
    <row r="105" spans="1:16">
      <c r="A105" s="2" t="s">
        <v>241</v>
      </c>
      <c r="B105" s="6" t="s">
        <v>12</v>
      </c>
      <c r="C105" s="7">
        <v>45477</v>
      </c>
      <c r="D105" s="7" t="s">
        <v>62</v>
      </c>
      <c r="E105" s="4" t="s">
        <v>112</v>
      </c>
      <c r="F105" s="4" t="s">
        <v>122</v>
      </c>
      <c r="G105" s="8">
        <v>4303</v>
      </c>
      <c r="H105" s="8" t="s">
        <v>126</v>
      </c>
      <c r="I105" s="3">
        <f>IF($H105="A VISTA", C105 + CADASTROS!$B$3, IF($H105="1+1", C105 + CADASTROS!$B$4, IF(H105="1+2", C105 + CADASTROS!$B$5, IF(H105="1+3", C105 + CADASTROS!$B$6, ""))))</f>
        <v>45478</v>
      </c>
      <c r="J105" s="8">
        <f t="shared" si="4"/>
        <v>4303</v>
      </c>
      <c r="K105" s="3" t="str">
        <f>IF($L105&lt;&gt;"", IF($H105="A VISTA", "", IF($H105="1+1", $C105 + CADASTROS!$C$4, IF($H105="1+2", $C105 + CADASTROS!$C$5, IF($H105="1+3", $C105 + CADASTROS!$E$4, "")))), "")</f>
        <v/>
      </c>
      <c r="L105" s="8" t="str">
        <f t="shared" si="5"/>
        <v/>
      </c>
      <c r="M105" s="3" t="str">
        <f>IF($N105&lt;&gt;"", IF($H105="A VISTA", "", IF($H105="1+1", $C105 + CADASTROS!$C$4, IF($H105="1+2", $C105 + CADASTROS!$D$5, IF($H105="1+3", $C105 + CADASTROS!$D$6, "")))), "")</f>
        <v/>
      </c>
      <c r="N105" s="8" t="str">
        <f t="shared" si="6"/>
        <v/>
      </c>
      <c r="O105" s="3" t="str">
        <f>IF($P105&lt;&gt;"", IF($H105="A VISTA", "", IF($H105="1+1", $C105 + CADASTROS!$C$4, IF($H105="1+2", $C105 + CADASTROS!$C$5, IF($H105="1+3", $C105 + CADASTROS!$E$6, "")))), "")</f>
        <v/>
      </c>
      <c r="P105" s="8" t="str">
        <f t="shared" si="7"/>
        <v/>
      </c>
    </row>
    <row r="106" spans="1:16">
      <c r="A106" s="2" t="s">
        <v>242</v>
      </c>
      <c r="B106" s="6" t="s">
        <v>59</v>
      </c>
      <c r="C106" s="7">
        <v>45204</v>
      </c>
      <c r="D106" s="7" t="s">
        <v>108</v>
      </c>
      <c r="E106" s="4" t="s">
        <v>111</v>
      </c>
      <c r="F106" s="4" t="s">
        <v>121</v>
      </c>
      <c r="G106" s="8">
        <v>2355</v>
      </c>
      <c r="H106" s="8" t="s">
        <v>126</v>
      </c>
      <c r="I106" s="3">
        <f>IF($H106="A VISTA", C106 + CADASTROS!$B$3, IF($H106="1+1", C106 + CADASTROS!$B$4, IF(H106="1+2", C106 + CADASTROS!$B$5, IF(H106="1+3", C106 + CADASTROS!$B$6, ""))))</f>
        <v>45205</v>
      </c>
      <c r="J106" s="8">
        <f t="shared" si="4"/>
        <v>2355</v>
      </c>
      <c r="K106" s="3" t="str">
        <f>IF($L106&lt;&gt;"", IF($H106="A VISTA", "", IF($H106="1+1", $C106 + CADASTROS!$C$4, IF($H106="1+2", $C106 + CADASTROS!$C$5, IF($H106="1+3", $C106 + CADASTROS!$E$4, "")))), "")</f>
        <v/>
      </c>
      <c r="L106" s="8" t="str">
        <f t="shared" si="5"/>
        <v/>
      </c>
      <c r="M106" s="3" t="str">
        <f>IF($N106&lt;&gt;"", IF($H106="A VISTA", "", IF($H106="1+1", $C106 + CADASTROS!$C$4, IF($H106="1+2", $C106 + CADASTROS!$D$5, IF($H106="1+3", $C106 + CADASTROS!$D$6, "")))), "")</f>
        <v/>
      </c>
      <c r="N106" s="8" t="str">
        <f t="shared" si="6"/>
        <v/>
      </c>
      <c r="O106" s="3" t="str">
        <f>IF($P106&lt;&gt;"", IF($H106="A VISTA", "", IF($H106="1+1", $C106 + CADASTROS!$C$4, IF($H106="1+2", $C106 + CADASTROS!$C$5, IF($H106="1+3", $C106 + CADASTROS!$E$6, "")))), "")</f>
        <v/>
      </c>
      <c r="P106" s="8" t="str">
        <f t="shared" si="7"/>
        <v/>
      </c>
    </row>
    <row r="107" spans="1:16">
      <c r="A107" s="2" t="s">
        <v>243</v>
      </c>
      <c r="B107" s="6" t="s">
        <v>48</v>
      </c>
      <c r="C107" s="7">
        <v>45255</v>
      </c>
      <c r="D107" s="7" t="s">
        <v>97</v>
      </c>
      <c r="E107" s="4" t="s">
        <v>112</v>
      </c>
      <c r="F107" s="4" t="s">
        <v>123</v>
      </c>
      <c r="G107" s="8">
        <v>701</v>
      </c>
      <c r="H107" s="8" t="s">
        <v>126</v>
      </c>
      <c r="I107" s="3">
        <f>IF($H107="A VISTA", C107 + CADASTROS!$B$3, IF($H107="1+1", C107 + CADASTROS!$B$4, IF(H107="1+2", C107 + CADASTROS!$B$5, IF(H107="1+3", C107 + CADASTROS!$B$6, ""))))</f>
        <v>45256</v>
      </c>
      <c r="J107" s="8">
        <f t="shared" si="4"/>
        <v>701</v>
      </c>
      <c r="K107" s="3" t="str">
        <f>IF($L107&lt;&gt;"", IF($H107="A VISTA", "", IF($H107="1+1", $C107 + CADASTROS!$C$4, IF($H107="1+2", $C107 + CADASTROS!$C$5, IF($H107="1+3", $C107 + CADASTROS!$E$4, "")))), "")</f>
        <v/>
      </c>
      <c r="L107" s="8" t="str">
        <f t="shared" si="5"/>
        <v/>
      </c>
      <c r="M107" s="3" t="str">
        <f>IF($N107&lt;&gt;"", IF($H107="A VISTA", "", IF($H107="1+1", $C107 + CADASTROS!$C$4, IF($H107="1+2", $C107 + CADASTROS!$D$5, IF($H107="1+3", $C107 + CADASTROS!$D$6, "")))), "")</f>
        <v/>
      </c>
      <c r="N107" s="8" t="str">
        <f t="shared" si="6"/>
        <v/>
      </c>
      <c r="O107" s="3" t="str">
        <f>IF($P107&lt;&gt;"", IF($H107="A VISTA", "", IF($H107="1+1", $C107 + CADASTROS!$C$4, IF($H107="1+2", $C107 + CADASTROS!$C$5, IF($H107="1+3", $C107 + CADASTROS!$E$6, "")))), "")</f>
        <v/>
      </c>
      <c r="P107" s="8" t="str">
        <f t="shared" si="7"/>
        <v/>
      </c>
    </row>
    <row r="108" spans="1:16">
      <c r="A108" s="2" t="s">
        <v>244</v>
      </c>
      <c r="B108" s="6" t="s">
        <v>32</v>
      </c>
      <c r="C108" s="7">
        <v>45153</v>
      </c>
      <c r="D108" s="7" t="s">
        <v>81</v>
      </c>
      <c r="E108" s="4" t="s">
        <v>110</v>
      </c>
      <c r="F108" s="4" t="s">
        <v>124</v>
      </c>
      <c r="G108" s="8">
        <v>950</v>
      </c>
      <c r="H108" s="8" t="s">
        <v>138</v>
      </c>
      <c r="I108" s="3">
        <f>IF($H108="A VISTA", C108 + CADASTROS!$B$3, IF($H108="1+1", C108 + CADASTROS!$B$4, IF(H108="1+2", C108 + CADASTROS!$B$5, IF(H108="1+3", C108 + CADASTROS!$B$6, ""))))</f>
        <v>45154</v>
      </c>
      <c r="J108" s="8">
        <f t="shared" si="4"/>
        <v>475</v>
      </c>
      <c r="K108" s="3">
        <f>IF($L108&lt;&gt;"", IF($H108="A VISTA", "", IF($H108="1+1", $C108 + CADASTROS!$C$4, IF($H108="1+2", $C108 + CADASTROS!$C$5, IF($H108="1+3", $C108 + CADASTROS!$E$4, "")))), "")</f>
        <v>45183</v>
      </c>
      <c r="L108" s="8">
        <f t="shared" si="5"/>
        <v>475</v>
      </c>
      <c r="M108" s="3" t="str">
        <f>IF($N108&lt;&gt;"", IF($H108="A VISTA", "", IF($H108="1+1", $C108 + CADASTROS!$C$4, IF($H108="1+2", $C108 + CADASTROS!$D$5, IF($H108="1+3", $C108 + CADASTROS!$D$6, "")))), "")</f>
        <v/>
      </c>
      <c r="N108" s="8" t="str">
        <f t="shared" si="6"/>
        <v/>
      </c>
      <c r="O108" s="3" t="str">
        <f>IF($P108&lt;&gt;"", IF($H108="A VISTA", "", IF($H108="1+1", $C108 + CADASTROS!$C$4, IF($H108="1+2", $C108 + CADASTROS!$C$5, IF($H108="1+3", $C108 + CADASTROS!$E$6, "")))), "")</f>
        <v/>
      </c>
      <c r="P108" s="8" t="str">
        <f t="shared" si="7"/>
        <v/>
      </c>
    </row>
    <row r="109" spans="1:16">
      <c r="A109" s="2" t="s">
        <v>245</v>
      </c>
      <c r="B109" s="6" t="s">
        <v>54</v>
      </c>
      <c r="C109" s="7">
        <v>45302</v>
      </c>
      <c r="D109" s="7" t="s">
        <v>103</v>
      </c>
      <c r="E109" s="4" t="s">
        <v>110</v>
      </c>
      <c r="F109" s="4" t="s">
        <v>124</v>
      </c>
      <c r="G109" s="8">
        <v>2406</v>
      </c>
      <c r="H109" s="8" t="s">
        <v>126</v>
      </c>
      <c r="I109" s="3">
        <f>IF($H109="A VISTA", C109 + CADASTROS!$B$3, IF($H109="1+1", C109 + CADASTROS!$B$4, IF(H109="1+2", C109 + CADASTROS!$B$5, IF(H109="1+3", C109 + CADASTROS!$B$6, ""))))</f>
        <v>45303</v>
      </c>
      <c r="J109" s="8">
        <f t="shared" si="4"/>
        <v>2406</v>
      </c>
      <c r="K109" s="3" t="str">
        <f>IF($L109&lt;&gt;"", IF($H109="A VISTA", "", IF($H109="1+1", $C109 + CADASTROS!$C$4, IF($H109="1+2", $C109 + CADASTROS!$C$5, IF($H109="1+3", $C109 + CADASTROS!$E$4, "")))), "")</f>
        <v/>
      </c>
      <c r="L109" s="8" t="str">
        <f t="shared" si="5"/>
        <v/>
      </c>
      <c r="M109" s="3" t="str">
        <f>IF($N109&lt;&gt;"", IF($H109="A VISTA", "", IF($H109="1+1", $C109 + CADASTROS!$C$4, IF($H109="1+2", $C109 + CADASTROS!$D$5, IF($H109="1+3", $C109 + CADASTROS!$D$6, "")))), "")</f>
        <v/>
      </c>
      <c r="N109" s="8" t="str">
        <f t="shared" si="6"/>
        <v/>
      </c>
      <c r="O109" s="3" t="str">
        <f>IF($P109&lt;&gt;"", IF($H109="A VISTA", "", IF($H109="1+1", $C109 + CADASTROS!$C$4, IF($H109="1+2", $C109 + CADASTROS!$C$5, IF($H109="1+3", $C109 + CADASTROS!$E$6, "")))), "")</f>
        <v/>
      </c>
      <c r="P109" s="8" t="str">
        <f t="shared" si="7"/>
        <v/>
      </c>
    </row>
    <row r="110" spans="1:16">
      <c r="A110" s="2" t="s">
        <v>246</v>
      </c>
      <c r="B110" s="6" t="s">
        <v>30</v>
      </c>
      <c r="C110" s="7">
        <v>45268</v>
      </c>
      <c r="D110" s="7" t="s">
        <v>79</v>
      </c>
      <c r="E110" s="4" t="s">
        <v>111</v>
      </c>
      <c r="F110" s="4" t="s">
        <v>118</v>
      </c>
      <c r="G110" s="8">
        <v>5721</v>
      </c>
      <c r="H110" s="8" t="s">
        <v>136</v>
      </c>
      <c r="I110" s="3">
        <f>IF($H110="A VISTA", C110 + CADASTROS!$B$3, IF($H110="1+1", C110 + CADASTROS!$B$4, IF(H110="1+2", C110 + CADASTROS!$B$5, IF(H110="1+3", C110 + CADASTROS!$B$6, ""))))</f>
        <v>45269</v>
      </c>
      <c r="J110" s="8">
        <f t="shared" si="4"/>
        <v>1430.25</v>
      </c>
      <c r="K110" s="3">
        <f>IF($L110&lt;&gt;"", IF($H110="A VISTA", "", IF($H110="1+1", $C110 + CADASTROS!$C$4, IF($H110="1+2", $C110 + CADASTROS!$C$5, IF($H110="1+3", $C110 + CADASTROS!$E$4, "")))), "")</f>
        <v>45268</v>
      </c>
      <c r="L110" s="8">
        <f t="shared" si="5"/>
        <v>1430.25</v>
      </c>
      <c r="M110" s="3">
        <f>IF($N110&lt;&gt;"", IF($H110="A VISTA", "", IF($H110="1+1", $C110 + CADASTROS!$C$4, IF($H110="1+2", $C110 + CADASTROS!$D$5, IF($H110="1+3", $C110 + CADASTROS!$D$6, "")))), "")</f>
        <v>45313</v>
      </c>
      <c r="N110" s="8">
        <f t="shared" si="6"/>
        <v>1430.25</v>
      </c>
      <c r="O110" s="3">
        <f>IF($P110&lt;&gt;"", IF($H110="A VISTA", "", IF($H110="1+1", $C110 + CADASTROS!$C$4, IF($H110="1+2", $C110 + CADASTROS!$C$5, IF($H110="1+3", $C110 + CADASTROS!$E$6, "")))), "")</f>
        <v>45328</v>
      </c>
      <c r="P110" s="8">
        <f t="shared" si="7"/>
        <v>1430.25</v>
      </c>
    </row>
    <row r="111" spans="1:16">
      <c r="A111" s="2" t="s">
        <v>247</v>
      </c>
      <c r="B111" s="6" t="s">
        <v>42</v>
      </c>
      <c r="C111" s="7">
        <v>45270</v>
      </c>
      <c r="D111" s="7" t="s">
        <v>91</v>
      </c>
      <c r="E111" s="4" t="s">
        <v>111</v>
      </c>
      <c r="F111" s="4" t="s">
        <v>117</v>
      </c>
      <c r="G111" s="8">
        <v>9351</v>
      </c>
      <c r="H111" s="8" t="s">
        <v>137</v>
      </c>
      <c r="I111" s="3">
        <f>IF($H111="A VISTA", C111 + CADASTROS!$B$3, IF($H111="1+1", C111 + CADASTROS!$B$4, IF(H111="1+2", C111 + CADASTROS!$B$5, IF(H111="1+3", C111 + CADASTROS!$B$6, ""))))</f>
        <v>45271</v>
      </c>
      <c r="J111" s="8">
        <f t="shared" si="4"/>
        <v>3117</v>
      </c>
      <c r="K111" s="3">
        <f>IF($L111&lt;&gt;"", IF($H111="A VISTA", "", IF($H111="1+1", $C111 + CADASTROS!$C$4, IF($H111="1+2", $C111 + CADASTROS!$C$5, IF($H111="1+3", $C111 + CADASTROS!$E$4, "")))), "")</f>
        <v>45300</v>
      </c>
      <c r="L111" s="8">
        <f t="shared" si="5"/>
        <v>3117</v>
      </c>
      <c r="M111" s="3">
        <f>IF($N111&lt;&gt;"", IF($H111="A VISTA", "", IF($H111="1+1", $C111 + CADASTROS!$C$4, IF($H111="1+2", $C111 + CADASTROS!$D$5, IF($H111="1+3", $C111 + CADASTROS!$D$6, "")))), "")</f>
        <v>45315</v>
      </c>
      <c r="N111" s="8">
        <f t="shared" si="6"/>
        <v>3117</v>
      </c>
      <c r="O111" s="3" t="str">
        <f>IF($P111&lt;&gt;"", IF($H111="A VISTA", "", IF($H111="1+1", $C111 + CADASTROS!$C$4, IF($H111="1+2", $C111 + CADASTROS!$C$5, IF($H111="1+3", $C111 + CADASTROS!$E$6, "")))), "")</f>
        <v/>
      </c>
      <c r="P111" s="8" t="str">
        <f t="shared" si="7"/>
        <v/>
      </c>
    </row>
    <row r="112" spans="1:16">
      <c r="A112" s="2" t="s">
        <v>248</v>
      </c>
      <c r="B112" s="6" t="s">
        <v>36</v>
      </c>
      <c r="C112" s="7">
        <v>45393</v>
      </c>
      <c r="D112" s="7" t="s">
        <v>85</v>
      </c>
      <c r="E112" s="4" t="s">
        <v>111</v>
      </c>
      <c r="F112" s="4" t="s">
        <v>120</v>
      </c>
      <c r="G112" s="8">
        <v>8439</v>
      </c>
      <c r="H112" s="8" t="s">
        <v>137</v>
      </c>
      <c r="I112" s="3">
        <f>IF($H112="A VISTA", C112 + CADASTROS!$B$3, IF($H112="1+1", C112 + CADASTROS!$B$4, IF(H112="1+2", C112 + CADASTROS!$B$5, IF(H112="1+3", C112 + CADASTROS!$B$6, ""))))</f>
        <v>45394</v>
      </c>
      <c r="J112" s="8">
        <f t="shared" si="4"/>
        <v>2813</v>
      </c>
      <c r="K112" s="3">
        <f>IF($L112&lt;&gt;"", IF($H112="A VISTA", "", IF($H112="1+1", $C112 + CADASTROS!$C$4, IF($H112="1+2", $C112 + CADASTROS!$C$5, IF($H112="1+3", $C112 + CADASTROS!$E$4, "")))), "")</f>
        <v>45423</v>
      </c>
      <c r="L112" s="8">
        <f t="shared" si="5"/>
        <v>2813</v>
      </c>
      <c r="M112" s="3">
        <f>IF($N112&lt;&gt;"", IF($H112="A VISTA", "", IF($H112="1+1", $C112 + CADASTROS!$C$4, IF($H112="1+2", $C112 + CADASTROS!$D$5, IF($H112="1+3", $C112 + CADASTROS!$D$6, "")))), "")</f>
        <v>45438</v>
      </c>
      <c r="N112" s="8">
        <f t="shared" si="6"/>
        <v>2813</v>
      </c>
      <c r="O112" s="3" t="str">
        <f>IF($P112&lt;&gt;"", IF($H112="A VISTA", "", IF($H112="1+1", $C112 + CADASTROS!$C$4, IF($H112="1+2", $C112 + CADASTROS!$C$5, IF($H112="1+3", $C112 + CADASTROS!$E$6, "")))), "")</f>
        <v/>
      </c>
      <c r="P112" s="8" t="str">
        <f t="shared" si="7"/>
        <v/>
      </c>
    </row>
    <row r="113" spans="1:16">
      <c r="A113" s="2" t="s">
        <v>249</v>
      </c>
      <c r="B113" s="6" t="s">
        <v>29</v>
      </c>
      <c r="C113" s="7">
        <v>45038</v>
      </c>
      <c r="D113" s="7" t="s">
        <v>78</v>
      </c>
      <c r="E113" s="4" t="s">
        <v>111</v>
      </c>
      <c r="F113" s="4" t="s">
        <v>121</v>
      </c>
      <c r="G113" s="8">
        <v>7019</v>
      </c>
      <c r="H113" s="8" t="s">
        <v>137</v>
      </c>
      <c r="I113" s="3">
        <f>IF($H113="A VISTA", C113 + CADASTROS!$B$3, IF($H113="1+1", C113 + CADASTROS!$B$4, IF(H113="1+2", C113 + CADASTROS!$B$5, IF(H113="1+3", C113 + CADASTROS!$B$6, ""))))</f>
        <v>45039</v>
      </c>
      <c r="J113" s="8">
        <f t="shared" si="4"/>
        <v>2339.6666666666665</v>
      </c>
      <c r="K113" s="3">
        <f>IF($L113&lt;&gt;"", IF($H113="A VISTA", "", IF($H113="1+1", $C113 + CADASTROS!$C$4, IF($H113="1+2", $C113 + CADASTROS!$C$5, IF($H113="1+3", $C113 + CADASTROS!$E$4, "")))), "")</f>
        <v>45068</v>
      </c>
      <c r="L113" s="8">
        <f t="shared" si="5"/>
        <v>2339.6666666666665</v>
      </c>
      <c r="M113" s="3">
        <f>IF($N113&lt;&gt;"", IF($H113="A VISTA", "", IF($H113="1+1", $C113 + CADASTROS!$C$4, IF($H113="1+2", $C113 + CADASTROS!$D$5, IF($H113="1+3", $C113 + CADASTROS!$D$6, "")))), "")</f>
        <v>45083</v>
      </c>
      <c r="N113" s="8">
        <f t="shared" si="6"/>
        <v>2339.6666666666674</v>
      </c>
      <c r="O113" s="3" t="str">
        <f>IF($P113&lt;&gt;"", IF($H113="A VISTA", "", IF($H113="1+1", $C113 + CADASTROS!$C$4, IF($H113="1+2", $C113 + CADASTROS!$C$5, IF($H113="1+3", $C113 + CADASTROS!$E$6, "")))), "")</f>
        <v/>
      </c>
      <c r="P113" s="8" t="str">
        <f t="shared" si="7"/>
        <v/>
      </c>
    </row>
    <row r="114" spans="1:16">
      <c r="A114" s="2" t="s">
        <v>250</v>
      </c>
      <c r="B114" s="6" t="s">
        <v>41</v>
      </c>
      <c r="C114" s="7">
        <v>45155</v>
      </c>
      <c r="D114" s="7" t="s">
        <v>90</v>
      </c>
      <c r="E114" s="4" t="s">
        <v>111</v>
      </c>
      <c r="F114" s="4" t="s">
        <v>118</v>
      </c>
      <c r="G114" s="8">
        <v>8047</v>
      </c>
      <c r="H114" s="8" t="s">
        <v>136</v>
      </c>
      <c r="I114" s="3">
        <f>IF($H114="A VISTA", C114 + CADASTROS!$B$3, IF($H114="1+1", C114 + CADASTROS!$B$4, IF(H114="1+2", C114 + CADASTROS!$B$5, IF(H114="1+3", C114 + CADASTROS!$B$6, ""))))</f>
        <v>45156</v>
      </c>
      <c r="J114" s="8">
        <f t="shared" si="4"/>
        <v>2011.75</v>
      </c>
      <c r="K114" s="3">
        <f>IF($L114&lt;&gt;"", IF($H114="A VISTA", "", IF($H114="1+1", $C114 + CADASTROS!$C$4, IF($H114="1+2", $C114 + CADASTROS!$C$5, IF($H114="1+3", $C114 + CADASTROS!$E$4, "")))), "")</f>
        <v>45155</v>
      </c>
      <c r="L114" s="8">
        <f t="shared" si="5"/>
        <v>2011.75</v>
      </c>
      <c r="M114" s="3">
        <f>IF($N114&lt;&gt;"", IF($H114="A VISTA", "", IF($H114="1+1", $C114 + CADASTROS!$C$4, IF($H114="1+2", $C114 + CADASTROS!$D$5, IF($H114="1+3", $C114 + CADASTROS!$D$6, "")))), "")</f>
        <v>45200</v>
      </c>
      <c r="N114" s="8">
        <f t="shared" si="6"/>
        <v>2011.75</v>
      </c>
      <c r="O114" s="3">
        <f>IF($P114&lt;&gt;"", IF($H114="A VISTA", "", IF($H114="1+1", $C114 + CADASTROS!$C$4, IF($H114="1+2", $C114 + CADASTROS!$C$5, IF($H114="1+3", $C114 + CADASTROS!$E$6, "")))), "")</f>
        <v>45215</v>
      </c>
      <c r="P114" s="8">
        <f t="shared" si="7"/>
        <v>2011.75</v>
      </c>
    </row>
    <row r="115" spans="1:16">
      <c r="A115" s="2" t="s">
        <v>251</v>
      </c>
      <c r="B115" s="6" t="s">
        <v>45</v>
      </c>
      <c r="C115" s="7">
        <v>45173</v>
      </c>
      <c r="D115" s="7" t="s">
        <v>94</v>
      </c>
      <c r="E115" s="4" t="s">
        <v>110</v>
      </c>
      <c r="F115" s="4" t="s">
        <v>113</v>
      </c>
      <c r="G115" s="8">
        <v>9568</v>
      </c>
      <c r="H115" s="8" t="s">
        <v>137</v>
      </c>
      <c r="I115" s="3">
        <f>IF($H115="A VISTA", C115 + CADASTROS!$B$3, IF($H115="1+1", C115 + CADASTROS!$B$4, IF(H115="1+2", C115 + CADASTROS!$B$5, IF(H115="1+3", C115 + CADASTROS!$B$6, ""))))</f>
        <v>45174</v>
      </c>
      <c r="J115" s="8">
        <f t="shared" si="4"/>
        <v>3189.3333333333335</v>
      </c>
      <c r="K115" s="3">
        <f>IF($L115&lt;&gt;"", IF($H115="A VISTA", "", IF($H115="1+1", $C115 + CADASTROS!$C$4, IF($H115="1+2", $C115 + CADASTROS!$C$5, IF($H115="1+3", $C115 + CADASTROS!$E$4, "")))), "")</f>
        <v>45203</v>
      </c>
      <c r="L115" s="8">
        <f t="shared" si="5"/>
        <v>3189.3333333333335</v>
      </c>
      <c r="M115" s="3">
        <f>IF($N115&lt;&gt;"", IF($H115="A VISTA", "", IF($H115="1+1", $C115 + CADASTROS!$C$4, IF($H115="1+2", $C115 + CADASTROS!$D$5, IF($H115="1+3", $C115 + CADASTROS!$D$6, "")))), "")</f>
        <v>45218</v>
      </c>
      <c r="N115" s="8">
        <f t="shared" si="6"/>
        <v>3189.3333333333326</v>
      </c>
      <c r="O115" s="3" t="str">
        <f>IF($P115&lt;&gt;"", IF($H115="A VISTA", "", IF($H115="1+1", $C115 + CADASTROS!$C$4, IF($H115="1+2", $C115 + CADASTROS!$C$5, IF($H115="1+3", $C115 + CADASTROS!$E$6, "")))), "")</f>
        <v/>
      </c>
      <c r="P115" s="8" t="str">
        <f t="shared" si="7"/>
        <v/>
      </c>
    </row>
    <row r="116" spans="1:16">
      <c r="A116" s="2" t="s">
        <v>252</v>
      </c>
      <c r="B116" s="6" t="s">
        <v>23</v>
      </c>
      <c r="C116" s="7">
        <v>45210</v>
      </c>
      <c r="D116" s="7" t="s">
        <v>72</v>
      </c>
      <c r="E116" s="4" t="s">
        <v>110</v>
      </c>
      <c r="F116" s="4" t="s">
        <v>113</v>
      </c>
      <c r="G116" s="8">
        <v>4355</v>
      </c>
      <c r="H116" s="8" t="s">
        <v>137</v>
      </c>
      <c r="I116" s="3">
        <f>IF($H116="A VISTA", C116 + CADASTROS!$B$3, IF($H116="1+1", C116 + CADASTROS!$B$4, IF(H116="1+2", C116 + CADASTROS!$B$5, IF(H116="1+3", C116 + CADASTROS!$B$6, ""))))</f>
        <v>45211</v>
      </c>
      <c r="J116" s="8">
        <f t="shared" si="4"/>
        <v>1451.6666666666667</v>
      </c>
      <c r="K116" s="3">
        <f>IF($L116&lt;&gt;"", IF($H116="A VISTA", "", IF($H116="1+1", $C116 + CADASTROS!$C$4, IF($H116="1+2", $C116 + CADASTROS!$C$5, IF($H116="1+3", $C116 + CADASTROS!$E$4, "")))), "")</f>
        <v>45240</v>
      </c>
      <c r="L116" s="8">
        <f t="shared" si="5"/>
        <v>1451.6666666666667</v>
      </c>
      <c r="M116" s="3">
        <f>IF($N116&lt;&gt;"", IF($H116="A VISTA", "", IF($H116="1+1", $C116 + CADASTROS!$C$4, IF($H116="1+2", $C116 + CADASTROS!$D$5, IF($H116="1+3", $C116 + CADASTROS!$D$6, "")))), "")</f>
        <v>45255</v>
      </c>
      <c r="N116" s="8">
        <f t="shared" si="6"/>
        <v>1451.6666666666663</v>
      </c>
      <c r="O116" s="3" t="str">
        <f>IF($P116&lt;&gt;"", IF($H116="A VISTA", "", IF($H116="1+1", $C116 + CADASTROS!$C$4, IF($H116="1+2", $C116 + CADASTROS!$C$5, IF($H116="1+3", $C116 + CADASTROS!$E$6, "")))), "")</f>
        <v/>
      </c>
      <c r="P116" s="8" t="str">
        <f t="shared" si="7"/>
        <v/>
      </c>
    </row>
    <row r="117" spans="1:16">
      <c r="A117" s="2" t="s">
        <v>253</v>
      </c>
      <c r="B117" s="6" t="s">
        <v>52</v>
      </c>
      <c r="C117" s="7">
        <v>45238</v>
      </c>
      <c r="D117" s="7" t="s">
        <v>101</v>
      </c>
      <c r="E117" s="4" t="s">
        <v>111</v>
      </c>
      <c r="F117" s="4" t="s">
        <v>118</v>
      </c>
      <c r="G117" s="8">
        <v>9168</v>
      </c>
      <c r="H117" s="8" t="s">
        <v>137</v>
      </c>
      <c r="I117" s="3">
        <f>IF($H117="A VISTA", C117 + CADASTROS!$B$3, IF($H117="1+1", C117 + CADASTROS!$B$4, IF(H117="1+2", C117 + CADASTROS!$B$5, IF(H117="1+3", C117 + CADASTROS!$B$6, ""))))</f>
        <v>45239</v>
      </c>
      <c r="J117" s="8">
        <f t="shared" si="4"/>
        <v>3056</v>
      </c>
      <c r="K117" s="3">
        <f>IF($L117&lt;&gt;"", IF($H117="A VISTA", "", IF($H117="1+1", $C117 + CADASTROS!$C$4, IF($H117="1+2", $C117 + CADASTROS!$C$5, IF($H117="1+3", $C117 + CADASTROS!$E$4, "")))), "")</f>
        <v>45268</v>
      </c>
      <c r="L117" s="8">
        <f t="shared" si="5"/>
        <v>3056</v>
      </c>
      <c r="M117" s="3">
        <f>IF($N117&lt;&gt;"", IF($H117="A VISTA", "", IF($H117="1+1", $C117 + CADASTROS!$C$4, IF($H117="1+2", $C117 + CADASTROS!$D$5, IF($H117="1+3", $C117 + CADASTROS!$D$6, "")))), "")</f>
        <v>45283</v>
      </c>
      <c r="N117" s="8">
        <f t="shared" si="6"/>
        <v>3056</v>
      </c>
      <c r="O117" s="3" t="str">
        <f>IF($P117&lt;&gt;"", IF($H117="A VISTA", "", IF($H117="1+1", $C117 + CADASTROS!$C$4, IF($H117="1+2", $C117 + CADASTROS!$C$5, IF($H117="1+3", $C117 + CADASTROS!$E$6, "")))), "")</f>
        <v/>
      </c>
      <c r="P117" s="8" t="str">
        <f t="shared" si="7"/>
        <v/>
      </c>
    </row>
    <row r="118" spans="1:16">
      <c r="A118" s="2" t="s">
        <v>254</v>
      </c>
      <c r="B118" s="6" t="s">
        <v>53</v>
      </c>
      <c r="C118" s="7">
        <v>45421</v>
      </c>
      <c r="D118" s="7" t="s">
        <v>102</v>
      </c>
      <c r="E118" s="4" t="s">
        <v>111</v>
      </c>
      <c r="F118" s="4" t="s">
        <v>117</v>
      </c>
      <c r="G118" s="8">
        <v>1151</v>
      </c>
      <c r="H118" s="8" t="s">
        <v>138</v>
      </c>
      <c r="I118" s="3">
        <f>IF($H118="A VISTA", C118 + CADASTROS!$B$3, IF($H118="1+1", C118 + CADASTROS!$B$4, IF(H118="1+2", C118 + CADASTROS!$B$5, IF(H118="1+3", C118 + CADASTROS!$B$6, ""))))</f>
        <v>45422</v>
      </c>
      <c r="J118" s="8">
        <f t="shared" si="4"/>
        <v>575.5</v>
      </c>
      <c r="K118" s="3">
        <f>IF($L118&lt;&gt;"", IF($H118="A VISTA", "", IF($H118="1+1", $C118 + CADASTROS!$C$4, IF($H118="1+2", $C118 + CADASTROS!$C$5, IF($H118="1+3", $C118 + CADASTROS!$E$4, "")))), "")</f>
        <v>45451</v>
      </c>
      <c r="L118" s="8">
        <f t="shared" si="5"/>
        <v>575.5</v>
      </c>
      <c r="M118" s="3" t="str">
        <f>IF($N118&lt;&gt;"", IF($H118="A VISTA", "", IF($H118="1+1", $C118 + CADASTROS!$C$4, IF($H118="1+2", $C118 + CADASTROS!$D$5, IF($H118="1+3", $C118 + CADASTROS!$D$6, "")))), "")</f>
        <v/>
      </c>
      <c r="N118" s="8" t="str">
        <f t="shared" si="6"/>
        <v/>
      </c>
      <c r="O118" s="3" t="str">
        <f>IF($P118&lt;&gt;"", IF($H118="A VISTA", "", IF($H118="1+1", $C118 + CADASTROS!$C$4, IF($H118="1+2", $C118 + CADASTROS!$C$5, IF($H118="1+3", $C118 + CADASTROS!$E$6, "")))), "")</f>
        <v/>
      </c>
      <c r="P118" s="8" t="str">
        <f t="shared" si="7"/>
        <v/>
      </c>
    </row>
    <row r="119" spans="1:16">
      <c r="A119" s="2" t="s">
        <v>255</v>
      </c>
      <c r="B119" s="6" t="s">
        <v>46</v>
      </c>
      <c r="C119" s="7">
        <v>45536</v>
      </c>
      <c r="D119" s="7" t="s">
        <v>95</v>
      </c>
      <c r="E119" s="4" t="s">
        <v>112</v>
      </c>
      <c r="F119" s="4" t="s">
        <v>122</v>
      </c>
      <c r="G119" s="8">
        <v>9981</v>
      </c>
      <c r="H119" s="8" t="s">
        <v>126</v>
      </c>
      <c r="I119" s="3">
        <f>IF($H119="A VISTA", C119 + CADASTROS!$B$3, IF($H119="1+1", C119 + CADASTROS!$B$4, IF(H119="1+2", C119 + CADASTROS!$B$5, IF(H119="1+3", C119 + CADASTROS!$B$6, ""))))</f>
        <v>45537</v>
      </c>
      <c r="J119" s="8">
        <f t="shared" si="4"/>
        <v>9981</v>
      </c>
      <c r="K119" s="3" t="str">
        <f>IF($L119&lt;&gt;"", IF($H119="A VISTA", "", IF($H119="1+1", $C119 + CADASTROS!$C$4, IF($H119="1+2", $C119 + CADASTROS!$C$5, IF($H119="1+3", $C119 + CADASTROS!$E$4, "")))), "")</f>
        <v/>
      </c>
      <c r="L119" s="8" t="str">
        <f t="shared" si="5"/>
        <v/>
      </c>
      <c r="M119" s="3" t="str">
        <f>IF($N119&lt;&gt;"", IF($H119="A VISTA", "", IF($H119="1+1", $C119 + CADASTROS!$C$4, IF($H119="1+2", $C119 + CADASTROS!$D$5, IF($H119="1+3", $C119 + CADASTROS!$D$6, "")))), "")</f>
        <v/>
      </c>
      <c r="N119" s="8" t="str">
        <f t="shared" si="6"/>
        <v/>
      </c>
      <c r="O119" s="3" t="str">
        <f>IF($P119&lt;&gt;"", IF($H119="A VISTA", "", IF($H119="1+1", $C119 + CADASTROS!$C$4, IF($H119="1+2", $C119 + CADASTROS!$C$5, IF($H119="1+3", $C119 + CADASTROS!$E$6, "")))), "")</f>
        <v/>
      </c>
      <c r="P119" s="8" t="str">
        <f t="shared" si="7"/>
        <v/>
      </c>
    </row>
    <row r="120" spans="1:16">
      <c r="A120" s="2" t="s">
        <v>256</v>
      </c>
      <c r="B120" s="6" t="s">
        <v>19</v>
      </c>
      <c r="C120" s="7">
        <v>45143</v>
      </c>
      <c r="D120" s="7" t="s">
        <v>68</v>
      </c>
      <c r="E120" s="4" t="s">
        <v>111</v>
      </c>
      <c r="F120" s="4" t="s">
        <v>118</v>
      </c>
      <c r="G120" s="8">
        <v>6993</v>
      </c>
      <c r="H120" s="8" t="s">
        <v>136</v>
      </c>
      <c r="I120" s="3">
        <f>IF($H120="A VISTA", C120 + CADASTROS!$B$3, IF($H120="1+1", C120 + CADASTROS!$B$4, IF(H120="1+2", C120 + CADASTROS!$B$5, IF(H120="1+3", C120 + CADASTROS!$B$6, ""))))</f>
        <v>45144</v>
      </c>
      <c r="J120" s="8">
        <f t="shared" si="4"/>
        <v>1748.25</v>
      </c>
      <c r="K120" s="3">
        <f>IF($L120&lt;&gt;"", IF($H120="A VISTA", "", IF($H120="1+1", $C120 + CADASTROS!$C$4, IF($H120="1+2", $C120 + CADASTROS!$C$5, IF($H120="1+3", $C120 + CADASTROS!$E$4, "")))), "")</f>
        <v>45143</v>
      </c>
      <c r="L120" s="8">
        <f t="shared" si="5"/>
        <v>1748.25</v>
      </c>
      <c r="M120" s="3">
        <f>IF($N120&lt;&gt;"", IF($H120="A VISTA", "", IF($H120="1+1", $C120 + CADASTROS!$C$4, IF($H120="1+2", $C120 + CADASTROS!$D$5, IF($H120="1+3", $C120 + CADASTROS!$D$6, "")))), "")</f>
        <v>45188</v>
      </c>
      <c r="N120" s="8">
        <f t="shared" si="6"/>
        <v>1748.25</v>
      </c>
      <c r="O120" s="3">
        <f>IF($P120&lt;&gt;"", IF($H120="A VISTA", "", IF($H120="1+1", $C120 + CADASTROS!$C$4, IF($H120="1+2", $C120 + CADASTROS!$C$5, IF($H120="1+3", $C120 + CADASTROS!$E$6, "")))), "")</f>
        <v>45203</v>
      </c>
      <c r="P120" s="8">
        <f t="shared" si="7"/>
        <v>1748.25</v>
      </c>
    </row>
    <row r="121" spans="1:16">
      <c r="A121" s="2" t="s">
        <v>257</v>
      </c>
      <c r="B121" s="6" t="s">
        <v>31</v>
      </c>
      <c r="C121" s="7">
        <v>45314</v>
      </c>
      <c r="D121" s="7" t="s">
        <v>80</v>
      </c>
      <c r="E121" s="4" t="s">
        <v>111</v>
      </c>
      <c r="F121" s="4" t="s">
        <v>117</v>
      </c>
      <c r="G121" s="8">
        <v>9724</v>
      </c>
      <c r="H121" s="8" t="s">
        <v>136</v>
      </c>
      <c r="I121" s="3">
        <f>IF($H121="A VISTA", C121 + CADASTROS!$B$3, IF($H121="1+1", C121 + CADASTROS!$B$4, IF(H121="1+2", C121 + CADASTROS!$B$5, IF(H121="1+3", C121 + CADASTROS!$B$6, ""))))</f>
        <v>45315</v>
      </c>
      <c r="J121" s="8">
        <f t="shared" si="4"/>
        <v>2431</v>
      </c>
      <c r="K121" s="3">
        <f>IF($L121&lt;&gt;"", IF($H121="A VISTA", "", IF($H121="1+1", $C121 + CADASTROS!$C$4, IF($H121="1+2", $C121 + CADASTROS!$C$5, IF($H121="1+3", $C121 + CADASTROS!$E$4, "")))), "")</f>
        <v>45314</v>
      </c>
      <c r="L121" s="8">
        <f t="shared" si="5"/>
        <v>2431</v>
      </c>
      <c r="M121" s="3">
        <f>IF($N121&lt;&gt;"", IF($H121="A VISTA", "", IF($H121="1+1", $C121 + CADASTROS!$C$4, IF($H121="1+2", $C121 + CADASTROS!$D$5, IF($H121="1+3", $C121 + CADASTROS!$D$6, "")))), "")</f>
        <v>45359</v>
      </c>
      <c r="N121" s="8">
        <f t="shared" si="6"/>
        <v>2431</v>
      </c>
      <c r="O121" s="3">
        <f>IF($P121&lt;&gt;"", IF($H121="A VISTA", "", IF($H121="1+1", $C121 + CADASTROS!$C$4, IF($H121="1+2", $C121 + CADASTROS!$C$5, IF($H121="1+3", $C121 + CADASTROS!$E$6, "")))), "")</f>
        <v>45374</v>
      </c>
      <c r="P121" s="8">
        <f t="shared" si="7"/>
        <v>2431</v>
      </c>
    </row>
    <row r="122" spans="1:16">
      <c r="A122" s="2" t="s">
        <v>258</v>
      </c>
      <c r="B122" s="6" t="s">
        <v>31</v>
      </c>
      <c r="C122" s="7">
        <v>45342</v>
      </c>
      <c r="D122" s="7" t="s">
        <v>80</v>
      </c>
      <c r="E122" s="4" t="s">
        <v>111</v>
      </c>
      <c r="F122" s="4" t="s">
        <v>117</v>
      </c>
      <c r="G122" s="8">
        <v>9125</v>
      </c>
      <c r="H122" s="8" t="s">
        <v>138</v>
      </c>
      <c r="I122" s="3">
        <f>IF($H122="A VISTA", C122 + CADASTROS!$B$3, IF($H122="1+1", C122 + CADASTROS!$B$4, IF(H122="1+2", C122 + CADASTROS!$B$5, IF(H122="1+3", C122 + CADASTROS!$B$6, ""))))</f>
        <v>45343</v>
      </c>
      <c r="J122" s="8">
        <f t="shared" si="4"/>
        <v>4562.5</v>
      </c>
      <c r="K122" s="3">
        <f>IF($L122&lt;&gt;"", IF($H122="A VISTA", "", IF($H122="1+1", $C122 + CADASTROS!$C$4, IF($H122="1+2", $C122 + CADASTROS!$C$5, IF($H122="1+3", $C122 + CADASTROS!$E$4, "")))), "")</f>
        <v>45372</v>
      </c>
      <c r="L122" s="8">
        <f t="shared" si="5"/>
        <v>4562.5</v>
      </c>
      <c r="M122" s="3" t="str">
        <f>IF($N122&lt;&gt;"", IF($H122="A VISTA", "", IF($H122="1+1", $C122 + CADASTROS!$C$4, IF($H122="1+2", $C122 + CADASTROS!$D$5, IF($H122="1+3", $C122 + CADASTROS!$D$6, "")))), "")</f>
        <v/>
      </c>
      <c r="N122" s="8" t="str">
        <f t="shared" si="6"/>
        <v/>
      </c>
      <c r="O122" s="3" t="str">
        <f>IF($P122&lt;&gt;"", IF($H122="A VISTA", "", IF($H122="1+1", $C122 + CADASTROS!$C$4, IF($H122="1+2", $C122 + CADASTROS!$C$5, IF($H122="1+3", $C122 + CADASTROS!$E$6, "")))), "")</f>
        <v/>
      </c>
      <c r="P122" s="8" t="str">
        <f t="shared" si="7"/>
        <v/>
      </c>
    </row>
    <row r="123" spans="1:16">
      <c r="A123" s="2" t="s">
        <v>259</v>
      </c>
      <c r="B123" s="6" t="s">
        <v>36</v>
      </c>
      <c r="C123" s="7">
        <v>45328</v>
      </c>
      <c r="D123" s="7" t="s">
        <v>85</v>
      </c>
      <c r="E123" s="4" t="s">
        <v>111</v>
      </c>
      <c r="F123" s="4" t="s">
        <v>120</v>
      </c>
      <c r="G123" s="8">
        <v>4627</v>
      </c>
      <c r="H123" s="8" t="s">
        <v>138</v>
      </c>
      <c r="I123" s="3">
        <f>IF($H123="A VISTA", C123 + CADASTROS!$B$3, IF($H123="1+1", C123 + CADASTROS!$B$4, IF(H123="1+2", C123 + CADASTROS!$B$5, IF(H123="1+3", C123 + CADASTROS!$B$6, ""))))</f>
        <v>45329</v>
      </c>
      <c r="J123" s="8">
        <f t="shared" si="4"/>
        <v>2313.5</v>
      </c>
      <c r="K123" s="3">
        <f>IF($L123&lt;&gt;"", IF($H123="A VISTA", "", IF($H123="1+1", $C123 + CADASTROS!$C$4, IF($H123="1+2", $C123 + CADASTROS!$C$5, IF($H123="1+3", $C123 + CADASTROS!$E$4, "")))), "")</f>
        <v>45358</v>
      </c>
      <c r="L123" s="8">
        <f t="shared" si="5"/>
        <v>2313.5</v>
      </c>
      <c r="M123" s="3" t="str">
        <f>IF($N123&lt;&gt;"", IF($H123="A VISTA", "", IF($H123="1+1", $C123 + CADASTROS!$C$4, IF($H123="1+2", $C123 + CADASTROS!$D$5, IF($H123="1+3", $C123 + CADASTROS!$D$6, "")))), "")</f>
        <v/>
      </c>
      <c r="N123" s="8" t="str">
        <f t="shared" si="6"/>
        <v/>
      </c>
      <c r="O123" s="3" t="str">
        <f>IF($P123&lt;&gt;"", IF($H123="A VISTA", "", IF($H123="1+1", $C123 + CADASTROS!$C$4, IF($H123="1+2", $C123 + CADASTROS!$C$5, IF($H123="1+3", $C123 + CADASTROS!$E$6, "")))), "")</f>
        <v/>
      </c>
      <c r="P123" s="8" t="str">
        <f t="shared" si="7"/>
        <v/>
      </c>
    </row>
    <row r="124" spans="1:16">
      <c r="A124" s="2" t="s">
        <v>260</v>
      </c>
      <c r="B124" s="6" t="s">
        <v>55</v>
      </c>
      <c r="C124" s="7">
        <v>45144</v>
      </c>
      <c r="D124" s="7" t="s">
        <v>104</v>
      </c>
      <c r="E124" s="4" t="s">
        <v>111</v>
      </c>
      <c r="F124" s="4" t="s">
        <v>119</v>
      </c>
      <c r="G124" s="8">
        <v>7757</v>
      </c>
      <c r="H124" s="8" t="s">
        <v>137</v>
      </c>
      <c r="I124" s="3">
        <f>IF($H124="A VISTA", C124 + CADASTROS!$B$3, IF($H124="1+1", C124 + CADASTROS!$B$4, IF(H124="1+2", C124 + CADASTROS!$B$5, IF(H124="1+3", C124 + CADASTROS!$B$6, ""))))</f>
        <v>45145</v>
      </c>
      <c r="J124" s="8">
        <f t="shared" si="4"/>
        <v>2585.6666666666665</v>
      </c>
      <c r="K124" s="3">
        <f>IF($L124&lt;&gt;"", IF($H124="A VISTA", "", IF($H124="1+1", $C124 + CADASTROS!$C$4, IF($H124="1+2", $C124 + CADASTROS!$C$5, IF($H124="1+3", $C124 + CADASTROS!$E$4, "")))), "")</f>
        <v>45174</v>
      </c>
      <c r="L124" s="8">
        <f t="shared" si="5"/>
        <v>2585.6666666666665</v>
      </c>
      <c r="M124" s="3">
        <f>IF($N124&lt;&gt;"", IF($H124="A VISTA", "", IF($H124="1+1", $C124 + CADASTROS!$C$4, IF($H124="1+2", $C124 + CADASTROS!$D$5, IF($H124="1+3", $C124 + CADASTROS!$D$6, "")))), "")</f>
        <v>45189</v>
      </c>
      <c r="N124" s="8">
        <f t="shared" si="6"/>
        <v>2585.6666666666674</v>
      </c>
      <c r="O124" s="3" t="str">
        <f>IF($P124&lt;&gt;"", IF($H124="A VISTA", "", IF($H124="1+1", $C124 + CADASTROS!$C$4, IF($H124="1+2", $C124 + CADASTROS!$C$5, IF($H124="1+3", $C124 + CADASTROS!$E$6, "")))), "")</f>
        <v/>
      </c>
      <c r="P124" s="8" t="str">
        <f t="shared" si="7"/>
        <v/>
      </c>
    </row>
    <row r="125" spans="1:16">
      <c r="A125" s="2" t="s">
        <v>261</v>
      </c>
      <c r="B125" s="6" t="s">
        <v>29</v>
      </c>
      <c r="C125" s="7">
        <v>45246</v>
      </c>
      <c r="D125" s="7" t="s">
        <v>78</v>
      </c>
      <c r="E125" s="4" t="s">
        <v>111</v>
      </c>
      <c r="F125" s="4" t="s">
        <v>121</v>
      </c>
      <c r="G125" s="8">
        <v>8321</v>
      </c>
      <c r="H125" s="8" t="s">
        <v>126</v>
      </c>
      <c r="I125" s="3">
        <f>IF($H125="A VISTA", C125 + CADASTROS!$B$3, IF($H125="1+1", C125 + CADASTROS!$B$4, IF(H125="1+2", C125 + CADASTROS!$B$5, IF(H125="1+3", C125 + CADASTROS!$B$6, ""))))</f>
        <v>45247</v>
      </c>
      <c r="J125" s="8">
        <f t="shared" si="4"/>
        <v>8321</v>
      </c>
      <c r="K125" s="3" t="str">
        <f>IF($L125&lt;&gt;"", IF($H125="A VISTA", "", IF($H125="1+1", $C125 + CADASTROS!$C$4, IF($H125="1+2", $C125 + CADASTROS!$C$5, IF($H125="1+3", $C125 + CADASTROS!$E$4, "")))), "")</f>
        <v/>
      </c>
      <c r="L125" s="8" t="str">
        <f t="shared" si="5"/>
        <v/>
      </c>
      <c r="M125" s="3" t="str">
        <f>IF($N125&lt;&gt;"", IF($H125="A VISTA", "", IF($H125="1+1", $C125 + CADASTROS!$C$4, IF($H125="1+2", $C125 + CADASTROS!$D$5, IF($H125="1+3", $C125 + CADASTROS!$D$6, "")))), "")</f>
        <v/>
      </c>
      <c r="N125" s="8" t="str">
        <f t="shared" si="6"/>
        <v/>
      </c>
      <c r="O125" s="3" t="str">
        <f>IF($P125&lt;&gt;"", IF($H125="A VISTA", "", IF($H125="1+1", $C125 + CADASTROS!$C$4, IF($H125="1+2", $C125 + CADASTROS!$C$5, IF($H125="1+3", $C125 + CADASTROS!$E$6, "")))), "")</f>
        <v/>
      </c>
      <c r="P125" s="8" t="str">
        <f t="shared" si="7"/>
        <v/>
      </c>
    </row>
    <row r="126" spans="1:16">
      <c r="A126" s="2" t="s">
        <v>262</v>
      </c>
      <c r="B126" s="6" t="s">
        <v>48</v>
      </c>
      <c r="C126" s="7">
        <v>45203</v>
      </c>
      <c r="D126" s="7" t="s">
        <v>97</v>
      </c>
      <c r="E126" s="4" t="s">
        <v>112</v>
      </c>
      <c r="F126" s="4" t="s">
        <v>123</v>
      </c>
      <c r="G126" s="8">
        <v>6861</v>
      </c>
      <c r="H126" s="8" t="s">
        <v>126</v>
      </c>
      <c r="I126" s="3">
        <f>IF($H126="A VISTA", C126 + CADASTROS!$B$3, IF($H126="1+1", C126 + CADASTROS!$B$4, IF(H126="1+2", C126 + CADASTROS!$B$5, IF(H126="1+3", C126 + CADASTROS!$B$6, ""))))</f>
        <v>45204</v>
      </c>
      <c r="J126" s="8">
        <f t="shared" si="4"/>
        <v>6861</v>
      </c>
      <c r="K126" s="3" t="str">
        <f>IF($L126&lt;&gt;"", IF($H126="A VISTA", "", IF($H126="1+1", $C126 + CADASTROS!$C$4, IF($H126="1+2", $C126 + CADASTROS!$C$5, IF($H126="1+3", $C126 + CADASTROS!$E$4, "")))), "")</f>
        <v/>
      </c>
      <c r="L126" s="8" t="str">
        <f t="shared" si="5"/>
        <v/>
      </c>
      <c r="M126" s="3" t="str">
        <f>IF($N126&lt;&gt;"", IF($H126="A VISTA", "", IF($H126="1+1", $C126 + CADASTROS!$C$4, IF($H126="1+2", $C126 + CADASTROS!$D$5, IF($H126="1+3", $C126 + CADASTROS!$D$6, "")))), "")</f>
        <v/>
      </c>
      <c r="N126" s="8" t="str">
        <f t="shared" si="6"/>
        <v/>
      </c>
      <c r="O126" s="3" t="str">
        <f>IF($P126&lt;&gt;"", IF($H126="A VISTA", "", IF($H126="1+1", $C126 + CADASTROS!$C$4, IF($H126="1+2", $C126 + CADASTROS!$C$5, IF($H126="1+3", $C126 + CADASTROS!$E$6, "")))), "")</f>
        <v/>
      </c>
      <c r="P126" s="8" t="str">
        <f t="shared" si="7"/>
        <v/>
      </c>
    </row>
    <row r="127" spans="1:16">
      <c r="A127" s="2" t="s">
        <v>263</v>
      </c>
      <c r="B127" s="6" t="s">
        <v>41</v>
      </c>
      <c r="C127" s="7">
        <v>45358</v>
      </c>
      <c r="D127" s="7" t="s">
        <v>90</v>
      </c>
      <c r="E127" s="4" t="s">
        <v>111</v>
      </c>
      <c r="F127" s="4" t="s">
        <v>118</v>
      </c>
      <c r="G127" s="8">
        <v>1217</v>
      </c>
      <c r="H127" s="8" t="s">
        <v>138</v>
      </c>
      <c r="I127" s="3">
        <f>IF($H127="A VISTA", C127 + CADASTROS!$B$3, IF($H127="1+1", C127 + CADASTROS!$B$4, IF(H127="1+2", C127 + CADASTROS!$B$5, IF(H127="1+3", C127 + CADASTROS!$B$6, ""))))</f>
        <v>45359</v>
      </c>
      <c r="J127" s="8">
        <f t="shared" si="4"/>
        <v>608.5</v>
      </c>
      <c r="K127" s="3">
        <f>IF($L127&lt;&gt;"", IF($H127="A VISTA", "", IF($H127="1+1", $C127 + CADASTROS!$C$4, IF($H127="1+2", $C127 + CADASTROS!$C$5, IF($H127="1+3", $C127 + CADASTROS!$E$4, "")))), "")</f>
        <v>45388</v>
      </c>
      <c r="L127" s="8">
        <f t="shared" si="5"/>
        <v>608.5</v>
      </c>
      <c r="M127" s="3" t="str">
        <f>IF($N127&lt;&gt;"", IF($H127="A VISTA", "", IF($H127="1+1", $C127 + CADASTROS!$C$4, IF($H127="1+2", $C127 + CADASTROS!$D$5, IF($H127="1+3", $C127 + CADASTROS!$D$6, "")))), "")</f>
        <v/>
      </c>
      <c r="N127" s="8" t="str">
        <f t="shared" si="6"/>
        <v/>
      </c>
      <c r="O127" s="3" t="str">
        <f>IF($P127&lt;&gt;"", IF($H127="A VISTA", "", IF($H127="1+1", $C127 + CADASTROS!$C$4, IF($H127="1+2", $C127 + CADASTROS!$C$5, IF($H127="1+3", $C127 + CADASTROS!$E$6, "")))), "")</f>
        <v/>
      </c>
      <c r="P127" s="8" t="str">
        <f t="shared" si="7"/>
        <v/>
      </c>
    </row>
    <row r="128" spans="1:16">
      <c r="A128" s="2" t="s">
        <v>264</v>
      </c>
      <c r="B128" s="6" t="s">
        <v>37</v>
      </c>
      <c r="C128" s="7">
        <v>45521</v>
      </c>
      <c r="D128" s="7" t="s">
        <v>86</v>
      </c>
      <c r="E128" s="4" t="s">
        <v>112</v>
      </c>
      <c r="F128" s="4" t="s">
        <v>123</v>
      </c>
      <c r="G128" s="8">
        <v>8766</v>
      </c>
      <c r="H128" s="8" t="s">
        <v>126</v>
      </c>
      <c r="I128" s="3">
        <f>IF($H128="A VISTA", C128 + CADASTROS!$B$3, IF($H128="1+1", C128 + CADASTROS!$B$4, IF(H128="1+2", C128 + CADASTROS!$B$5, IF(H128="1+3", C128 + CADASTROS!$B$6, ""))))</f>
        <v>45522</v>
      </c>
      <c r="J128" s="8">
        <f t="shared" si="4"/>
        <v>8766</v>
      </c>
      <c r="K128" s="3" t="str">
        <f>IF($L128&lt;&gt;"", IF($H128="A VISTA", "", IF($H128="1+1", $C128 + CADASTROS!$C$4, IF($H128="1+2", $C128 + CADASTROS!$C$5, IF($H128="1+3", $C128 + CADASTROS!$E$4, "")))), "")</f>
        <v/>
      </c>
      <c r="L128" s="8" t="str">
        <f t="shared" si="5"/>
        <v/>
      </c>
      <c r="M128" s="3" t="str">
        <f>IF($N128&lt;&gt;"", IF($H128="A VISTA", "", IF($H128="1+1", $C128 + CADASTROS!$C$4, IF($H128="1+2", $C128 + CADASTROS!$D$5, IF($H128="1+3", $C128 + CADASTROS!$D$6, "")))), "")</f>
        <v/>
      </c>
      <c r="N128" s="8" t="str">
        <f t="shared" si="6"/>
        <v/>
      </c>
      <c r="O128" s="3" t="str">
        <f>IF($P128&lt;&gt;"", IF($H128="A VISTA", "", IF($H128="1+1", $C128 + CADASTROS!$C$4, IF($H128="1+2", $C128 + CADASTROS!$C$5, IF($H128="1+3", $C128 + CADASTROS!$E$6, "")))), "")</f>
        <v/>
      </c>
      <c r="P128" s="8" t="str">
        <f t="shared" si="7"/>
        <v/>
      </c>
    </row>
    <row r="129" spans="1:16">
      <c r="A129" s="2" t="s">
        <v>265</v>
      </c>
      <c r="B129" s="6" t="s">
        <v>21</v>
      </c>
      <c r="C129" s="7">
        <v>45240</v>
      </c>
      <c r="D129" s="7" t="s">
        <v>70</v>
      </c>
      <c r="E129" s="4" t="s">
        <v>110</v>
      </c>
      <c r="F129" s="4" t="s">
        <v>124</v>
      </c>
      <c r="G129" s="8">
        <v>7302</v>
      </c>
      <c r="H129" s="8" t="s">
        <v>126</v>
      </c>
      <c r="I129" s="3">
        <f>IF($H129="A VISTA", C129 + CADASTROS!$B$3, IF($H129="1+1", C129 + CADASTROS!$B$4, IF(H129="1+2", C129 + CADASTROS!$B$5, IF(H129="1+3", C129 + CADASTROS!$B$6, ""))))</f>
        <v>45241</v>
      </c>
      <c r="J129" s="8">
        <f t="shared" si="4"/>
        <v>7302</v>
      </c>
      <c r="K129" s="3" t="str">
        <f>IF($L129&lt;&gt;"", IF($H129="A VISTA", "", IF($H129="1+1", $C129 + CADASTROS!$C$4, IF($H129="1+2", $C129 + CADASTROS!$C$5, IF($H129="1+3", $C129 + CADASTROS!$E$4, "")))), "")</f>
        <v/>
      </c>
      <c r="L129" s="8" t="str">
        <f t="shared" si="5"/>
        <v/>
      </c>
      <c r="M129" s="3" t="str">
        <f>IF($N129&lt;&gt;"", IF($H129="A VISTA", "", IF($H129="1+1", $C129 + CADASTROS!$C$4, IF($H129="1+2", $C129 + CADASTROS!$D$5, IF($H129="1+3", $C129 + CADASTROS!$D$6, "")))), "")</f>
        <v/>
      </c>
      <c r="N129" s="8" t="str">
        <f t="shared" si="6"/>
        <v/>
      </c>
      <c r="O129" s="3" t="str">
        <f>IF($P129&lt;&gt;"", IF($H129="A VISTA", "", IF($H129="1+1", $C129 + CADASTROS!$C$4, IF($H129="1+2", $C129 + CADASTROS!$C$5, IF($H129="1+3", $C129 + CADASTROS!$E$6, "")))), "")</f>
        <v/>
      </c>
      <c r="P129" s="8" t="str">
        <f t="shared" si="7"/>
        <v/>
      </c>
    </row>
    <row r="130" spans="1:16">
      <c r="A130" s="2" t="s">
        <v>266</v>
      </c>
      <c r="B130" s="6" t="s">
        <v>51</v>
      </c>
      <c r="C130" s="7">
        <v>45425</v>
      </c>
      <c r="D130" s="7" t="s">
        <v>100</v>
      </c>
      <c r="E130" s="4" t="s">
        <v>111</v>
      </c>
      <c r="F130" s="4" t="s">
        <v>121</v>
      </c>
      <c r="G130" s="8">
        <v>3741</v>
      </c>
      <c r="H130" s="8" t="s">
        <v>137</v>
      </c>
      <c r="I130" s="3">
        <f>IF($H130="A VISTA", C130 + CADASTROS!$B$3, IF($H130="1+1", C130 + CADASTROS!$B$4, IF(H130="1+2", C130 + CADASTROS!$B$5, IF(H130="1+3", C130 + CADASTROS!$B$6, ""))))</f>
        <v>45426</v>
      </c>
      <c r="J130" s="8">
        <f t="shared" si="4"/>
        <v>1247</v>
      </c>
      <c r="K130" s="3">
        <f>IF($L130&lt;&gt;"", IF($H130="A VISTA", "", IF($H130="1+1", $C130 + CADASTROS!$C$4, IF($H130="1+2", $C130 + CADASTROS!$C$5, IF($H130="1+3", $C130 + CADASTROS!$E$4, "")))), "")</f>
        <v>45455</v>
      </c>
      <c r="L130" s="8">
        <f t="shared" si="5"/>
        <v>1247</v>
      </c>
      <c r="M130" s="3">
        <f>IF($N130&lt;&gt;"", IF($H130="A VISTA", "", IF($H130="1+1", $C130 + CADASTROS!$C$4, IF($H130="1+2", $C130 + CADASTROS!$D$5, IF($H130="1+3", $C130 + CADASTROS!$D$6, "")))), "")</f>
        <v>45470</v>
      </c>
      <c r="N130" s="8">
        <f t="shared" si="6"/>
        <v>1247</v>
      </c>
      <c r="O130" s="3" t="str">
        <f>IF($P130&lt;&gt;"", IF($H130="A VISTA", "", IF($H130="1+1", $C130 + CADASTROS!$C$4, IF($H130="1+2", $C130 + CADASTROS!$C$5, IF($H130="1+3", $C130 + CADASTROS!$E$6, "")))), "")</f>
        <v/>
      </c>
      <c r="P130" s="8" t="str">
        <f t="shared" si="7"/>
        <v/>
      </c>
    </row>
    <row r="131" spans="1:16">
      <c r="A131" s="2" t="s">
        <v>267</v>
      </c>
      <c r="B131" s="6" t="s">
        <v>37</v>
      </c>
      <c r="C131" s="7">
        <v>45159</v>
      </c>
      <c r="D131" s="7" t="s">
        <v>86</v>
      </c>
      <c r="E131" s="4" t="s">
        <v>112</v>
      </c>
      <c r="F131" s="4" t="s">
        <v>123</v>
      </c>
      <c r="G131" s="8">
        <v>1542</v>
      </c>
      <c r="H131" s="8" t="s">
        <v>126</v>
      </c>
      <c r="I131" s="3">
        <f>IF($H131="A VISTA", C131 + CADASTROS!$B$3, IF($H131="1+1", C131 + CADASTROS!$B$4, IF(H131="1+2", C131 + CADASTROS!$B$5, IF(H131="1+3", C131 + CADASTROS!$B$6, ""))))</f>
        <v>45160</v>
      </c>
      <c r="J131" s="8">
        <f t="shared" ref="J131:J194" si="8">IF($H131="A VISTA", $G131, IF($H131="1+1", $G131/2, IF($H131="1+2", $G131/3, IF($H131="1+3", $G131/4, ""))))</f>
        <v>1542</v>
      </c>
      <c r="K131" s="3" t="str">
        <f>IF($L131&lt;&gt;"", IF($H131="A VISTA", "", IF($H131="1+1", $C131 + CADASTROS!$C$4, IF($H131="1+2", $C131 + CADASTROS!$C$5, IF($H131="1+3", $C131 + CADASTROS!$E$4, "")))), "")</f>
        <v/>
      </c>
      <c r="L131" s="8" t="str">
        <f t="shared" ref="L131:L194" si="9">IF($H131="A VISTA", "", IF($H131="1+1", $G131-$J131, IF($H131="1+2", $G131/3, IF($H131="1+3", ($G131-$J131)/3, ""))))</f>
        <v/>
      </c>
      <c r="M131" s="3" t="str">
        <f>IF($N131&lt;&gt;"", IF($H131="A VISTA", "", IF($H131="1+1", $C131 + CADASTROS!$C$4, IF($H131="1+2", $C131 + CADASTROS!$D$5, IF($H131="1+3", $C131 + CADASTROS!$D$6, "")))), "")</f>
        <v/>
      </c>
      <c r="N131" s="8" t="str">
        <f t="shared" ref="N131:N194" si="10">IF($H131="A VISTA","",IF($H131="1+2",$G131-$J131-$L131,IF($H131="1+3",($G131-$J131-$L131)/2,"")))</f>
        <v/>
      </c>
      <c r="O131" s="3" t="str">
        <f>IF($P131&lt;&gt;"", IF($H131="A VISTA", "", IF($H131="1+1", $C131 + CADASTROS!$C$4, IF($H131="1+2", $C131 + CADASTROS!$C$5, IF($H131="1+3", $C131 + CADASTROS!$E$6, "")))), "")</f>
        <v/>
      </c>
      <c r="P131" s="8" t="str">
        <f t="shared" ref="P131:P194" si="11">IF($H131="A VISTA", "", IF($H131="1+3", $G131-$J131-$L131-$N131, ""))</f>
        <v/>
      </c>
    </row>
    <row r="132" spans="1:16">
      <c r="A132" s="2" t="s">
        <v>268</v>
      </c>
      <c r="B132" s="6" t="s">
        <v>35</v>
      </c>
      <c r="C132" s="7">
        <v>45446</v>
      </c>
      <c r="D132" s="7" t="s">
        <v>84</v>
      </c>
      <c r="E132" s="4" t="s">
        <v>112</v>
      </c>
      <c r="F132" s="4" t="s">
        <v>122</v>
      </c>
      <c r="G132" s="8">
        <v>6146</v>
      </c>
      <c r="H132" s="8" t="s">
        <v>126</v>
      </c>
      <c r="I132" s="3">
        <f>IF($H132="A VISTA", C132 + CADASTROS!$B$3, IF($H132="1+1", C132 + CADASTROS!$B$4, IF(H132="1+2", C132 + CADASTROS!$B$5, IF(H132="1+3", C132 + CADASTROS!$B$6, ""))))</f>
        <v>45447</v>
      </c>
      <c r="J132" s="8">
        <f t="shared" si="8"/>
        <v>6146</v>
      </c>
      <c r="K132" s="3" t="str">
        <f>IF($L132&lt;&gt;"", IF($H132="A VISTA", "", IF($H132="1+1", $C132 + CADASTROS!$C$4, IF($H132="1+2", $C132 + CADASTROS!$C$5, IF($H132="1+3", $C132 + CADASTROS!$E$4, "")))), "")</f>
        <v/>
      </c>
      <c r="L132" s="8" t="str">
        <f t="shared" si="9"/>
        <v/>
      </c>
      <c r="M132" s="3" t="str">
        <f>IF($N132&lt;&gt;"", IF($H132="A VISTA", "", IF($H132="1+1", $C132 + CADASTROS!$C$4, IF($H132="1+2", $C132 + CADASTROS!$D$5, IF($H132="1+3", $C132 + CADASTROS!$D$6, "")))), "")</f>
        <v/>
      </c>
      <c r="N132" s="8" t="str">
        <f t="shared" si="10"/>
        <v/>
      </c>
      <c r="O132" s="3" t="str">
        <f>IF($P132&lt;&gt;"", IF($H132="A VISTA", "", IF($H132="1+1", $C132 + CADASTROS!$C$4, IF($H132="1+2", $C132 + CADASTROS!$C$5, IF($H132="1+3", $C132 + CADASTROS!$E$6, "")))), "")</f>
        <v/>
      </c>
      <c r="P132" s="8" t="str">
        <f t="shared" si="11"/>
        <v/>
      </c>
    </row>
    <row r="133" spans="1:16">
      <c r="A133" s="2" t="s">
        <v>269</v>
      </c>
      <c r="B133" s="6" t="s">
        <v>37</v>
      </c>
      <c r="C133" s="7">
        <v>45401</v>
      </c>
      <c r="D133" s="7" t="s">
        <v>86</v>
      </c>
      <c r="E133" s="4" t="s">
        <v>112</v>
      </c>
      <c r="F133" s="4" t="s">
        <v>123</v>
      </c>
      <c r="G133" s="8">
        <v>6042</v>
      </c>
      <c r="H133" s="8" t="s">
        <v>126</v>
      </c>
      <c r="I133" s="3">
        <f>IF($H133="A VISTA", C133 + CADASTROS!$B$3, IF($H133="1+1", C133 + CADASTROS!$B$4, IF(H133="1+2", C133 + CADASTROS!$B$5, IF(H133="1+3", C133 + CADASTROS!$B$6, ""))))</f>
        <v>45402</v>
      </c>
      <c r="J133" s="8">
        <f t="shared" si="8"/>
        <v>6042</v>
      </c>
      <c r="K133" s="3" t="str">
        <f>IF($L133&lt;&gt;"", IF($H133="A VISTA", "", IF($H133="1+1", $C133 + CADASTROS!$C$4, IF($H133="1+2", $C133 + CADASTROS!$C$5, IF($H133="1+3", $C133 + CADASTROS!$E$4, "")))), "")</f>
        <v/>
      </c>
      <c r="L133" s="8" t="str">
        <f t="shared" si="9"/>
        <v/>
      </c>
      <c r="M133" s="3" t="str">
        <f>IF($N133&lt;&gt;"", IF($H133="A VISTA", "", IF($H133="1+1", $C133 + CADASTROS!$C$4, IF($H133="1+2", $C133 + CADASTROS!$D$5, IF($H133="1+3", $C133 + CADASTROS!$D$6, "")))), "")</f>
        <v/>
      </c>
      <c r="N133" s="8" t="str">
        <f t="shared" si="10"/>
        <v/>
      </c>
      <c r="O133" s="3" t="str">
        <f>IF($P133&lt;&gt;"", IF($H133="A VISTA", "", IF($H133="1+1", $C133 + CADASTROS!$C$4, IF($H133="1+2", $C133 + CADASTROS!$C$5, IF($H133="1+3", $C133 + CADASTROS!$E$6, "")))), "")</f>
        <v/>
      </c>
      <c r="P133" s="8" t="str">
        <f t="shared" si="11"/>
        <v/>
      </c>
    </row>
    <row r="134" spans="1:16">
      <c r="A134" s="2" t="s">
        <v>270</v>
      </c>
      <c r="B134" s="6" t="s">
        <v>40</v>
      </c>
      <c r="C134" s="7">
        <v>45487</v>
      </c>
      <c r="D134" s="7" t="s">
        <v>89</v>
      </c>
      <c r="E134" s="4" t="s">
        <v>111</v>
      </c>
      <c r="F134" s="4" t="s">
        <v>121</v>
      </c>
      <c r="G134" s="8">
        <v>9714</v>
      </c>
      <c r="H134" s="8" t="s">
        <v>138</v>
      </c>
      <c r="I134" s="3">
        <f>IF($H134="A VISTA", C134 + CADASTROS!$B$3, IF($H134="1+1", C134 + CADASTROS!$B$4, IF(H134="1+2", C134 + CADASTROS!$B$5, IF(H134="1+3", C134 + CADASTROS!$B$6, ""))))</f>
        <v>45488</v>
      </c>
      <c r="J134" s="8">
        <f t="shared" si="8"/>
        <v>4857</v>
      </c>
      <c r="K134" s="3">
        <f>IF($L134&lt;&gt;"", IF($H134="A VISTA", "", IF($H134="1+1", $C134 + CADASTROS!$C$4, IF($H134="1+2", $C134 + CADASTROS!$C$5, IF($H134="1+3", $C134 + CADASTROS!$E$4, "")))), "")</f>
        <v>45517</v>
      </c>
      <c r="L134" s="8">
        <f t="shared" si="9"/>
        <v>4857</v>
      </c>
      <c r="M134" s="3" t="str">
        <f>IF($N134&lt;&gt;"", IF($H134="A VISTA", "", IF($H134="1+1", $C134 + CADASTROS!$C$4, IF($H134="1+2", $C134 + CADASTROS!$D$5, IF($H134="1+3", $C134 + CADASTROS!$D$6, "")))), "")</f>
        <v/>
      </c>
      <c r="N134" s="8" t="str">
        <f t="shared" si="10"/>
        <v/>
      </c>
      <c r="O134" s="3" t="str">
        <f>IF($P134&lt;&gt;"", IF($H134="A VISTA", "", IF($H134="1+1", $C134 + CADASTROS!$C$4, IF($H134="1+2", $C134 + CADASTROS!$C$5, IF($H134="1+3", $C134 + CADASTROS!$E$6, "")))), "")</f>
        <v/>
      </c>
      <c r="P134" s="8" t="str">
        <f t="shared" si="11"/>
        <v/>
      </c>
    </row>
    <row r="135" spans="1:16">
      <c r="A135" s="2" t="s">
        <v>271</v>
      </c>
      <c r="B135" s="6" t="s">
        <v>18</v>
      </c>
      <c r="C135" s="7">
        <v>45343</v>
      </c>
      <c r="D135" s="7" t="s">
        <v>67</v>
      </c>
      <c r="E135" s="4" t="s">
        <v>111</v>
      </c>
      <c r="F135" s="4" t="s">
        <v>121</v>
      </c>
      <c r="G135" s="8">
        <v>7330</v>
      </c>
      <c r="H135" s="8" t="s">
        <v>136</v>
      </c>
      <c r="I135" s="3">
        <f>IF($H135="A VISTA", C135 + CADASTROS!$B$3, IF($H135="1+1", C135 + CADASTROS!$B$4, IF(H135="1+2", C135 + CADASTROS!$B$5, IF(H135="1+3", C135 + CADASTROS!$B$6, ""))))</f>
        <v>45344</v>
      </c>
      <c r="J135" s="8">
        <f t="shared" si="8"/>
        <v>1832.5</v>
      </c>
      <c r="K135" s="3">
        <f>IF($L135&lt;&gt;"", IF($H135="A VISTA", "", IF($H135="1+1", $C135 + CADASTROS!$C$4, IF($H135="1+2", $C135 + CADASTROS!$C$5, IF($H135="1+3", $C135 + CADASTROS!$E$4, "")))), "")</f>
        <v>45343</v>
      </c>
      <c r="L135" s="8">
        <f t="shared" si="9"/>
        <v>1832.5</v>
      </c>
      <c r="M135" s="3">
        <f>IF($N135&lt;&gt;"", IF($H135="A VISTA", "", IF($H135="1+1", $C135 + CADASTROS!$C$4, IF($H135="1+2", $C135 + CADASTROS!$D$5, IF($H135="1+3", $C135 + CADASTROS!$D$6, "")))), "")</f>
        <v>45388</v>
      </c>
      <c r="N135" s="8">
        <f t="shared" si="10"/>
        <v>1832.5</v>
      </c>
      <c r="O135" s="3">
        <f>IF($P135&lt;&gt;"", IF($H135="A VISTA", "", IF($H135="1+1", $C135 + CADASTROS!$C$4, IF($H135="1+2", $C135 + CADASTROS!$C$5, IF($H135="1+3", $C135 + CADASTROS!$E$6, "")))), "")</f>
        <v>45403</v>
      </c>
      <c r="P135" s="8">
        <f t="shared" si="11"/>
        <v>1832.5</v>
      </c>
    </row>
    <row r="136" spans="1:16">
      <c r="A136" s="2" t="s">
        <v>272</v>
      </c>
      <c r="B136" s="6" t="s">
        <v>29</v>
      </c>
      <c r="C136" s="7">
        <v>45391</v>
      </c>
      <c r="D136" s="7" t="s">
        <v>78</v>
      </c>
      <c r="E136" s="4" t="s">
        <v>111</v>
      </c>
      <c r="F136" s="4" t="s">
        <v>121</v>
      </c>
      <c r="G136" s="8">
        <v>1691</v>
      </c>
      <c r="H136" s="8" t="s">
        <v>126</v>
      </c>
      <c r="I136" s="3">
        <f>IF($H136="A VISTA", C136 + CADASTROS!$B$3, IF($H136="1+1", C136 + CADASTROS!$B$4, IF(H136="1+2", C136 + CADASTROS!$B$5, IF(H136="1+3", C136 + CADASTROS!$B$6, ""))))</f>
        <v>45392</v>
      </c>
      <c r="J136" s="8">
        <f t="shared" si="8"/>
        <v>1691</v>
      </c>
      <c r="K136" s="3" t="str">
        <f>IF($L136&lt;&gt;"", IF($H136="A VISTA", "", IF($H136="1+1", $C136 + CADASTROS!$C$4, IF($H136="1+2", $C136 + CADASTROS!$C$5, IF($H136="1+3", $C136 + CADASTROS!$E$4, "")))), "")</f>
        <v/>
      </c>
      <c r="L136" s="8" t="str">
        <f t="shared" si="9"/>
        <v/>
      </c>
      <c r="M136" s="3" t="str">
        <f>IF($N136&lt;&gt;"", IF($H136="A VISTA", "", IF($H136="1+1", $C136 + CADASTROS!$C$4, IF($H136="1+2", $C136 + CADASTROS!$D$5, IF($H136="1+3", $C136 + CADASTROS!$D$6, "")))), "")</f>
        <v/>
      </c>
      <c r="N136" s="8" t="str">
        <f t="shared" si="10"/>
        <v/>
      </c>
      <c r="O136" s="3" t="str">
        <f>IF($P136&lt;&gt;"", IF($H136="A VISTA", "", IF($H136="1+1", $C136 + CADASTROS!$C$4, IF($H136="1+2", $C136 + CADASTROS!$C$5, IF($H136="1+3", $C136 + CADASTROS!$E$6, "")))), "")</f>
        <v/>
      </c>
      <c r="P136" s="8" t="str">
        <f t="shared" si="11"/>
        <v/>
      </c>
    </row>
    <row r="137" spans="1:16">
      <c r="A137" s="2" t="s">
        <v>273</v>
      </c>
      <c r="B137" s="6" t="s">
        <v>21</v>
      </c>
      <c r="C137" s="7">
        <v>45082</v>
      </c>
      <c r="D137" s="7" t="s">
        <v>70</v>
      </c>
      <c r="E137" s="4" t="s">
        <v>110</v>
      </c>
      <c r="F137" s="4" t="s">
        <v>124</v>
      </c>
      <c r="G137" s="8">
        <v>5737</v>
      </c>
      <c r="H137" s="8" t="s">
        <v>138</v>
      </c>
      <c r="I137" s="3">
        <f>IF($H137="A VISTA", C137 + CADASTROS!$B$3, IF($H137="1+1", C137 + CADASTROS!$B$4, IF(H137="1+2", C137 + CADASTROS!$B$5, IF(H137="1+3", C137 + CADASTROS!$B$6, ""))))</f>
        <v>45083</v>
      </c>
      <c r="J137" s="8">
        <f t="shared" si="8"/>
        <v>2868.5</v>
      </c>
      <c r="K137" s="3">
        <f>IF($L137&lt;&gt;"", IF($H137="A VISTA", "", IF($H137="1+1", $C137 + CADASTROS!$C$4, IF($H137="1+2", $C137 + CADASTROS!$C$5, IF($H137="1+3", $C137 + CADASTROS!$E$4, "")))), "")</f>
        <v>45112</v>
      </c>
      <c r="L137" s="8">
        <f t="shared" si="9"/>
        <v>2868.5</v>
      </c>
      <c r="M137" s="3" t="str">
        <f>IF($N137&lt;&gt;"", IF($H137="A VISTA", "", IF($H137="1+1", $C137 + CADASTROS!$C$4, IF($H137="1+2", $C137 + CADASTROS!$D$5, IF($H137="1+3", $C137 + CADASTROS!$D$6, "")))), "")</f>
        <v/>
      </c>
      <c r="N137" s="8" t="str">
        <f t="shared" si="10"/>
        <v/>
      </c>
      <c r="O137" s="3" t="str">
        <f>IF($P137&lt;&gt;"", IF($H137="A VISTA", "", IF($H137="1+1", $C137 + CADASTROS!$C$4, IF($H137="1+2", $C137 + CADASTROS!$C$5, IF($H137="1+3", $C137 + CADASTROS!$E$6, "")))), "")</f>
        <v/>
      </c>
      <c r="P137" s="8" t="str">
        <f t="shared" si="11"/>
        <v/>
      </c>
    </row>
    <row r="138" spans="1:16">
      <c r="A138" s="2" t="s">
        <v>274</v>
      </c>
      <c r="B138" s="6" t="s">
        <v>51</v>
      </c>
      <c r="C138" s="7">
        <v>45159</v>
      </c>
      <c r="D138" s="7" t="s">
        <v>100</v>
      </c>
      <c r="E138" s="4" t="s">
        <v>111</v>
      </c>
      <c r="F138" s="4" t="s">
        <v>121</v>
      </c>
      <c r="G138" s="8">
        <v>7363</v>
      </c>
      <c r="H138" s="8" t="s">
        <v>137</v>
      </c>
      <c r="I138" s="3">
        <f>IF($H138="A VISTA", C138 + CADASTROS!$B$3, IF($H138="1+1", C138 + CADASTROS!$B$4, IF(H138="1+2", C138 + CADASTROS!$B$5, IF(H138="1+3", C138 + CADASTROS!$B$6, ""))))</f>
        <v>45160</v>
      </c>
      <c r="J138" s="8">
        <f t="shared" si="8"/>
        <v>2454.3333333333335</v>
      </c>
      <c r="K138" s="3">
        <f>IF($L138&lt;&gt;"", IF($H138="A VISTA", "", IF($H138="1+1", $C138 + CADASTROS!$C$4, IF($H138="1+2", $C138 + CADASTROS!$C$5, IF($H138="1+3", $C138 + CADASTROS!$E$4, "")))), "")</f>
        <v>45189</v>
      </c>
      <c r="L138" s="8">
        <f t="shared" si="9"/>
        <v>2454.3333333333335</v>
      </c>
      <c r="M138" s="3">
        <f>IF($N138&lt;&gt;"", IF($H138="A VISTA", "", IF($H138="1+1", $C138 + CADASTROS!$C$4, IF($H138="1+2", $C138 + CADASTROS!$D$5, IF($H138="1+3", $C138 + CADASTROS!$D$6, "")))), "")</f>
        <v>45204</v>
      </c>
      <c r="N138" s="8">
        <f t="shared" si="10"/>
        <v>2454.3333333333326</v>
      </c>
      <c r="O138" s="3" t="str">
        <f>IF($P138&lt;&gt;"", IF($H138="A VISTA", "", IF($H138="1+1", $C138 + CADASTROS!$C$4, IF($H138="1+2", $C138 + CADASTROS!$C$5, IF($H138="1+3", $C138 + CADASTROS!$E$6, "")))), "")</f>
        <v/>
      </c>
      <c r="P138" s="8" t="str">
        <f t="shared" si="11"/>
        <v/>
      </c>
    </row>
    <row r="139" spans="1:16">
      <c r="A139" s="2" t="s">
        <v>275</v>
      </c>
      <c r="B139" s="6" t="s">
        <v>60</v>
      </c>
      <c r="C139" s="7">
        <v>45135</v>
      </c>
      <c r="D139" s="7" t="s">
        <v>109</v>
      </c>
      <c r="E139" s="4" t="s">
        <v>111</v>
      </c>
      <c r="F139" s="4" t="s">
        <v>118</v>
      </c>
      <c r="G139" s="8">
        <v>9467</v>
      </c>
      <c r="H139" s="8" t="s">
        <v>126</v>
      </c>
      <c r="I139" s="3">
        <f>IF($H139="A VISTA", C139 + CADASTROS!$B$3, IF($H139="1+1", C139 + CADASTROS!$B$4, IF(H139="1+2", C139 + CADASTROS!$B$5, IF(H139="1+3", C139 + CADASTROS!$B$6, ""))))</f>
        <v>45136</v>
      </c>
      <c r="J139" s="8">
        <f t="shared" si="8"/>
        <v>9467</v>
      </c>
      <c r="K139" s="3" t="str">
        <f>IF($L139&lt;&gt;"", IF($H139="A VISTA", "", IF($H139="1+1", $C139 + CADASTROS!$C$4, IF($H139="1+2", $C139 + CADASTROS!$C$5, IF($H139="1+3", $C139 + CADASTROS!$E$4, "")))), "")</f>
        <v/>
      </c>
      <c r="L139" s="8" t="str">
        <f t="shared" si="9"/>
        <v/>
      </c>
      <c r="M139" s="3" t="str">
        <f>IF($N139&lt;&gt;"", IF($H139="A VISTA", "", IF($H139="1+1", $C139 + CADASTROS!$C$4, IF($H139="1+2", $C139 + CADASTROS!$D$5, IF($H139="1+3", $C139 + CADASTROS!$D$6, "")))), "")</f>
        <v/>
      </c>
      <c r="N139" s="8" t="str">
        <f t="shared" si="10"/>
        <v/>
      </c>
      <c r="O139" s="3" t="str">
        <f>IF($P139&lt;&gt;"", IF($H139="A VISTA", "", IF($H139="1+1", $C139 + CADASTROS!$C$4, IF($H139="1+2", $C139 + CADASTROS!$C$5, IF($H139="1+3", $C139 + CADASTROS!$E$6, "")))), "")</f>
        <v/>
      </c>
      <c r="P139" s="8" t="str">
        <f t="shared" si="11"/>
        <v/>
      </c>
    </row>
    <row r="140" spans="1:16">
      <c r="A140" s="2" t="s">
        <v>276</v>
      </c>
      <c r="B140" s="6" t="s">
        <v>35</v>
      </c>
      <c r="C140" s="7">
        <v>45183</v>
      </c>
      <c r="D140" s="7" t="s">
        <v>84</v>
      </c>
      <c r="E140" s="4" t="s">
        <v>112</v>
      </c>
      <c r="F140" s="4" t="s">
        <v>122</v>
      </c>
      <c r="G140" s="8">
        <v>5854</v>
      </c>
      <c r="H140" s="8" t="s">
        <v>126</v>
      </c>
      <c r="I140" s="3">
        <f>IF($H140="A VISTA", C140 + CADASTROS!$B$3, IF($H140="1+1", C140 + CADASTROS!$B$4, IF(H140="1+2", C140 + CADASTROS!$B$5, IF(H140="1+3", C140 + CADASTROS!$B$6, ""))))</f>
        <v>45184</v>
      </c>
      <c r="J140" s="8">
        <f t="shared" si="8"/>
        <v>5854</v>
      </c>
      <c r="K140" s="3" t="str">
        <f>IF($L140&lt;&gt;"", IF($H140="A VISTA", "", IF($H140="1+1", $C140 + CADASTROS!$C$4, IF($H140="1+2", $C140 + CADASTROS!$C$5, IF($H140="1+3", $C140 + CADASTROS!$E$4, "")))), "")</f>
        <v/>
      </c>
      <c r="L140" s="8" t="str">
        <f t="shared" si="9"/>
        <v/>
      </c>
      <c r="M140" s="3" t="str">
        <f>IF($N140&lt;&gt;"", IF($H140="A VISTA", "", IF($H140="1+1", $C140 + CADASTROS!$C$4, IF($H140="1+2", $C140 + CADASTROS!$D$5, IF($H140="1+3", $C140 + CADASTROS!$D$6, "")))), "")</f>
        <v/>
      </c>
      <c r="N140" s="8" t="str">
        <f t="shared" si="10"/>
        <v/>
      </c>
      <c r="O140" s="3" t="str">
        <f>IF($P140&lt;&gt;"", IF($H140="A VISTA", "", IF($H140="1+1", $C140 + CADASTROS!$C$4, IF($H140="1+2", $C140 + CADASTROS!$C$5, IF($H140="1+3", $C140 + CADASTROS!$E$6, "")))), "")</f>
        <v/>
      </c>
      <c r="P140" s="8" t="str">
        <f t="shared" si="11"/>
        <v/>
      </c>
    </row>
    <row r="141" spans="1:16">
      <c r="A141" s="2" t="s">
        <v>277</v>
      </c>
      <c r="B141" s="6" t="s">
        <v>50</v>
      </c>
      <c r="C141" s="7">
        <v>45506</v>
      </c>
      <c r="D141" s="7" t="s">
        <v>99</v>
      </c>
      <c r="E141" s="4" t="s">
        <v>110</v>
      </c>
      <c r="F141" s="4" t="s">
        <v>114</v>
      </c>
      <c r="G141" s="8">
        <v>3772</v>
      </c>
      <c r="H141" s="8" t="s">
        <v>126</v>
      </c>
      <c r="I141" s="3">
        <f>IF($H141="A VISTA", C141 + CADASTROS!$B$3, IF($H141="1+1", C141 + CADASTROS!$B$4, IF(H141="1+2", C141 + CADASTROS!$B$5, IF(H141="1+3", C141 + CADASTROS!$B$6, ""))))</f>
        <v>45507</v>
      </c>
      <c r="J141" s="8">
        <f t="shared" si="8"/>
        <v>3772</v>
      </c>
      <c r="K141" s="3" t="str">
        <f>IF($L141&lt;&gt;"", IF($H141="A VISTA", "", IF($H141="1+1", $C141 + CADASTROS!$C$4, IF($H141="1+2", $C141 + CADASTROS!$C$5, IF($H141="1+3", $C141 + CADASTROS!$E$4, "")))), "")</f>
        <v/>
      </c>
      <c r="L141" s="8" t="str">
        <f t="shared" si="9"/>
        <v/>
      </c>
      <c r="M141" s="3" t="str">
        <f>IF($N141&lt;&gt;"", IF($H141="A VISTA", "", IF($H141="1+1", $C141 + CADASTROS!$C$4, IF($H141="1+2", $C141 + CADASTROS!$D$5, IF($H141="1+3", $C141 + CADASTROS!$D$6, "")))), "")</f>
        <v/>
      </c>
      <c r="N141" s="8" t="str">
        <f t="shared" si="10"/>
        <v/>
      </c>
      <c r="O141" s="3" t="str">
        <f>IF($P141&lt;&gt;"", IF($H141="A VISTA", "", IF($H141="1+1", $C141 + CADASTROS!$C$4, IF($H141="1+2", $C141 + CADASTROS!$C$5, IF($H141="1+3", $C141 + CADASTROS!$E$6, "")))), "")</f>
        <v/>
      </c>
      <c r="P141" s="8" t="str">
        <f t="shared" si="11"/>
        <v/>
      </c>
    </row>
    <row r="142" spans="1:16">
      <c r="A142" s="2" t="s">
        <v>278</v>
      </c>
      <c r="B142" s="6" t="s">
        <v>22</v>
      </c>
      <c r="C142" s="7">
        <v>45219</v>
      </c>
      <c r="D142" s="7" t="s">
        <v>71</v>
      </c>
      <c r="E142" s="4" t="s">
        <v>111</v>
      </c>
      <c r="F142" s="4" t="s">
        <v>119</v>
      </c>
      <c r="G142" s="8">
        <v>7231</v>
      </c>
      <c r="H142" s="8" t="s">
        <v>126</v>
      </c>
      <c r="I142" s="3">
        <f>IF($H142="A VISTA", C142 + CADASTROS!$B$3, IF($H142="1+1", C142 + CADASTROS!$B$4, IF(H142="1+2", C142 + CADASTROS!$B$5, IF(H142="1+3", C142 + CADASTROS!$B$6, ""))))</f>
        <v>45220</v>
      </c>
      <c r="J142" s="8">
        <f t="shared" si="8"/>
        <v>7231</v>
      </c>
      <c r="K142" s="3" t="str">
        <f>IF($L142&lt;&gt;"", IF($H142="A VISTA", "", IF($H142="1+1", $C142 + CADASTROS!$C$4, IF($H142="1+2", $C142 + CADASTROS!$C$5, IF($H142="1+3", $C142 + CADASTROS!$E$4, "")))), "")</f>
        <v/>
      </c>
      <c r="L142" s="8" t="str">
        <f t="shared" si="9"/>
        <v/>
      </c>
      <c r="M142" s="3" t="str">
        <f>IF($N142&lt;&gt;"", IF($H142="A VISTA", "", IF($H142="1+1", $C142 + CADASTROS!$C$4, IF($H142="1+2", $C142 + CADASTROS!$D$5, IF($H142="1+3", $C142 + CADASTROS!$D$6, "")))), "")</f>
        <v/>
      </c>
      <c r="N142" s="8" t="str">
        <f t="shared" si="10"/>
        <v/>
      </c>
      <c r="O142" s="3" t="str">
        <f>IF($P142&lt;&gt;"", IF($H142="A VISTA", "", IF($H142="1+1", $C142 + CADASTROS!$C$4, IF($H142="1+2", $C142 + CADASTROS!$C$5, IF($H142="1+3", $C142 + CADASTROS!$E$6, "")))), "")</f>
        <v/>
      </c>
      <c r="P142" s="8" t="str">
        <f t="shared" si="11"/>
        <v/>
      </c>
    </row>
    <row r="143" spans="1:16">
      <c r="A143" s="2" t="s">
        <v>279</v>
      </c>
      <c r="B143" s="6" t="s">
        <v>28</v>
      </c>
      <c r="C143" s="7">
        <v>45157</v>
      </c>
      <c r="D143" s="7" t="s">
        <v>77</v>
      </c>
      <c r="E143" s="4" t="s">
        <v>110</v>
      </c>
      <c r="F143" s="4" t="s">
        <v>114</v>
      </c>
      <c r="G143" s="8">
        <v>2181</v>
      </c>
      <c r="H143" s="8" t="s">
        <v>126</v>
      </c>
      <c r="I143" s="3">
        <f>IF($H143="A VISTA", C143 + CADASTROS!$B$3, IF($H143="1+1", C143 + CADASTROS!$B$4, IF(H143="1+2", C143 + CADASTROS!$B$5, IF(H143="1+3", C143 + CADASTROS!$B$6, ""))))</f>
        <v>45158</v>
      </c>
      <c r="J143" s="8">
        <f t="shared" si="8"/>
        <v>2181</v>
      </c>
      <c r="K143" s="3" t="str">
        <f>IF($L143&lt;&gt;"", IF($H143="A VISTA", "", IF($H143="1+1", $C143 + CADASTROS!$C$4, IF($H143="1+2", $C143 + CADASTROS!$C$5, IF($H143="1+3", $C143 + CADASTROS!$E$4, "")))), "")</f>
        <v/>
      </c>
      <c r="L143" s="8" t="str">
        <f t="shared" si="9"/>
        <v/>
      </c>
      <c r="M143" s="3" t="str">
        <f>IF($N143&lt;&gt;"", IF($H143="A VISTA", "", IF($H143="1+1", $C143 + CADASTROS!$C$4, IF($H143="1+2", $C143 + CADASTROS!$D$5, IF($H143="1+3", $C143 + CADASTROS!$D$6, "")))), "")</f>
        <v/>
      </c>
      <c r="N143" s="8" t="str">
        <f t="shared" si="10"/>
        <v/>
      </c>
      <c r="O143" s="3" t="str">
        <f>IF($P143&lt;&gt;"", IF($H143="A VISTA", "", IF($H143="1+1", $C143 + CADASTROS!$C$4, IF($H143="1+2", $C143 + CADASTROS!$C$5, IF($H143="1+3", $C143 + CADASTROS!$E$6, "")))), "")</f>
        <v/>
      </c>
      <c r="P143" s="8" t="str">
        <f t="shared" si="11"/>
        <v/>
      </c>
    </row>
    <row r="144" spans="1:16">
      <c r="A144" s="2" t="s">
        <v>280</v>
      </c>
      <c r="B144" s="6" t="s">
        <v>54</v>
      </c>
      <c r="C144" s="7">
        <v>45077</v>
      </c>
      <c r="D144" s="7" t="s">
        <v>103</v>
      </c>
      <c r="E144" s="4" t="s">
        <v>110</v>
      </c>
      <c r="F144" s="4" t="s">
        <v>124</v>
      </c>
      <c r="G144" s="8">
        <v>8843</v>
      </c>
      <c r="H144" s="8" t="s">
        <v>126</v>
      </c>
      <c r="I144" s="3">
        <f>IF($H144="A VISTA", C144 + CADASTROS!$B$3, IF($H144="1+1", C144 + CADASTROS!$B$4, IF(H144="1+2", C144 + CADASTROS!$B$5, IF(H144="1+3", C144 + CADASTROS!$B$6, ""))))</f>
        <v>45078</v>
      </c>
      <c r="J144" s="8">
        <f t="shared" si="8"/>
        <v>8843</v>
      </c>
      <c r="K144" s="3" t="str">
        <f>IF($L144&lt;&gt;"", IF($H144="A VISTA", "", IF($H144="1+1", $C144 + CADASTROS!$C$4, IF($H144="1+2", $C144 + CADASTROS!$C$5, IF($H144="1+3", $C144 + CADASTROS!$E$4, "")))), "")</f>
        <v/>
      </c>
      <c r="L144" s="8" t="str">
        <f t="shared" si="9"/>
        <v/>
      </c>
      <c r="M144" s="3" t="str">
        <f>IF($N144&lt;&gt;"", IF($H144="A VISTA", "", IF($H144="1+1", $C144 + CADASTROS!$C$4, IF($H144="1+2", $C144 + CADASTROS!$D$5, IF($H144="1+3", $C144 + CADASTROS!$D$6, "")))), "")</f>
        <v/>
      </c>
      <c r="N144" s="8" t="str">
        <f t="shared" si="10"/>
        <v/>
      </c>
      <c r="O144" s="3" t="str">
        <f>IF($P144&lt;&gt;"", IF($H144="A VISTA", "", IF($H144="1+1", $C144 + CADASTROS!$C$4, IF($H144="1+2", $C144 + CADASTROS!$C$5, IF($H144="1+3", $C144 + CADASTROS!$E$6, "")))), "")</f>
        <v/>
      </c>
      <c r="P144" s="8" t="str">
        <f t="shared" si="11"/>
        <v/>
      </c>
    </row>
    <row r="145" spans="1:16">
      <c r="A145" s="2" t="s">
        <v>281</v>
      </c>
      <c r="B145" s="6" t="s">
        <v>50</v>
      </c>
      <c r="C145" s="7">
        <v>45291</v>
      </c>
      <c r="D145" s="7" t="s">
        <v>99</v>
      </c>
      <c r="E145" s="4" t="s">
        <v>110</v>
      </c>
      <c r="F145" s="4" t="s">
        <v>114</v>
      </c>
      <c r="G145" s="8">
        <v>8809</v>
      </c>
      <c r="H145" s="8" t="s">
        <v>126</v>
      </c>
      <c r="I145" s="3">
        <f>IF($H145="A VISTA", C145 + CADASTROS!$B$3, IF($H145="1+1", C145 + CADASTROS!$B$4, IF(H145="1+2", C145 + CADASTROS!$B$5, IF(H145="1+3", C145 + CADASTROS!$B$6, ""))))</f>
        <v>45292</v>
      </c>
      <c r="J145" s="8">
        <f t="shared" si="8"/>
        <v>8809</v>
      </c>
      <c r="K145" s="3" t="str">
        <f>IF($L145&lt;&gt;"", IF($H145="A VISTA", "", IF($H145="1+1", $C145 + CADASTROS!$C$4, IF($H145="1+2", $C145 + CADASTROS!$C$5, IF($H145="1+3", $C145 + CADASTROS!$E$4, "")))), "")</f>
        <v/>
      </c>
      <c r="L145" s="8" t="str">
        <f t="shared" si="9"/>
        <v/>
      </c>
      <c r="M145" s="3" t="str">
        <f>IF($N145&lt;&gt;"", IF($H145="A VISTA", "", IF($H145="1+1", $C145 + CADASTROS!$C$4, IF($H145="1+2", $C145 + CADASTROS!$D$5, IF($H145="1+3", $C145 + CADASTROS!$D$6, "")))), "")</f>
        <v/>
      </c>
      <c r="N145" s="8" t="str">
        <f t="shared" si="10"/>
        <v/>
      </c>
      <c r="O145" s="3" t="str">
        <f>IF($P145&lt;&gt;"", IF($H145="A VISTA", "", IF($H145="1+1", $C145 + CADASTROS!$C$4, IF($H145="1+2", $C145 + CADASTROS!$C$5, IF($H145="1+3", $C145 + CADASTROS!$E$6, "")))), "")</f>
        <v/>
      </c>
      <c r="P145" s="8" t="str">
        <f t="shared" si="11"/>
        <v/>
      </c>
    </row>
    <row r="146" spans="1:16">
      <c r="A146" s="2" t="s">
        <v>282</v>
      </c>
      <c r="B146" s="6" t="s">
        <v>48</v>
      </c>
      <c r="C146" s="7">
        <v>45354</v>
      </c>
      <c r="D146" s="7" t="s">
        <v>97</v>
      </c>
      <c r="E146" s="4" t="s">
        <v>112</v>
      </c>
      <c r="F146" s="4" t="s">
        <v>123</v>
      </c>
      <c r="G146" s="8">
        <v>2890</v>
      </c>
      <c r="H146" s="8" t="s">
        <v>126</v>
      </c>
      <c r="I146" s="3">
        <f>IF($H146="A VISTA", C146 + CADASTROS!$B$3, IF($H146="1+1", C146 + CADASTROS!$B$4, IF(H146="1+2", C146 + CADASTROS!$B$5, IF(H146="1+3", C146 + CADASTROS!$B$6, ""))))</f>
        <v>45355</v>
      </c>
      <c r="J146" s="8">
        <f t="shared" si="8"/>
        <v>2890</v>
      </c>
      <c r="K146" s="3" t="str">
        <f>IF($L146&lt;&gt;"", IF($H146="A VISTA", "", IF($H146="1+1", $C146 + CADASTROS!$C$4, IF($H146="1+2", $C146 + CADASTROS!$C$5, IF($H146="1+3", $C146 + CADASTROS!$E$4, "")))), "")</f>
        <v/>
      </c>
      <c r="L146" s="8" t="str">
        <f t="shared" si="9"/>
        <v/>
      </c>
      <c r="M146" s="3" t="str">
        <f>IF($N146&lt;&gt;"", IF($H146="A VISTA", "", IF($H146="1+1", $C146 + CADASTROS!$C$4, IF($H146="1+2", $C146 + CADASTROS!$D$5, IF($H146="1+3", $C146 + CADASTROS!$D$6, "")))), "")</f>
        <v/>
      </c>
      <c r="N146" s="8" t="str">
        <f t="shared" si="10"/>
        <v/>
      </c>
      <c r="O146" s="3" t="str">
        <f>IF($P146&lt;&gt;"", IF($H146="A VISTA", "", IF($H146="1+1", $C146 + CADASTROS!$C$4, IF($H146="1+2", $C146 + CADASTROS!$C$5, IF($H146="1+3", $C146 + CADASTROS!$E$6, "")))), "")</f>
        <v/>
      </c>
      <c r="P146" s="8" t="str">
        <f t="shared" si="11"/>
        <v/>
      </c>
    </row>
    <row r="147" spans="1:16">
      <c r="A147" s="2" t="s">
        <v>283</v>
      </c>
      <c r="B147" s="6" t="s">
        <v>55</v>
      </c>
      <c r="C147" s="7">
        <v>45221</v>
      </c>
      <c r="D147" s="7" t="s">
        <v>104</v>
      </c>
      <c r="E147" s="4" t="s">
        <v>111</v>
      </c>
      <c r="F147" s="4" t="s">
        <v>119</v>
      </c>
      <c r="G147" s="8">
        <v>3001</v>
      </c>
      <c r="H147" s="8" t="s">
        <v>138</v>
      </c>
      <c r="I147" s="3">
        <f>IF($H147="A VISTA", C147 + CADASTROS!$B$3, IF($H147="1+1", C147 + CADASTROS!$B$4, IF(H147="1+2", C147 + CADASTROS!$B$5, IF(H147="1+3", C147 + CADASTROS!$B$6, ""))))</f>
        <v>45222</v>
      </c>
      <c r="J147" s="8">
        <f t="shared" si="8"/>
        <v>1500.5</v>
      </c>
      <c r="K147" s="3">
        <f>IF($L147&lt;&gt;"", IF($H147="A VISTA", "", IF($H147="1+1", $C147 + CADASTROS!$C$4, IF($H147="1+2", $C147 + CADASTROS!$C$5, IF($H147="1+3", $C147 + CADASTROS!$E$4, "")))), "")</f>
        <v>45251</v>
      </c>
      <c r="L147" s="8">
        <f t="shared" si="9"/>
        <v>1500.5</v>
      </c>
      <c r="M147" s="3" t="str">
        <f>IF($N147&lt;&gt;"", IF($H147="A VISTA", "", IF($H147="1+1", $C147 + CADASTROS!$C$4, IF($H147="1+2", $C147 + CADASTROS!$D$5, IF($H147="1+3", $C147 + CADASTROS!$D$6, "")))), "")</f>
        <v/>
      </c>
      <c r="N147" s="8" t="str">
        <f t="shared" si="10"/>
        <v/>
      </c>
      <c r="O147" s="3" t="str">
        <f>IF($P147&lt;&gt;"", IF($H147="A VISTA", "", IF($H147="1+1", $C147 + CADASTROS!$C$4, IF($H147="1+2", $C147 + CADASTROS!$C$5, IF($H147="1+3", $C147 + CADASTROS!$E$6, "")))), "")</f>
        <v/>
      </c>
      <c r="P147" s="8" t="str">
        <f t="shared" si="11"/>
        <v/>
      </c>
    </row>
    <row r="148" spans="1:16">
      <c r="A148" s="2" t="s">
        <v>284</v>
      </c>
      <c r="B148" s="6" t="s">
        <v>59</v>
      </c>
      <c r="C148" s="7">
        <v>45403</v>
      </c>
      <c r="D148" s="7" t="s">
        <v>108</v>
      </c>
      <c r="E148" s="4" t="s">
        <v>111</v>
      </c>
      <c r="F148" s="4" t="s">
        <v>121</v>
      </c>
      <c r="G148" s="8">
        <v>3567</v>
      </c>
      <c r="H148" s="8" t="s">
        <v>137</v>
      </c>
      <c r="I148" s="3">
        <f>IF($H148="A VISTA", C148 + CADASTROS!$B$3, IF($H148="1+1", C148 + CADASTROS!$B$4, IF(H148="1+2", C148 + CADASTROS!$B$5, IF(H148="1+3", C148 + CADASTROS!$B$6, ""))))</f>
        <v>45404</v>
      </c>
      <c r="J148" s="8">
        <f t="shared" si="8"/>
        <v>1189</v>
      </c>
      <c r="K148" s="3">
        <f>IF($L148&lt;&gt;"", IF($H148="A VISTA", "", IF($H148="1+1", $C148 + CADASTROS!$C$4, IF($H148="1+2", $C148 + CADASTROS!$C$5, IF($H148="1+3", $C148 + CADASTROS!$E$4, "")))), "")</f>
        <v>45433</v>
      </c>
      <c r="L148" s="8">
        <f t="shared" si="9"/>
        <v>1189</v>
      </c>
      <c r="M148" s="3">
        <f>IF($N148&lt;&gt;"", IF($H148="A VISTA", "", IF($H148="1+1", $C148 + CADASTROS!$C$4, IF($H148="1+2", $C148 + CADASTROS!$D$5, IF($H148="1+3", $C148 + CADASTROS!$D$6, "")))), "")</f>
        <v>45448</v>
      </c>
      <c r="N148" s="8">
        <f t="shared" si="10"/>
        <v>1189</v>
      </c>
      <c r="O148" s="3" t="str">
        <f>IF($P148&lt;&gt;"", IF($H148="A VISTA", "", IF($H148="1+1", $C148 + CADASTROS!$C$4, IF($H148="1+2", $C148 + CADASTROS!$C$5, IF($H148="1+3", $C148 + CADASTROS!$E$6, "")))), "")</f>
        <v/>
      </c>
      <c r="P148" s="8" t="str">
        <f t="shared" si="11"/>
        <v/>
      </c>
    </row>
    <row r="149" spans="1:16">
      <c r="A149" s="2" t="s">
        <v>285</v>
      </c>
      <c r="B149" s="6" t="s">
        <v>32</v>
      </c>
      <c r="C149" s="7">
        <v>45216</v>
      </c>
      <c r="D149" s="7" t="s">
        <v>81</v>
      </c>
      <c r="E149" s="4" t="s">
        <v>110</v>
      </c>
      <c r="F149" s="4" t="s">
        <v>124</v>
      </c>
      <c r="G149" s="8">
        <v>4135</v>
      </c>
      <c r="H149" s="8" t="s">
        <v>137</v>
      </c>
      <c r="I149" s="3">
        <f>IF($H149="A VISTA", C149 + CADASTROS!$B$3, IF($H149="1+1", C149 + CADASTROS!$B$4, IF(H149="1+2", C149 + CADASTROS!$B$5, IF(H149="1+3", C149 + CADASTROS!$B$6, ""))))</f>
        <v>45217</v>
      </c>
      <c r="J149" s="8">
        <f t="shared" si="8"/>
        <v>1378.3333333333333</v>
      </c>
      <c r="K149" s="3">
        <f>IF($L149&lt;&gt;"", IF($H149="A VISTA", "", IF($H149="1+1", $C149 + CADASTROS!$C$4, IF($H149="1+2", $C149 + CADASTROS!$C$5, IF($H149="1+3", $C149 + CADASTROS!$E$4, "")))), "")</f>
        <v>45246</v>
      </c>
      <c r="L149" s="8">
        <f t="shared" si="9"/>
        <v>1378.3333333333333</v>
      </c>
      <c r="M149" s="3">
        <f>IF($N149&lt;&gt;"", IF($H149="A VISTA", "", IF($H149="1+1", $C149 + CADASTROS!$C$4, IF($H149="1+2", $C149 + CADASTROS!$D$5, IF($H149="1+3", $C149 + CADASTROS!$D$6, "")))), "")</f>
        <v>45261</v>
      </c>
      <c r="N149" s="8">
        <f t="shared" si="10"/>
        <v>1378.3333333333337</v>
      </c>
      <c r="O149" s="3" t="str">
        <f>IF($P149&lt;&gt;"", IF($H149="A VISTA", "", IF($H149="1+1", $C149 + CADASTROS!$C$4, IF($H149="1+2", $C149 + CADASTROS!$C$5, IF($H149="1+3", $C149 + CADASTROS!$E$6, "")))), "")</f>
        <v/>
      </c>
      <c r="P149" s="8" t="str">
        <f t="shared" si="11"/>
        <v/>
      </c>
    </row>
    <row r="150" spans="1:16">
      <c r="A150" s="2" t="s">
        <v>286</v>
      </c>
      <c r="B150" s="6" t="s">
        <v>42</v>
      </c>
      <c r="C150" s="7">
        <v>45191</v>
      </c>
      <c r="D150" s="7" t="s">
        <v>91</v>
      </c>
      <c r="E150" s="4" t="s">
        <v>111</v>
      </c>
      <c r="F150" s="4" t="s">
        <v>117</v>
      </c>
      <c r="G150" s="8">
        <v>3088</v>
      </c>
      <c r="H150" s="8" t="s">
        <v>136</v>
      </c>
      <c r="I150" s="3">
        <f>IF($H150="A VISTA", C150 + CADASTROS!$B$3, IF($H150="1+1", C150 + CADASTROS!$B$4, IF(H150="1+2", C150 + CADASTROS!$B$5, IF(H150="1+3", C150 + CADASTROS!$B$6, ""))))</f>
        <v>45192</v>
      </c>
      <c r="J150" s="8">
        <f t="shared" si="8"/>
        <v>772</v>
      </c>
      <c r="K150" s="3">
        <f>IF($L150&lt;&gt;"", IF($H150="A VISTA", "", IF($H150="1+1", $C150 + CADASTROS!$C$4, IF($H150="1+2", $C150 + CADASTROS!$C$5, IF($H150="1+3", $C150 + CADASTROS!$E$4, "")))), "")</f>
        <v>45191</v>
      </c>
      <c r="L150" s="8">
        <f t="shared" si="9"/>
        <v>772</v>
      </c>
      <c r="M150" s="3">
        <f>IF($N150&lt;&gt;"", IF($H150="A VISTA", "", IF($H150="1+1", $C150 + CADASTROS!$C$4, IF($H150="1+2", $C150 + CADASTROS!$D$5, IF($H150="1+3", $C150 + CADASTROS!$D$6, "")))), "")</f>
        <v>45236</v>
      </c>
      <c r="N150" s="8">
        <f t="shared" si="10"/>
        <v>772</v>
      </c>
      <c r="O150" s="3">
        <f>IF($P150&lt;&gt;"", IF($H150="A VISTA", "", IF($H150="1+1", $C150 + CADASTROS!$C$4, IF($H150="1+2", $C150 + CADASTROS!$C$5, IF($H150="1+3", $C150 + CADASTROS!$E$6, "")))), "")</f>
        <v>45251</v>
      </c>
      <c r="P150" s="8">
        <f t="shared" si="11"/>
        <v>772</v>
      </c>
    </row>
    <row r="151" spans="1:16">
      <c r="A151" s="2" t="s">
        <v>287</v>
      </c>
      <c r="B151" s="6" t="s">
        <v>22</v>
      </c>
      <c r="C151" s="7">
        <v>45208</v>
      </c>
      <c r="D151" s="7" t="s">
        <v>71</v>
      </c>
      <c r="E151" s="4" t="s">
        <v>111</v>
      </c>
      <c r="F151" s="4" t="s">
        <v>119</v>
      </c>
      <c r="G151" s="8">
        <v>5049</v>
      </c>
      <c r="H151" s="8" t="s">
        <v>136</v>
      </c>
      <c r="I151" s="3">
        <f>IF($H151="A VISTA", C151 + CADASTROS!$B$3, IF($H151="1+1", C151 + CADASTROS!$B$4, IF(H151="1+2", C151 + CADASTROS!$B$5, IF(H151="1+3", C151 + CADASTROS!$B$6, ""))))</f>
        <v>45209</v>
      </c>
      <c r="J151" s="8">
        <f t="shared" si="8"/>
        <v>1262.25</v>
      </c>
      <c r="K151" s="3">
        <f>IF($L151&lt;&gt;"", IF($H151="A VISTA", "", IF($H151="1+1", $C151 + CADASTROS!$C$4, IF($H151="1+2", $C151 + CADASTROS!$C$5, IF($H151="1+3", $C151 + CADASTROS!$E$4, "")))), "")</f>
        <v>45208</v>
      </c>
      <c r="L151" s="8">
        <f t="shared" si="9"/>
        <v>1262.25</v>
      </c>
      <c r="M151" s="3">
        <f>IF($N151&lt;&gt;"", IF($H151="A VISTA", "", IF($H151="1+1", $C151 + CADASTROS!$C$4, IF($H151="1+2", $C151 + CADASTROS!$D$5, IF($H151="1+3", $C151 + CADASTROS!$D$6, "")))), "")</f>
        <v>45253</v>
      </c>
      <c r="N151" s="8">
        <f t="shared" si="10"/>
        <v>1262.25</v>
      </c>
      <c r="O151" s="3">
        <f>IF($P151&lt;&gt;"", IF($H151="A VISTA", "", IF($H151="1+1", $C151 + CADASTROS!$C$4, IF($H151="1+2", $C151 + CADASTROS!$C$5, IF($H151="1+3", $C151 + CADASTROS!$E$6, "")))), "")</f>
        <v>45268</v>
      </c>
      <c r="P151" s="8">
        <f t="shared" si="11"/>
        <v>1262.25</v>
      </c>
    </row>
    <row r="152" spans="1:16">
      <c r="A152" s="2" t="s">
        <v>288</v>
      </c>
      <c r="B152" s="6" t="s">
        <v>22</v>
      </c>
      <c r="C152" s="7">
        <v>45324</v>
      </c>
      <c r="D152" s="7" t="s">
        <v>71</v>
      </c>
      <c r="E152" s="4" t="s">
        <v>111</v>
      </c>
      <c r="F152" s="4" t="s">
        <v>119</v>
      </c>
      <c r="G152" s="8">
        <v>5827</v>
      </c>
      <c r="H152" s="8" t="s">
        <v>137</v>
      </c>
      <c r="I152" s="3">
        <f>IF($H152="A VISTA", C152 + CADASTROS!$B$3, IF($H152="1+1", C152 + CADASTROS!$B$4, IF(H152="1+2", C152 + CADASTROS!$B$5, IF(H152="1+3", C152 + CADASTROS!$B$6, ""))))</f>
        <v>45325</v>
      </c>
      <c r="J152" s="8">
        <f t="shared" si="8"/>
        <v>1942.3333333333333</v>
      </c>
      <c r="K152" s="3">
        <f>IF($L152&lt;&gt;"", IF($H152="A VISTA", "", IF($H152="1+1", $C152 + CADASTROS!$C$4, IF($H152="1+2", $C152 + CADASTROS!$C$5, IF($H152="1+3", $C152 + CADASTROS!$E$4, "")))), "")</f>
        <v>45354</v>
      </c>
      <c r="L152" s="8">
        <f t="shared" si="9"/>
        <v>1942.3333333333333</v>
      </c>
      <c r="M152" s="3">
        <f>IF($N152&lt;&gt;"", IF($H152="A VISTA", "", IF($H152="1+1", $C152 + CADASTROS!$C$4, IF($H152="1+2", $C152 + CADASTROS!$D$5, IF($H152="1+3", $C152 + CADASTROS!$D$6, "")))), "")</f>
        <v>45369</v>
      </c>
      <c r="N152" s="8">
        <f t="shared" si="10"/>
        <v>1942.3333333333337</v>
      </c>
      <c r="O152" s="3" t="str">
        <f>IF($P152&lt;&gt;"", IF($H152="A VISTA", "", IF($H152="1+1", $C152 + CADASTROS!$C$4, IF($H152="1+2", $C152 + CADASTROS!$C$5, IF($H152="1+3", $C152 + CADASTROS!$E$6, "")))), "")</f>
        <v/>
      </c>
      <c r="P152" s="8" t="str">
        <f t="shared" si="11"/>
        <v/>
      </c>
    </row>
    <row r="153" spans="1:16">
      <c r="A153" s="2" t="s">
        <v>289</v>
      </c>
      <c r="B153" s="6" t="s">
        <v>13</v>
      </c>
      <c r="C153" s="7">
        <v>45502</v>
      </c>
      <c r="D153" s="7" t="s">
        <v>63</v>
      </c>
      <c r="E153" s="4" t="s">
        <v>111</v>
      </c>
      <c r="F153" s="4" t="s">
        <v>120</v>
      </c>
      <c r="G153" s="8">
        <v>2016</v>
      </c>
      <c r="H153" s="8" t="s">
        <v>126</v>
      </c>
      <c r="I153" s="3">
        <f>IF($H153="A VISTA", C153 + CADASTROS!$B$3, IF($H153="1+1", C153 + CADASTROS!$B$4, IF(H153="1+2", C153 + CADASTROS!$B$5, IF(H153="1+3", C153 + CADASTROS!$B$6, ""))))</f>
        <v>45503</v>
      </c>
      <c r="J153" s="8">
        <f t="shared" si="8"/>
        <v>2016</v>
      </c>
      <c r="K153" s="3" t="str">
        <f>IF($L153&lt;&gt;"", IF($H153="A VISTA", "", IF($H153="1+1", $C153 + CADASTROS!$C$4, IF($H153="1+2", $C153 + CADASTROS!$C$5, IF($H153="1+3", $C153 + CADASTROS!$E$4, "")))), "")</f>
        <v/>
      </c>
      <c r="L153" s="8" t="str">
        <f t="shared" si="9"/>
        <v/>
      </c>
      <c r="M153" s="3" t="str">
        <f>IF($N153&lt;&gt;"", IF($H153="A VISTA", "", IF($H153="1+1", $C153 + CADASTROS!$C$4, IF($H153="1+2", $C153 + CADASTROS!$D$5, IF($H153="1+3", $C153 + CADASTROS!$D$6, "")))), "")</f>
        <v/>
      </c>
      <c r="N153" s="8" t="str">
        <f t="shared" si="10"/>
        <v/>
      </c>
      <c r="O153" s="3" t="str">
        <f>IF($P153&lt;&gt;"", IF($H153="A VISTA", "", IF($H153="1+1", $C153 + CADASTROS!$C$4, IF($H153="1+2", $C153 + CADASTROS!$C$5, IF($H153="1+3", $C153 + CADASTROS!$E$6, "")))), "")</f>
        <v/>
      </c>
      <c r="P153" s="8" t="str">
        <f t="shared" si="11"/>
        <v/>
      </c>
    </row>
    <row r="154" spans="1:16">
      <c r="A154" s="2" t="s">
        <v>290</v>
      </c>
      <c r="B154" s="6" t="s">
        <v>26</v>
      </c>
      <c r="C154" s="7">
        <v>45311</v>
      </c>
      <c r="D154" s="7" t="s">
        <v>75</v>
      </c>
      <c r="E154" s="4" t="s">
        <v>112</v>
      </c>
      <c r="F154" s="4" t="s">
        <v>123</v>
      </c>
      <c r="G154" s="8">
        <v>1311</v>
      </c>
      <c r="H154" s="8" t="s">
        <v>126</v>
      </c>
      <c r="I154" s="3">
        <f>IF($H154="A VISTA", C154 + CADASTROS!$B$3, IF($H154="1+1", C154 + CADASTROS!$B$4, IF(H154="1+2", C154 + CADASTROS!$B$5, IF(H154="1+3", C154 + CADASTROS!$B$6, ""))))</f>
        <v>45312</v>
      </c>
      <c r="J154" s="8">
        <f t="shared" si="8"/>
        <v>1311</v>
      </c>
      <c r="K154" s="3" t="str">
        <f>IF($L154&lt;&gt;"", IF($H154="A VISTA", "", IF($H154="1+1", $C154 + CADASTROS!$C$4, IF($H154="1+2", $C154 + CADASTROS!$C$5, IF($H154="1+3", $C154 + CADASTROS!$E$4, "")))), "")</f>
        <v/>
      </c>
      <c r="L154" s="8" t="str">
        <f t="shared" si="9"/>
        <v/>
      </c>
      <c r="M154" s="3" t="str">
        <f>IF($N154&lt;&gt;"", IF($H154="A VISTA", "", IF($H154="1+1", $C154 + CADASTROS!$C$4, IF($H154="1+2", $C154 + CADASTROS!$D$5, IF($H154="1+3", $C154 + CADASTROS!$D$6, "")))), "")</f>
        <v/>
      </c>
      <c r="N154" s="8" t="str">
        <f t="shared" si="10"/>
        <v/>
      </c>
      <c r="O154" s="3" t="str">
        <f>IF($P154&lt;&gt;"", IF($H154="A VISTA", "", IF($H154="1+1", $C154 + CADASTROS!$C$4, IF($H154="1+2", $C154 + CADASTROS!$C$5, IF($H154="1+3", $C154 + CADASTROS!$E$6, "")))), "")</f>
        <v/>
      </c>
      <c r="P154" s="8" t="str">
        <f t="shared" si="11"/>
        <v/>
      </c>
    </row>
    <row r="155" spans="1:16">
      <c r="A155" s="2" t="s">
        <v>291</v>
      </c>
      <c r="B155" s="6" t="s">
        <v>19</v>
      </c>
      <c r="C155" s="7">
        <v>45201</v>
      </c>
      <c r="D155" s="7" t="s">
        <v>68</v>
      </c>
      <c r="E155" s="4" t="s">
        <v>111</v>
      </c>
      <c r="F155" s="4" t="s">
        <v>118</v>
      </c>
      <c r="G155" s="8">
        <v>6775</v>
      </c>
      <c r="H155" s="8" t="s">
        <v>126</v>
      </c>
      <c r="I155" s="3">
        <f>IF($H155="A VISTA", C155 + CADASTROS!$B$3, IF($H155="1+1", C155 + CADASTROS!$B$4, IF(H155="1+2", C155 + CADASTROS!$B$5, IF(H155="1+3", C155 + CADASTROS!$B$6, ""))))</f>
        <v>45202</v>
      </c>
      <c r="J155" s="8">
        <f t="shared" si="8"/>
        <v>6775</v>
      </c>
      <c r="K155" s="3" t="str">
        <f>IF($L155&lt;&gt;"", IF($H155="A VISTA", "", IF($H155="1+1", $C155 + CADASTROS!$C$4, IF($H155="1+2", $C155 + CADASTROS!$C$5, IF($H155="1+3", $C155 + CADASTROS!$E$4, "")))), "")</f>
        <v/>
      </c>
      <c r="L155" s="8" t="str">
        <f t="shared" si="9"/>
        <v/>
      </c>
      <c r="M155" s="3" t="str">
        <f>IF($N155&lt;&gt;"", IF($H155="A VISTA", "", IF($H155="1+1", $C155 + CADASTROS!$C$4, IF($H155="1+2", $C155 + CADASTROS!$D$5, IF($H155="1+3", $C155 + CADASTROS!$D$6, "")))), "")</f>
        <v/>
      </c>
      <c r="N155" s="8" t="str">
        <f t="shared" si="10"/>
        <v/>
      </c>
      <c r="O155" s="3" t="str">
        <f>IF($P155&lt;&gt;"", IF($H155="A VISTA", "", IF($H155="1+1", $C155 + CADASTROS!$C$4, IF($H155="1+2", $C155 + CADASTROS!$C$5, IF($H155="1+3", $C155 + CADASTROS!$E$6, "")))), "")</f>
        <v/>
      </c>
      <c r="P155" s="8" t="str">
        <f t="shared" si="11"/>
        <v/>
      </c>
    </row>
    <row r="156" spans="1:16">
      <c r="A156" s="2" t="s">
        <v>292</v>
      </c>
      <c r="B156" s="6" t="s">
        <v>48</v>
      </c>
      <c r="C156" s="7">
        <v>45066</v>
      </c>
      <c r="D156" s="7" t="s">
        <v>97</v>
      </c>
      <c r="E156" s="4" t="s">
        <v>112</v>
      </c>
      <c r="F156" s="4" t="s">
        <v>123</v>
      </c>
      <c r="G156" s="8">
        <v>3480</v>
      </c>
      <c r="H156" s="8" t="s">
        <v>126</v>
      </c>
      <c r="I156" s="3">
        <f>IF($H156="A VISTA", C156 + CADASTROS!$B$3, IF($H156="1+1", C156 + CADASTROS!$B$4, IF(H156="1+2", C156 + CADASTROS!$B$5, IF(H156="1+3", C156 + CADASTROS!$B$6, ""))))</f>
        <v>45067</v>
      </c>
      <c r="J156" s="8">
        <f t="shared" si="8"/>
        <v>3480</v>
      </c>
      <c r="K156" s="3" t="str">
        <f>IF($L156&lt;&gt;"", IF($H156="A VISTA", "", IF($H156="1+1", $C156 + CADASTROS!$C$4, IF($H156="1+2", $C156 + CADASTROS!$C$5, IF($H156="1+3", $C156 + CADASTROS!$E$4, "")))), "")</f>
        <v/>
      </c>
      <c r="L156" s="8" t="str">
        <f t="shared" si="9"/>
        <v/>
      </c>
      <c r="M156" s="3" t="str">
        <f>IF($N156&lt;&gt;"", IF($H156="A VISTA", "", IF($H156="1+1", $C156 + CADASTROS!$C$4, IF($H156="1+2", $C156 + CADASTROS!$D$5, IF($H156="1+3", $C156 + CADASTROS!$D$6, "")))), "")</f>
        <v/>
      </c>
      <c r="N156" s="8" t="str">
        <f t="shared" si="10"/>
        <v/>
      </c>
      <c r="O156" s="3" t="str">
        <f>IF($P156&lt;&gt;"", IF($H156="A VISTA", "", IF($H156="1+1", $C156 + CADASTROS!$C$4, IF($H156="1+2", $C156 + CADASTROS!$C$5, IF($H156="1+3", $C156 + CADASTROS!$E$6, "")))), "")</f>
        <v/>
      </c>
      <c r="P156" s="8" t="str">
        <f t="shared" si="11"/>
        <v/>
      </c>
    </row>
    <row r="157" spans="1:16">
      <c r="A157" s="2" t="s">
        <v>293</v>
      </c>
      <c r="B157" s="6" t="s">
        <v>37</v>
      </c>
      <c r="C157" s="7">
        <v>45362</v>
      </c>
      <c r="D157" s="7" t="s">
        <v>86</v>
      </c>
      <c r="E157" s="4" t="s">
        <v>112</v>
      </c>
      <c r="F157" s="4" t="s">
        <v>123</v>
      </c>
      <c r="G157" s="8">
        <v>8798</v>
      </c>
      <c r="H157" s="8" t="s">
        <v>126</v>
      </c>
      <c r="I157" s="3">
        <f>IF($H157="A VISTA", C157 + CADASTROS!$B$3, IF($H157="1+1", C157 + CADASTROS!$B$4, IF(H157="1+2", C157 + CADASTROS!$B$5, IF(H157="1+3", C157 + CADASTROS!$B$6, ""))))</f>
        <v>45363</v>
      </c>
      <c r="J157" s="8">
        <f t="shared" si="8"/>
        <v>8798</v>
      </c>
      <c r="K157" s="3" t="str">
        <f>IF($L157&lt;&gt;"", IF($H157="A VISTA", "", IF($H157="1+1", $C157 + CADASTROS!$C$4, IF($H157="1+2", $C157 + CADASTROS!$C$5, IF($H157="1+3", $C157 + CADASTROS!$E$4, "")))), "")</f>
        <v/>
      </c>
      <c r="L157" s="8" t="str">
        <f t="shared" si="9"/>
        <v/>
      </c>
      <c r="M157" s="3" t="str">
        <f>IF($N157&lt;&gt;"", IF($H157="A VISTA", "", IF($H157="1+1", $C157 + CADASTROS!$C$4, IF($H157="1+2", $C157 + CADASTROS!$D$5, IF($H157="1+3", $C157 + CADASTROS!$D$6, "")))), "")</f>
        <v/>
      </c>
      <c r="N157" s="8" t="str">
        <f t="shared" si="10"/>
        <v/>
      </c>
      <c r="O157" s="3" t="str">
        <f>IF($P157&lt;&gt;"", IF($H157="A VISTA", "", IF($H157="1+1", $C157 + CADASTROS!$C$4, IF($H157="1+2", $C157 + CADASTROS!$C$5, IF($H157="1+3", $C157 + CADASTROS!$E$6, "")))), "")</f>
        <v/>
      </c>
      <c r="P157" s="8" t="str">
        <f t="shared" si="11"/>
        <v/>
      </c>
    </row>
    <row r="158" spans="1:16">
      <c r="A158" s="2" t="s">
        <v>294</v>
      </c>
      <c r="B158" s="6" t="s">
        <v>45</v>
      </c>
      <c r="C158" s="7">
        <v>45363</v>
      </c>
      <c r="D158" s="7" t="s">
        <v>94</v>
      </c>
      <c r="E158" s="4" t="s">
        <v>110</v>
      </c>
      <c r="F158" s="4" t="s">
        <v>113</v>
      </c>
      <c r="G158" s="8">
        <v>6614</v>
      </c>
      <c r="H158" s="8" t="s">
        <v>136</v>
      </c>
      <c r="I158" s="3">
        <f>IF($H158="A VISTA", C158 + CADASTROS!$B$3, IF($H158="1+1", C158 + CADASTROS!$B$4, IF(H158="1+2", C158 + CADASTROS!$B$5, IF(H158="1+3", C158 + CADASTROS!$B$6, ""))))</f>
        <v>45364</v>
      </c>
      <c r="J158" s="8">
        <f t="shared" si="8"/>
        <v>1653.5</v>
      </c>
      <c r="K158" s="3">
        <f>IF($L158&lt;&gt;"", IF($H158="A VISTA", "", IF($H158="1+1", $C158 + CADASTROS!$C$4, IF($H158="1+2", $C158 + CADASTROS!$C$5, IF($H158="1+3", $C158 + CADASTROS!$E$4, "")))), "")</f>
        <v>45363</v>
      </c>
      <c r="L158" s="8">
        <f t="shared" si="9"/>
        <v>1653.5</v>
      </c>
      <c r="M158" s="3">
        <f>IF($N158&lt;&gt;"", IF($H158="A VISTA", "", IF($H158="1+1", $C158 + CADASTROS!$C$4, IF($H158="1+2", $C158 + CADASTROS!$D$5, IF($H158="1+3", $C158 + CADASTROS!$D$6, "")))), "")</f>
        <v>45408</v>
      </c>
      <c r="N158" s="8">
        <f t="shared" si="10"/>
        <v>1653.5</v>
      </c>
      <c r="O158" s="3">
        <f>IF($P158&lt;&gt;"", IF($H158="A VISTA", "", IF($H158="1+1", $C158 + CADASTROS!$C$4, IF($H158="1+2", $C158 + CADASTROS!$C$5, IF($H158="1+3", $C158 + CADASTROS!$E$6, "")))), "")</f>
        <v>45423</v>
      </c>
      <c r="P158" s="8">
        <f t="shared" si="11"/>
        <v>1653.5</v>
      </c>
    </row>
    <row r="159" spans="1:16">
      <c r="A159" s="2" t="s">
        <v>295</v>
      </c>
      <c r="B159" s="6" t="s">
        <v>56</v>
      </c>
      <c r="C159" s="7">
        <v>45087</v>
      </c>
      <c r="D159" s="7" t="s">
        <v>105</v>
      </c>
      <c r="E159" s="4" t="s">
        <v>110</v>
      </c>
      <c r="F159" s="4" t="s">
        <v>113</v>
      </c>
      <c r="G159" s="8">
        <v>6729</v>
      </c>
      <c r="H159" s="8" t="s">
        <v>137</v>
      </c>
      <c r="I159" s="3">
        <f>IF($H159="A VISTA", C159 + CADASTROS!$B$3, IF($H159="1+1", C159 + CADASTROS!$B$4, IF(H159="1+2", C159 + CADASTROS!$B$5, IF(H159="1+3", C159 + CADASTROS!$B$6, ""))))</f>
        <v>45088</v>
      </c>
      <c r="J159" s="8">
        <f t="shared" si="8"/>
        <v>2243</v>
      </c>
      <c r="K159" s="3">
        <f>IF($L159&lt;&gt;"", IF($H159="A VISTA", "", IF($H159="1+1", $C159 + CADASTROS!$C$4, IF($H159="1+2", $C159 + CADASTROS!$C$5, IF($H159="1+3", $C159 + CADASTROS!$E$4, "")))), "")</f>
        <v>45117</v>
      </c>
      <c r="L159" s="8">
        <f t="shared" si="9"/>
        <v>2243</v>
      </c>
      <c r="M159" s="3">
        <f>IF($N159&lt;&gt;"", IF($H159="A VISTA", "", IF($H159="1+1", $C159 + CADASTROS!$C$4, IF($H159="1+2", $C159 + CADASTROS!$D$5, IF($H159="1+3", $C159 + CADASTROS!$D$6, "")))), "")</f>
        <v>45132</v>
      </c>
      <c r="N159" s="8">
        <f t="shared" si="10"/>
        <v>2243</v>
      </c>
      <c r="O159" s="3" t="str">
        <f>IF($P159&lt;&gt;"", IF($H159="A VISTA", "", IF($H159="1+1", $C159 + CADASTROS!$C$4, IF($H159="1+2", $C159 + CADASTROS!$C$5, IF($H159="1+3", $C159 + CADASTROS!$E$6, "")))), "")</f>
        <v/>
      </c>
      <c r="P159" s="8" t="str">
        <f t="shared" si="11"/>
        <v/>
      </c>
    </row>
    <row r="160" spans="1:16">
      <c r="A160" s="2" t="s">
        <v>296</v>
      </c>
      <c r="B160" s="6" t="s">
        <v>57</v>
      </c>
      <c r="C160" s="7">
        <v>45430</v>
      </c>
      <c r="D160" s="7" t="s">
        <v>106</v>
      </c>
      <c r="E160" s="4" t="s">
        <v>112</v>
      </c>
      <c r="F160" s="4" t="s">
        <v>122</v>
      </c>
      <c r="G160" s="8">
        <v>4572</v>
      </c>
      <c r="H160" s="8" t="s">
        <v>126</v>
      </c>
      <c r="I160" s="3">
        <f>IF($H160="A VISTA", C160 + CADASTROS!$B$3, IF($H160="1+1", C160 + CADASTROS!$B$4, IF(H160="1+2", C160 + CADASTROS!$B$5, IF(H160="1+3", C160 + CADASTROS!$B$6, ""))))</f>
        <v>45431</v>
      </c>
      <c r="J160" s="8">
        <f t="shared" si="8"/>
        <v>4572</v>
      </c>
      <c r="K160" s="3" t="str">
        <f>IF($L160&lt;&gt;"", IF($H160="A VISTA", "", IF($H160="1+1", $C160 + CADASTROS!$C$4, IF($H160="1+2", $C160 + CADASTROS!$C$5, IF($H160="1+3", $C160 + CADASTROS!$E$4, "")))), "")</f>
        <v/>
      </c>
      <c r="L160" s="8" t="str">
        <f t="shared" si="9"/>
        <v/>
      </c>
      <c r="M160" s="3" t="str">
        <f>IF($N160&lt;&gt;"", IF($H160="A VISTA", "", IF($H160="1+1", $C160 + CADASTROS!$C$4, IF($H160="1+2", $C160 + CADASTROS!$D$5, IF($H160="1+3", $C160 + CADASTROS!$D$6, "")))), "")</f>
        <v/>
      </c>
      <c r="N160" s="8" t="str">
        <f t="shared" si="10"/>
        <v/>
      </c>
      <c r="O160" s="3" t="str">
        <f>IF($P160&lt;&gt;"", IF($H160="A VISTA", "", IF($H160="1+1", $C160 + CADASTROS!$C$4, IF($H160="1+2", $C160 + CADASTROS!$C$5, IF($H160="1+3", $C160 + CADASTROS!$E$6, "")))), "")</f>
        <v/>
      </c>
      <c r="P160" s="8" t="str">
        <f t="shared" si="11"/>
        <v/>
      </c>
    </row>
    <row r="161" spans="1:16">
      <c r="A161" s="2" t="s">
        <v>297</v>
      </c>
      <c r="B161" s="6" t="s">
        <v>40</v>
      </c>
      <c r="C161" s="7">
        <v>45342</v>
      </c>
      <c r="D161" s="7" t="s">
        <v>89</v>
      </c>
      <c r="E161" s="4" t="s">
        <v>111</v>
      </c>
      <c r="F161" s="4" t="s">
        <v>121</v>
      </c>
      <c r="G161" s="8">
        <v>7623</v>
      </c>
      <c r="H161" s="8" t="s">
        <v>126</v>
      </c>
      <c r="I161" s="3">
        <f>IF($H161="A VISTA", C161 + CADASTROS!$B$3, IF($H161="1+1", C161 + CADASTROS!$B$4, IF(H161="1+2", C161 + CADASTROS!$B$5, IF(H161="1+3", C161 + CADASTROS!$B$6, ""))))</f>
        <v>45343</v>
      </c>
      <c r="J161" s="8">
        <f t="shared" si="8"/>
        <v>7623</v>
      </c>
      <c r="K161" s="3" t="str">
        <f>IF($L161&lt;&gt;"", IF($H161="A VISTA", "", IF($H161="1+1", $C161 + CADASTROS!$C$4, IF($H161="1+2", $C161 + CADASTROS!$C$5, IF($H161="1+3", $C161 + CADASTROS!$E$4, "")))), "")</f>
        <v/>
      </c>
      <c r="L161" s="8" t="str">
        <f t="shared" si="9"/>
        <v/>
      </c>
      <c r="M161" s="3" t="str">
        <f>IF($N161&lt;&gt;"", IF($H161="A VISTA", "", IF($H161="1+1", $C161 + CADASTROS!$C$4, IF($H161="1+2", $C161 + CADASTROS!$D$5, IF($H161="1+3", $C161 + CADASTROS!$D$6, "")))), "")</f>
        <v/>
      </c>
      <c r="N161" s="8" t="str">
        <f t="shared" si="10"/>
        <v/>
      </c>
      <c r="O161" s="3" t="str">
        <f>IF($P161&lt;&gt;"", IF($H161="A VISTA", "", IF($H161="1+1", $C161 + CADASTROS!$C$4, IF($H161="1+2", $C161 + CADASTROS!$C$5, IF($H161="1+3", $C161 + CADASTROS!$E$6, "")))), "")</f>
        <v/>
      </c>
      <c r="P161" s="8" t="str">
        <f t="shared" si="11"/>
        <v/>
      </c>
    </row>
    <row r="162" spans="1:16">
      <c r="A162" s="2" t="s">
        <v>298</v>
      </c>
      <c r="B162" s="6" t="s">
        <v>19</v>
      </c>
      <c r="C162" s="7">
        <v>45202</v>
      </c>
      <c r="D162" s="7" t="s">
        <v>68</v>
      </c>
      <c r="E162" s="4" t="s">
        <v>111</v>
      </c>
      <c r="F162" s="4" t="s">
        <v>118</v>
      </c>
      <c r="G162" s="8">
        <v>8345</v>
      </c>
      <c r="H162" s="8" t="s">
        <v>138</v>
      </c>
      <c r="I162" s="3">
        <f>IF($H162="A VISTA", C162 + CADASTROS!$B$3, IF($H162="1+1", C162 + CADASTROS!$B$4, IF(H162="1+2", C162 + CADASTROS!$B$5, IF(H162="1+3", C162 + CADASTROS!$B$6, ""))))</f>
        <v>45203</v>
      </c>
      <c r="J162" s="8">
        <f t="shared" si="8"/>
        <v>4172.5</v>
      </c>
      <c r="K162" s="3">
        <f>IF($L162&lt;&gt;"", IF($H162="A VISTA", "", IF($H162="1+1", $C162 + CADASTROS!$C$4, IF($H162="1+2", $C162 + CADASTROS!$C$5, IF($H162="1+3", $C162 + CADASTROS!$E$4, "")))), "")</f>
        <v>45232</v>
      </c>
      <c r="L162" s="8">
        <f t="shared" si="9"/>
        <v>4172.5</v>
      </c>
      <c r="M162" s="3" t="str">
        <f>IF($N162&lt;&gt;"", IF($H162="A VISTA", "", IF($H162="1+1", $C162 + CADASTROS!$C$4, IF($H162="1+2", $C162 + CADASTROS!$D$5, IF($H162="1+3", $C162 + CADASTROS!$D$6, "")))), "")</f>
        <v/>
      </c>
      <c r="N162" s="8" t="str">
        <f t="shared" si="10"/>
        <v/>
      </c>
      <c r="O162" s="3" t="str">
        <f>IF($P162&lt;&gt;"", IF($H162="A VISTA", "", IF($H162="1+1", $C162 + CADASTROS!$C$4, IF($H162="1+2", $C162 + CADASTROS!$C$5, IF($H162="1+3", $C162 + CADASTROS!$E$6, "")))), "")</f>
        <v/>
      </c>
      <c r="P162" s="8" t="str">
        <f t="shared" si="11"/>
        <v/>
      </c>
    </row>
    <row r="163" spans="1:16">
      <c r="A163" s="2" t="s">
        <v>299</v>
      </c>
      <c r="B163" s="6" t="s">
        <v>54</v>
      </c>
      <c r="C163" s="7">
        <v>45390</v>
      </c>
      <c r="D163" s="7" t="s">
        <v>103</v>
      </c>
      <c r="E163" s="4" t="s">
        <v>110</v>
      </c>
      <c r="F163" s="4" t="s">
        <v>124</v>
      </c>
      <c r="G163" s="8">
        <v>9714</v>
      </c>
      <c r="H163" s="8" t="s">
        <v>126</v>
      </c>
      <c r="I163" s="3">
        <f>IF($H163="A VISTA", C163 + CADASTROS!$B$3, IF($H163="1+1", C163 + CADASTROS!$B$4, IF(H163="1+2", C163 + CADASTROS!$B$5, IF(H163="1+3", C163 + CADASTROS!$B$6, ""))))</f>
        <v>45391</v>
      </c>
      <c r="J163" s="8">
        <f t="shared" si="8"/>
        <v>9714</v>
      </c>
      <c r="K163" s="3" t="str">
        <f>IF($L163&lt;&gt;"", IF($H163="A VISTA", "", IF($H163="1+1", $C163 + CADASTROS!$C$4, IF($H163="1+2", $C163 + CADASTROS!$C$5, IF($H163="1+3", $C163 + CADASTROS!$E$4, "")))), "")</f>
        <v/>
      </c>
      <c r="L163" s="8" t="str">
        <f t="shared" si="9"/>
        <v/>
      </c>
      <c r="M163" s="3" t="str">
        <f>IF($N163&lt;&gt;"", IF($H163="A VISTA", "", IF($H163="1+1", $C163 + CADASTROS!$C$4, IF($H163="1+2", $C163 + CADASTROS!$D$5, IF($H163="1+3", $C163 + CADASTROS!$D$6, "")))), "")</f>
        <v/>
      </c>
      <c r="N163" s="8" t="str">
        <f t="shared" si="10"/>
        <v/>
      </c>
      <c r="O163" s="3" t="str">
        <f>IF($P163&lt;&gt;"", IF($H163="A VISTA", "", IF($H163="1+1", $C163 + CADASTROS!$C$4, IF($H163="1+2", $C163 + CADASTROS!$C$5, IF($H163="1+3", $C163 + CADASTROS!$E$6, "")))), "")</f>
        <v/>
      </c>
      <c r="P163" s="8" t="str">
        <f t="shared" si="11"/>
        <v/>
      </c>
    </row>
    <row r="164" spans="1:16">
      <c r="A164" s="2" t="s">
        <v>300</v>
      </c>
      <c r="B164" s="6" t="s">
        <v>32</v>
      </c>
      <c r="C164" s="7">
        <v>45139</v>
      </c>
      <c r="D164" s="7" t="s">
        <v>81</v>
      </c>
      <c r="E164" s="4" t="s">
        <v>110</v>
      </c>
      <c r="F164" s="4" t="s">
        <v>124</v>
      </c>
      <c r="G164" s="8">
        <v>8895</v>
      </c>
      <c r="H164" s="8" t="s">
        <v>136</v>
      </c>
      <c r="I164" s="3">
        <f>IF($H164="A VISTA", C164 + CADASTROS!$B$3, IF($H164="1+1", C164 + CADASTROS!$B$4, IF(H164="1+2", C164 + CADASTROS!$B$5, IF(H164="1+3", C164 + CADASTROS!$B$6, ""))))</f>
        <v>45140</v>
      </c>
      <c r="J164" s="8">
        <f t="shared" si="8"/>
        <v>2223.75</v>
      </c>
      <c r="K164" s="3">
        <f>IF($L164&lt;&gt;"", IF($H164="A VISTA", "", IF($H164="1+1", $C164 + CADASTROS!$C$4, IF($H164="1+2", $C164 + CADASTROS!$C$5, IF($H164="1+3", $C164 + CADASTROS!$E$4, "")))), "")</f>
        <v>45139</v>
      </c>
      <c r="L164" s="8">
        <f t="shared" si="9"/>
        <v>2223.75</v>
      </c>
      <c r="M164" s="3">
        <f>IF($N164&lt;&gt;"", IF($H164="A VISTA", "", IF($H164="1+1", $C164 + CADASTROS!$C$4, IF($H164="1+2", $C164 + CADASTROS!$D$5, IF($H164="1+3", $C164 + CADASTROS!$D$6, "")))), "")</f>
        <v>45184</v>
      </c>
      <c r="N164" s="8">
        <f t="shared" si="10"/>
        <v>2223.75</v>
      </c>
      <c r="O164" s="3">
        <f>IF($P164&lt;&gt;"", IF($H164="A VISTA", "", IF($H164="1+1", $C164 + CADASTROS!$C$4, IF($H164="1+2", $C164 + CADASTROS!$C$5, IF($H164="1+3", $C164 + CADASTROS!$E$6, "")))), "")</f>
        <v>45199</v>
      </c>
      <c r="P164" s="8">
        <f t="shared" si="11"/>
        <v>2223.75</v>
      </c>
    </row>
    <row r="165" spans="1:16">
      <c r="A165" s="2" t="s">
        <v>301</v>
      </c>
      <c r="B165" s="6" t="s">
        <v>34</v>
      </c>
      <c r="C165" s="7">
        <v>45152</v>
      </c>
      <c r="D165" s="7" t="s">
        <v>83</v>
      </c>
      <c r="E165" s="4" t="s">
        <v>110</v>
      </c>
      <c r="F165" s="4" t="s">
        <v>113</v>
      </c>
      <c r="G165" s="8">
        <v>5276</v>
      </c>
      <c r="H165" s="8" t="s">
        <v>136</v>
      </c>
      <c r="I165" s="3">
        <f>IF($H165="A VISTA", C165 + CADASTROS!$B$3, IF($H165="1+1", C165 + CADASTROS!$B$4, IF(H165="1+2", C165 + CADASTROS!$B$5, IF(H165="1+3", C165 + CADASTROS!$B$6, ""))))</f>
        <v>45153</v>
      </c>
      <c r="J165" s="8">
        <f t="shared" si="8"/>
        <v>1319</v>
      </c>
      <c r="K165" s="3">
        <f>IF($L165&lt;&gt;"", IF($H165="A VISTA", "", IF($H165="1+1", $C165 + CADASTROS!$C$4, IF($H165="1+2", $C165 + CADASTROS!$C$5, IF($H165="1+3", $C165 + CADASTROS!$E$4, "")))), "")</f>
        <v>45152</v>
      </c>
      <c r="L165" s="8">
        <f t="shared" si="9"/>
        <v>1319</v>
      </c>
      <c r="M165" s="3">
        <f>IF($N165&lt;&gt;"", IF($H165="A VISTA", "", IF($H165="1+1", $C165 + CADASTROS!$C$4, IF($H165="1+2", $C165 + CADASTROS!$D$5, IF($H165="1+3", $C165 + CADASTROS!$D$6, "")))), "")</f>
        <v>45197</v>
      </c>
      <c r="N165" s="8">
        <f t="shared" si="10"/>
        <v>1319</v>
      </c>
      <c r="O165" s="3">
        <f>IF($P165&lt;&gt;"", IF($H165="A VISTA", "", IF($H165="1+1", $C165 + CADASTROS!$C$4, IF($H165="1+2", $C165 + CADASTROS!$C$5, IF($H165="1+3", $C165 + CADASTROS!$E$6, "")))), "")</f>
        <v>45212</v>
      </c>
      <c r="P165" s="8">
        <f t="shared" si="11"/>
        <v>1319</v>
      </c>
    </row>
    <row r="166" spans="1:16">
      <c r="A166" s="2" t="s">
        <v>302</v>
      </c>
      <c r="B166" s="6" t="s">
        <v>36</v>
      </c>
      <c r="C166" s="7">
        <v>45384</v>
      </c>
      <c r="D166" s="7" t="s">
        <v>85</v>
      </c>
      <c r="E166" s="4" t="s">
        <v>111</v>
      </c>
      <c r="F166" s="4" t="s">
        <v>120</v>
      </c>
      <c r="G166" s="8">
        <v>2495</v>
      </c>
      <c r="H166" s="8" t="s">
        <v>137</v>
      </c>
      <c r="I166" s="3">
        <f>IF($H166="A VISTA", C166 + CADASTROS!$B$3, IF($H166="1+1", C166 + CADASTROS!$B$4, IF(H166="1+2", C166 + CADASTROS!$B$5, IF(H166="1+3", C166 + CADASTROS!$B$6, ""))))</f>
        <v>45385</v>
      </c>
      <c r="J166" s="8">
        <f t="shared" si="8"/>
        <v>831.66666666666663</v>
      </c>
      <c r="K166" s="3">
        <f>IF($L166&lt;&gt;"", IF($H166="A VISTA", "", IF($H166="1+1", $C166 + CADASTROS!$C$4, IF($H166="1+2", $C166 + CADASTROS!$C$5, IF($H166="1+3", $C166 + CADASTROS!$E$4, "")))), "")</f>
        <v>45414</v>
      </c>
      <c r="L166" s="8">
        <f t="shared" si="9"/>
        <v>831.66666666666663</v>
      </c>
      <c r="M166" s="3">
        <f>IF($N166&lt;&gt;"", IF($H166="A VISTA", "", IF($H166="1+1", $C166 + CADASTROS!$C$4, IF($H166="1+2", $C166 + CADASTROS!$D$5, IF($H166="1+3", $C166 + CADASTROS!$D$6, "")))), "")</f>
        <v>45429</v>
      </c>
      <c r="N166" s="8">
        <f t="shared" si="10"/>
        <v>831.66666666666686</v>
      </c>
      <c r="O166" s="3" t="str">
        <f>IF($P166&lt;&gt;"", IF($H166="A VISTA", "", IF($H166="1+1", $C166 + CADASTROS!$C$4, IF($H166="1+2", $C166 + CADASTROS!$C$5, IF($H166="1+3", $C166 + CADASTROS!$E$6, "")))), "")</f>
        <v/>
      </c>
      <c r="P166" s="8" t="str">
        <f t="shared" si="11"/>
        <v/>
      </c>
    </row>
    <row r="167" spans="1:16">
      <c r="A167" s="2" t="s">
        <v>303</v>
      </c>
      <c r="B167" s="6" t="s">
        <v>32</v>
      </c>
      <c r="C167" s="7">
        <v>45206</v>
      </c>
      <c r="D167" s="7" t="s">
        <v>81</v>
      </c>
      <c r="E167" s="4" t="s">
        <v>110</v>
      </c>
      <c r="F167" s="4" t="s">
        <v>124</v>
      </c>
      <c r="G167" s="8">
        <v>4841</v>
      </c>
      <c r="H167" s="8" t="s">
        <v>126</v>
      </c>
      <c r="I167" s="3">
        <f>IF($H167="A VISTA", C167 + CADASTROS!$B$3, IF($H167="1+1", C167 + CADASTROS!$B$4, IF(H167="1+2", C167 + CADASTROS!$B$5, IF(H167="1+3", C167 + CADASTROS!$B$6, ""))))</f>
        <v>45207</v>
      </c>
      <c r="J167" s="8">
        <f t="shared" si="8"/>
        <v>4841</v>
      </c>
      <c r="K167" s="3" t="str">
        <f>IF($L167&lt;&gt;"", IF($H167="A VISTA", "", IF($H167="1+1", $C167 + CADASTROS!$C$4, IF($H167="1+2", $C167 + CADASTROS!$C$5, IF($H167="1+3", $C167 + CADASTROS!$E$4, "")))), "")</f>
        <v/>
      </c>
      <c r="L167" s="8" t="str">
        <f t="shared" si="9"/>
        <v/>
      </c>
      <c r="M167" s="3" t="str">
        <f>IF($N167&lt;&gt;"", IF($H167="A VISTA", "", IF($H167="1+1", $C167 + CADASTROS!$C$4, IF($H167="1+2", $C167 + CADASTROS!$D$5, IF($H167="1+3", $C167 + CADASTROS!$D$6, "")))), "")</f>
        <v/>
      </c>
      <c r="N167" s="8" t="str">
        <f t="shared" si="10"/>
        <v/>
      </c>
      <c r="O167" s="3" t="str">
        <f>IF($P167&lt;&gt;"", IF($H167="A VISTA", "", IF($H167="1+1", $C167 + CADASTROS!$C$4, IF($H167="1+2", $C167 + CADASTROS!$C$5, IF($H167="1+3", $C167 + CADASTROS!$E$6, "")))), "")</f>
        <v/>
      </c>
      <c r="P167" s="8" t="str">
        <f t="shared" si="11"/>
        <v/>
      </c>
    </row>
    <row r="168" spans="1:16">
      <c r="A168" s="2" t="s">
        <v>304</v>
      </c>
      <c r="B168" s="6" t="s">
        <v>20</v>
      </c>
      <c r="C168" s="7">
        <v>45247</v>
      </c>
      <c r="D168" s="7" t="s">
        <v>69</v>
      </c>
      <c r="E168" s="4" t="s">
        <v>111</v>
      </c>
      <c r="F168" s="4" t="s">
        <v>117</v>
      </c>
      <c r="G168" s="8">
        <v>2405</v>
      </c>
      <c r="H168" s="8" t="s">
        <v>136</v>
      </c>
      <c r="I168" s="3">
        <f>IF($H168="A VISTA", C168 + CADASTROS!$B$3, IF($H168="1+1", C168 + CADASTROS!$B$4, IF(H168="1+2", C168 + CADASTROS!$B$5, IF(H168="1+3", C168 + CADASTROS!$B$6, ""))))</f>
        <v>45248</v>
      </c>
      <c r="J168" s="8">
        <f t="shared" si="8"/>
        <v>601.25</v>
      </c>
      <c r="K168" s="3">
        <f>IF($L168&lt;&gt;"", IF($H168="A VISTA", "", IF($H168="1+1", $C168 + CADASTROS!$C$4, IF($H168="1+2", $C168 + CADASTROS!$C$5, IF($H168="1+3", $C168 + CADASTROS!$E$4, "")))), "")</f>
        <v>45247</v>
      </c>
      <c r="L168" s="8">
        <f t="shared" si="9"/>
        <v>601.25</v>
      </c>
      <c r="M168" s="3">
        <f>IF($N168&lt;&gt;"", IF($H168="A VISTA", "", IF($H168="1+1", $C168 + CADASTROS!$C$4, IF($H168="1+2", $C168 + CADASTROS!$D$5, IF($H168="1+3", $C168 + CADASTROS!$D$6, "")))), "")</f>
        <v>45292</v>
      </c>
      <c r="N168" s="8">
        <f t="shared" si="10"/>
        <v>601.25</v>
      </c>
      <c r="O168" s="3">
        <f>IF($P168&lt;&gt;"", IF($H168="A VISTA", "", IF($H168="1+1", $C168 + CADASTROS!$C$4, IF($H168="1+2", $C168 + CADASTROS!$C$5, IF($H168="1+3", $C168 + CADASTROS!$E$6, "")))), "")</f>
        <v>45307</v>
      </c>
      <c r="P168" s="8">
        <f t="shared" si="11"/>
        <v>601.25</v>
      </c>
    </row>
    <row r="169" spans="1:16">
      <c r="A169" s="2" t="s">
        <v>305</v>
      </c>
      <c r="B169" s="6" t="s">
        <v>50</v>
      </c>
      <c r="C169" s="7">
        <v>45346</v>
      </c>
      <c r="D169" s="7" t="s">
        <v>99</v>
      </c>
      <c r="E169" s="4" t="s">
        <v>110</v>
      </c>
      <c r="F169" s="4" t="s">
        <v>114</v>
      </c>
      <c r="G169" s="8">
        <v>2708</v>
      </c>
      <c r="H169" s="8" t="s">
        <v>137</v>
      </c>
      <c r="I169" s="3">
        <f>IF($H169="A VISTA", C169 + CADASTROS!$B$3, IF($H169="1+1", C169 + CADASTROS!$B$4, IF(H169="1+2", C169 + CADASTROS!$B$5, IF(H169="1+3", C169 + CADASTROS!$B$6, ""))))</f>
        <v>45347</v>
      </c>
      <c r="J169" s="8">
        <f t="shared" si="8"/>
        <v>902.66666666666663</v>
      </c>
      <c r="K169" s="3">
        <f>IF($L169&lt;&gt;"", IF($H169="A VISTA", "", IF($H169="1+1", $C169 + CADASTROS!$C$4, IF($H169="1+2", $C169 + CADASTROS!$C$5, IF($H169="1+3", $C169 + CADASTROS!$E$4, "")))), "")</f>
        <v>45376</v>
      </c>
      <c r="L169" s="8">
        <f t="shared" si="9"/>
        <v>902.66666666666663</v>
      </c>
      <c r="M169" s="3">
        <f>IF($N169&lt;&gt;"", IF($H169="A VISTA", "", IF($H169="1+1", $C169 + CADASTROS!$C$4, IF($H169="1+2", $C169 + CADASTROS!$D$5, IF($H169="1+3", $C169 + CADASTROS!$D$6, "")))), "")</f>
        <v>45391</v>
      </c>
      <c r="N169" s="8">
        <f t="shared" si="10"/>
        <v>902.66666666666686</v>
      </c>
      <c r="O169" s="3" t="str">
        <f>IF($P169&lt;&gt;"", IF($H169="A VISTA", "", IF($H169="1+1", $C169 + CADASTROS!$C$4, IF($H169="1+2", $C169 + CADASTROS!$C$5, IF($H169="1+3", $C169 + CADASTROS!$E$6, "")))), "")</f>
        <v/>
      </c>
      <c r="P169" s="8" t="str">
        <f t="shared" si="11"/>
        <v/>
      </c>
    </row>
    <row r="170" spans="1:16">
      <c r="A170" s="2" t="s">
        <v>306</v>
      </c>
      <c r="B170" s="6" t="s">
        <v>59</v>
      </c>
      <c r="C170" s="7">
        <v>45249</v>
      </c>
      <c r="D170" s="7" t="s">
        <v>108</v>
      </c>
      <c r="E170" s="4" t="s">
        <v>111</v>
      </c>
      <c r="F170" s="4" t="s">
        <v>121</v>
      </c>
      <c r="G170" s="8">
        <v>5056</v>
      </c>
      <c r="H170" s="8" t="s">
        <v>137</v>
      </c>
      <c r="I170" s="3">
        <f>IF($H170="A VISTA", C170 + CADASTROS!$B$3, IF($H170="1+1", C170 + CADASTROS!$B$4, IF(H170="1+2", C170 + CADASTROS!$B$5, IF(H170="1+3", C170 + CADASTROS!$B$6, ""))))</f>
        <v>45250</v>
      </c>
      <c r="J170" s="8">
        <f t="shared" si="8"/>
        <v>1685.3333333333333</v>
      </c>
      <c r="K170" s="3">
        <f>IF($L170&lt;&gt;"", IF($H170="A VISTA", "", IF($H170="1+1", $C170 + CADASTROS!$C$4, IF($H170="1+2", $C170 + CADASTROS!$C$5, IF($H170="1+3", $C170 + CADASTROS!$E$4, "")))), "")</f>
        <v>45279</v>
      </c>
      <c r="L170" s="8">
        <f t="shared" si="9"/>
        <v>1685.3333333333333</v>
      </c>
      <c r="M170" s="3">
        <f>IF($N170&lt;&gt;"", IF($H170="A VISTA", "", IF($H170="1+1", $C170 + CADASTROS!$C$4, IF($H170="1+2", $C170 + CADASTROS!$D$5, IF($H170="1+3", $C170 + CADASTROS!$D$6, "")))), "")</f>
        <v>45294</v>
      </c>
      <c r="N170" s="8">
        <f t="shared" si="10"/>
        <v>1685.3333333333337</v>
      </c>
      <c r="O170" s="3" t="str">
        <f>IF($P170&lt;&gt;"", IF($H170="A VISTA", "", IF($H170="1+1", $C170 + CADASTROS!$C$4, IF($H170="1+2", $C170 + CADASTROS!$C$5, IF($H170="1+3", $C170 + CADASTROS!$E$6, "")))), "")</f>
        <v/>
      </c>
      <c r="P170" s="8" t="str">
        <f t="shared" si="11"/>
        <v/>
      </c>
    </row>
    <row r="171" spans="1:16">
      <c r="A171" s="2" t="s">
        <v>307</v>
      </c>
      <c r="B171" s="6" t="s">
        <v>43</v>
      </c>
      <c r="C171" s="7">
        <v>45110</v>
      </c>
      <c r="D171" s="7" t="s">
        <v>92</v>
      </c>
      <c r="E171" s="4" t="s">
        <v>110</v>
      </c>
      <c r="F171" s="4" t="s">
        <v>124</v>
      </c>
      <c r="G171" s="8">
        <v>8323</v>
      </c>
      <c r="H171" s="8" t="s">
        <v>138</v>
      </c>
      <c r="I171" s="3">
        <f>IF($H171="A VISTA", C171 + CADASTROS!$B$3, IF($H171="1+1", C171 + CADASTROS!$B$4, IF(H171="1+2", C171 + CADASTROS!$B$5, IF(H171="1+3", C171 + CADASTROS!$B$6, ""))))</f>
        <v>45111</v>
      </c>
      <c r="J171" s="8">
        <f t="shared" si="8"/>
        <v>4161.5</v>
      </c>
      <c r="K171" s="3">
        <f>IF($L171&lt;&gt;"", IF($H171="A VISTA", "", IF($H171="1+1", $C171 + CADASTROS!$C$4, IF($H171="1+2", $C171 + CADASTROS!$C$5, IF($H171="1+3", $C171 + CADASTROS!$E$4, "")))), "")</f>
        <v>45140</v>
      </c>
      <c r="L171" s="8">
        <f t="shared" si="9"/>
        <v>4161.5</v>
      </c>
      <c r="M171" s="3" t="str">
        <f>IF($N171&lt;&gt;"", IF($H171="A VISTA", "", IF($H171="1+1", $C171 + CADASTROS!$C$4, IF($H171="1+2", $C171 + CADASTROS!$D$5, IF($H171="1+3", $C171 + CADASTROS!$D$6, "")))), "")</f>
        <v/>
      </c>
      <c r="N171" s="8" t="str">
        <f t="shared" si="10"/>
        <v/>
      </c>
      <c r="O171" s="3" t="str">
        <f>IF($P171&lt;&gt;"", IF($H171="A VISTA", "", IF($H171="1+1", $C171 + CADASTROS!$C$4, IF($H171="1+2", $C171 + CADASTROS!$C$5, IF($H171="1+3", $C171 + CADASTROS!$E$6, "")))), "")</f>
        <v/>
      </c>
      <c r="P171" s="8" t="str">
        <f t="shared" si="11"/>
        <v/>
      </c>
    </row>
    <row r="172" spans="1:16">
      <c r="A172" s="2" t="s">
        <v>308</v>
      </c>
      <c r="B172" s="6" t="s">
        <v>39</v>
      </c>
      <c r="C172" s="7">
        <v>45202</v>
      </c>
      <c r="D172" s="7" t="s">
        <v>88</v>
      </c>
      <c r="E172" s="4" t="s">
        <v>110</v>
      </c>
      <c r="F172" s="4" t="s">
        <v>114</v>
      </c>
      <c r="G172" s="8">
        <v>4870</v>
      </c>
      <c r="H172" s="8" t="s">
        <v>126</v>
      </c>
      <c r="I172" s="3">
        <f>IF($H172="A VISTA", C172 + CADASTROS!$B$3, IF($H172="1+1", C172 + CADASTROS!$B$4, IF(H172="1+2", C172 + CADASTROS!$B$5, IF(H172="1+3", C172 + CADASTROS!$B$6, ""))))</f>
        <v>45203</v>
      </c>
      <c r="J172" s="8">
        <f t="shared" si="8"/>
        <v>4870</v>
      </c>
      <c r="K172" s="3" t="str">
        <f>IF($L172&lt;&gt;"", IF($H172="A VISTA", "", IF($H172="1+1", $C172 + CADASTROS!$C$4, IF($H172="1+2", $C172 + CADASTROS!$C$5, IF($H172="1+3", $C172 + CADASTROS!$E$4, "")))), "")</f>
        <v/>
      </c>
      <c r="L172" s="8" t="str">
        <f t="shared" si="9"/>
        <v/>
      </c>
      <c r="M172" s="3" t="str">
        <f>IF($N172&lt;&gt;"", IF($H172="A VISTA", "", IF($H172="1+1", $C172 + CADASTROS!$C$4, IF($H172="1+2", $C172 + CADASTROS!$D$5, IF($H172="1+3", $C172 + CADASTROS!$D$6, "")))), "")</f>
        <v/>
      </c>
      <c r="N172" s="8" t="str">
        <f t="shared" si="10"/>
        <v/>
      </c>
      <c r="O172" s="3" t="str">
        <f>IF($P172&lt;&gt;"", IF($H172="A VISTA", "", IF($H172="1+1", $C172 + CADASTROS!$C$4, IF($H172="1+2", $C172 + CADASTROS!$C$5, IF($H172="1+3", $C172 + CADASTROS!$E$6, "")))), "")</f>
        <v/>
      </c>
      <c r="P172" s="8" t="str">
        <f t="shared" si="11"/>
        <v/>
      </c>
    </row>
    <row r="173" spans="1:16">
      <c r="A173" s="2" t="s">
        <v>309</v>
      </c>
      <c r="B173" s="6" t="s">
        <v>27</v>
      </c>
      <c r="C173" s="7">
        <v>45429</v>
      </c>
      <c r="D173" s="7" t="s">
        <v>76</v>
      </c>
      <c r="E173" s="4" t="s">
        <v>110</v>
      </c>
      <c r="F173" s="4" t="s">
        <v>125</v>
      </c>
      <c r="G173" s="8">
        <v>5610</v>
      </c>
      <c r="H173" s="8" t="s">
        <v>137</v>
      </c>
      <c r="I173" s="3">
        <f>IF($H173="A VISTA", C173 + CADASTROS!$B$3, IF($H173="1+1", C173 + CADASTROS!$B$4, IF(H173="1+2", C173 + CADASTROS!$B$5, IF(H173="1+3", C173 + CADASTROS!$B$6, ""))))</f>
        <v>45430</v>
      </c>
      <c r="J173" s="8">
        <f t="shared" si="8"/>
        <v>1870</v>
      </c>
      <c r="K173" s="3">
        <f>IF($L173&lt;&gt;"", IF($H173="A VISTA", "", IF($H173="1+1", $C173 + CADASTROS!$C$4, IF($H173="1+2", $C173 + CADASTROS!$C$5, IF($H173="1+3", $C173 + CADASTROS!$E$4, "")))), "")</f>
        <v>45459</v>
      </c>
      <c r="L173" s="8">
        <f t="shared" si="9"/>
        <v>1870</v>
      </c>
      <c r="M173" s="3">
        <f>IF($N173&lt;&gt;"", IF($H173="A VISTA", "", IF($H173="1+1", $C173 + CADASTROS!$C$4, IF($H173="1+2", $C173 + CADASTROS!$D$5, IF($H173="1+3", $C173 + CADASTROS!$D$6, "")))), "")</f>
        <v>45474</v>
      </c>
      <c r="N173" s="8">
        <f t="shared" si="10"/>
        <v>1870</v>
      </c>
      <c r="O173" s="3" t="str">
        <f>IF($P173&lt;&gt;"", IF($H173="A VISTA", "", IF($H173="1+1", $C173 + CADASTROS!$C$4, IF($H173="1+2", $C173 + CADASTROS!$C$5, IF($H173="1+3", $C173 + CADASTROS!$E$6, "")))), "")</f>
        <v/>
      </c>
      <c r="P173" s="8" t="str">
        <f t="shared" si="11"/>
        <v/>
      </c>
    </row>
    <row r="174" spans="1:16">
      <c r="A174" s="2" t="s">
        <v>310</v>
      </c>
      <c r="B174" s="6" t="s">
        <v>19</v>
      </c>
      <c r="C174" s="7">
        <v>45344</v>
      </c>
      <c r="D174" s="7" t="s">
        <v>68</v>
      </c>
      <c r="E174" s="4" t="s">
        <v>111</v>
      </c>
      <c r="F174" s="4" t="s">
        <v>118</v>
      </c>
      <c r="G174" s="8">
        <v>4186</v>
      </c>
      <c r="H174" s="8" t="s">
        <v>137</v>
      </c>
      <c r="I174" s="3">
        <f>IF($H174="A VISTA", C174 + CADASTROS!$B$3, IF($H174="1+1", C174 + CADASTROS!$B$4, IF(H174="1+2", C174 + CADASTROS!$B$5, IF(H174="1+3", C174 + CADASTROS!$B$6, ""))))</f>
        <v>45345</v>
      </c>
      <c r="J174" s="8">
        <f t="shared" si="8"/>
        <v>1395.3333333333333</v>
      </c>
      <c r="K174" s="3">
        <f>IF($L174&lt;&gt;"", IF($H174="A VISTA", "", IF($H174="1+1", $C174 + CADASTROS!$C$4, IF($H174="1+2", $C174 + CADASTROS!$C$5, IF($H174="1+3", $C174 + CADASTROS!$E$4, "")))), "")</f>
        <v>45374</v>
      </c>
      <c r="L174" s="8">
        <f t="shared" si="9"/>
        <v>1395.3333333333333</v>
      </c>
      <c r="M174" s="3">
        <f>IF($N174&lt;&gt;"", IF($H174="A VISTA", "", IF($H174="1+1", $C174 + CADASTROS!$C$4, IF($H174="1+2", $C174 + CADASTROS!$D$5, IF($H174="1+3", $C174 + CADASTROS!$D$6, "")))), "")</f>
        <v>45389</v>
      </c>
      <c r="N174" s="8">
        <f t="shared" si="10"/>
        <v>1395.3333333333337</v>
      </c>
      <c r="O174" s="3" t="str">
        <f>IF($P174&lt;&gt;"", IF($H174="A VISTA", "", IF($H174="1+1", $C174 + CADASTROS!$C$4, IF($H174="1+2", $C174 + CADASTROS!$C$5, IF($H174="1+3", $C174 + CADASTROS!$E$6, "")))), "")</f>
        <v/>
      </c>
      <c r="P174" s="8" t="str">
        <f t="shared" si="11"/>
        <v/>
      </c>
    </row>
    <row r="175" spans="1:16">
      <c r="A175" s="2" t="s">
        <v>311</v>
      </c>
      <c r="B175" s="6" t="s">
        <v>56</v>
      </c>
      <c r="C175" s="7">
        <v>45324</v>
      </c>
      <c r="D175" s="7" t="s">
        <v>105</v>
      </c>
      <c r="E175" s="4" t="s">
        <v>110</v>
      </c>
      <c r="F175" s="4" t="s">
        <v>113</v>
      </c>
      <c r="G175" s="8">
        <v>2499</v>
      </c>
      <c r="H175" s="8" t="s">
        <v>126</v>
      </c>
      <c r="I175" s="3">
        <f>IF($H175="A VISTA", C175 + CADASTROS!$B$3, IF($H175="1+1", C175 + CADASTROS!$B$4, IF(H175="1+2", C175 + CADASTROS!$B$5, IF(H175="1+3", C175 + CADASTROS!$B$6, ""))))</f>
        <v>45325</v>
      </c>
      <c r="J175" s="8">
        <f t="shared" si="8"/>
        <v>2499</v>
      </c>
      <c r="K175" s="3" t="str">
        <f>IF($L175&lt;&gt;"", IF($H175="A VISTA", "", IF($H175="1+1", $C175 + CADASTROS!$C$4, IF($H175="1+2", $C175 + CADASTROS!$C$5, IF($H175="1+3", $C175 + CADASTROS!$E$4, "")))), "")</f>
        <v/>
      </c>
      <c r="L175" s="8" t="str">
        <f t="shared" si="9"/>
        <v/>
      </c>
      <c r="M175" s="3" t="str">
        <f>IF($N175&lt;&gt;"", IF($H175="A VISTA", "", IF($H175="1+1", $C175 + CADASTROS!$C$4, IF($H175="1+2", $C175 + CADASTROS!$D$5, IF($H175="1+3", $C175 + CADASTROS!$D$6, "")))), "")</f>
        <v/>
      </c>
      <c r="N175" s="8" t="str">
        <f t="shared" si="10"/>
        <v/>
      </c>
      <c r="O175" s="3" t="str">
        <f>IF($P175&lt;&gt;"", IF($H175="A VISTA", "", IF($H175="1+1", $C175 + CADASTROS!$C$4, IF($H175="1+2", $C175 + CADASTROS!$C$5, IF($H175="1+3", $C175 + CADASTROS!$E$6, "")))), "")</f>
        <v/>
      </c>
      <c r="P175" s="8" t="str">
        <f t="shared" si="11"/>
        <v/>
      </c>
    </row>
    <row r="176" spans="1:16">
      <c r="A176" s="2" t="s">
        <v>312</v>
      </c>
      <c r="B176" s="6" t="s">
        <v>30</v>
      </c>
      <c r="C176" s="7">
        <v>45135</v>
      </c>
      <c r="D176" s="7" t="s">
        <v>79</v>
      </c>
      <c r="E176" s="4" t="s">
        <v>111</v>
      </c>
      <c r="F176" s="4" t="s">
        <v>118</v>
      </c>
      <c r="G176" s="8">
        <v>3053</v>
      </c>
      <c r="H176" s="8" t="s">
        <v>138</v>
      </c>
      <c r="I176" s="3">
        <f>IF($H176="A VISTA", C176 + CADASTROS!$B$3, IF($H176="1+1", C176 + CADASTROS!$B$4, IF(H176="1+2", C176 + CADASTROS!$B$5, IF(H176="1+3", C176 + CADASTROS!$B$6, ""))))</f>
        <v>45136</v>
      </c>
      <c r="J176" s="8">
        <f t="shared" si="8"/>
        <v>1526.5</v>
      </c>
      <c r="K176" s="3">
        <f>IF($L176&lt;&gt;"", IF($H176="A VISTA", "", IF($H176="1+1", $C176 + CADASTROS!$C$4, IF($H176="1+2", $C176 + CADASTROS!$C$5, IF($H176="1+3", $C176 + CADASTROS!$E$4, "")))), "")</f>
        <v>45165</v>
      </c>
      <c r="L176" s="8">
        <f t="shared" si="9"/>
        <v>1526.5</v>
      </c>
      <c r="M176" s="3" t="str">
        <f>IF($N176&lt;&gt;"", IF($H176="A VISTA", "", IF($H176="1+1", $C176 + CADASTROS!$C$4, IF($H176="1+2", $C176 + CADASTROS!$D$5, IF($H176="1+3", $C176 + CADASTROS!$D$6, "")))), "")</f>
        <v/>
      </c>
      <c r="N176" s="8" t="str">
        <f t="shared" si="10"/>
        <v/>
      </c>
      <c r="O176" s="3" t="str">
        <f>IF($P176&lt;&gt;"", IF($H176="A VISTA", "", IF($H176="1+1", $C176 + CADASTROS!$C$4, IF($H176="1+2", $C176 + CADASTROS!$C$5, IF($H176="1+3", $C176 + CADASTROS!$E$6, "")))), "")</f>
        <v/>
      </c>
      <c r="P176" s="8" t="str">
        <f t="shared" si="11"/>
        <v/>
      </c>
    </row>
    <row r="177" spans="1:16">
      <c r="A177" s="2" t="s">
        <v>313</v>
      </c>
      <c r="B177" s="6" t="s">
        <v>20</v>
      </c>
      <c r="C177" s="7">
        <v>45192</v>
      </c>
      <c r="D177" s="7" t="s">
        <v>69</v>
      </c>
      <c r="E177" s="4" t="s">
        <v>111</v>
      </c>
      <c r="F177" s="4" t="s">
        <v>117</v>
      </c>
      <c r="G177" s="8">
        <v>2786</v>
      </c>
      <c r="H177" s="8" t="s">
        <v>136</v>
      </c>
      <c r="I177" s="3">
        <f>IF($H177="A VISTA", C177 + CADASTROS!$B$3, IF($H177="1+1", C177 + CADASTROS!$B$4, IF(H177="1+2", C177 + CADASTROS!$B$5, IF(H177="1+3", C177 + CADASTROS!$B$6, ""))))</f>
        <v>45193</v>
      </c>
      <c r="J177" s="8">
        <f t="shared" si="8"/>
        <v>696.5</v>
      </c>
      <c r="K177" s="3">
        <f>IF($L177&lt;&gt;"", IF($H177="A VISTA", "", IF($H177="1+1", $C177 + CADASTROS!$C$4, IF($H177="1+2", $C177 + CADASTROS!$C$5, IF($H177="1+3", $C177 + CADASTROS!$E$4, "")))), "")</f>
        <v>45192</v>
      </c>
      <c r="L177" s="8">
        <f t="shared" si="9"/>
        <v>696.5</v>
      </c>
      <c r="M177" s="3">
        <f>IF($N177&lt;&gt;"", IF($H177="A VISTA", "", IF($H177="1+1", $C177 + CADASTROS!$C$4, IF($H177="1+2", $C177 + CADASTROS!$D$5, IF($H177="1+3", $C177 + CADASTROS!$D$6, "")))), "")</f>
        <v>45237</v>
      </c>
      <c r="N177" s="8">
        <f t="shared" si="10"/>
        <v>696.5</v>
      </c>
      <c r="O177" s="3">
        <f>IF($P177&lt;&gt;"", IF($H177="A VISTA", "", IF($H177="1+1", $C177 + CADASTROS!$C$4, IF($H177="1+2", $C177 + CADASTROS!$C$5, IF($H177="1+3", $C177 + CADASTROS!$E$6, "")))), "")</f>
        <v>45252</v>
      </c>
      <c r="P177" s="8">
        <f t="shared" si="11"/>
        <v>696.5</v>
      </c>
    </row>
    <row r="178" spans="1:16">
      <c r="A178" s="2" t="s">
        <v>314</v>
      </c>
      <c r="B178" s="6" t="s">
        <v>32</v>
      </c>
      <c r="C178" s="7">
        <v>45202</v>
      </c>
      <c r="D178" s="7" t="s">
        <v>81</v>
      </c>
      <c r="E178" s="4" t="s">
        <v>110</v>
      </c>
      <c r="F178" s="4" t="s">
        <v>124</v>
      </c>
      <c r="G178" s="8">
        <v>5235</v>
      </c>
      <c r="H178" s="8" t="s">
        <v>136</v>
      </c>
      <c r="I178" s="3">
        <f>IF($H178="A VISTA", C178 + CADASTROS!$B$3, IF($H178="1+1", C178 + CADASTROS!$B$4, IF(H178="1+2", C178 + CADASTROS!$B$5, IF(H178="1+3", C178 + CADASTROS!$B$6, ""))))</f>
        <v>45203</v>
      </c>
      <c r="J178" s="8">
        <f t="shared" si="8"/>
        <v>1308.75</v>
      </c>
      <c r="K178" s="3">
        <f>IF($L178&lt;&gt;"", IF($H178="A VISTA", "", IF($H178="1+1", $C178 + CADASTROS!$C$4, IF($H178="1+2", $C178 + CADASTROS!$C$5, IF($H178="1+3", $C178 + CADASTROS!$E$4, "")))), "")</f>
        <v>45202</v>
      </c>
      <c r="L178" s="8">
        <f t="shared" si="9"/>
        <v>1308.75</v>
      </c>
      <c r="M178" s="3">
        <f>IF($N178&lt;&gt;"", IF($H178="A VISTA", "", IF($H178="1+1", $C178 + CADASTROS!$C$4, IF($H178="1+2", $C178 + CADASTROS!$D$5, IF($H178="1+3", $C178 + CADASTROS!$D$6, "")))), "")</f>
        <v>45247</v>
      </c>
      <c r="N178" s="8">
        <f t="shared" si="10"/>
        <v>1308.75</v>
      </c>
      <c r="O178" s="3">
        <f>IF($P178&lt;&gt;"", IF($H178="A VISTA", "", IF($H178="1+1", $C178 + CADASTROS!$C$4, IF($H178="1+2", $C178 + CADASTROS!$C$5, IF($H178="1+3", $C178 + CADASTROS!$E$6, "")))), "")</f>
        <v>45262</v>
      </c>
      <c r="P178" s="8">
        <f t="shared" si="11"/>
        <v>1308.75</v>
      </c>
    </row>
    <row r="179" spans="1:16">
      <c r="A179" s="2" t="s">
        <v>315</v>
      </c>
      <c r="B179" s="6" t="s">
        <v>19</v>
      </c>
      <c r="C179" s="7">
        <v>45356</v>
      </c>
      <c r="D179" s="7" t="s">
        <v>68</v>
      </c>
      <c r="E179" s="4" t="s">
        <v>111</v>
      </c>
      <c r="F179" s="4" t="s">
        <v>118</v>
      </c>
      <c r="G179" s="8">
        <v>7659</v>
      </c>
      <c r="H179" s="8" t="s">
        <v>136</v>
      </c>
      <c r="I179" s="3">
        <f>IF($H179="A VISTA", C179 + CADASTROS!$B$3, IF($H179="1+1", C179 + CADASTROS!$B$4, IF(H179="1+2", C179 + CADASTROS!$B$5, IF(H179="1+3", C179 + CADASTROS!$B$6, ""))))</f>
        <v>45357</v>
      </c>
      <c r="J179" s="8">
        <f t="shared" si="8"/>
        <v>1914.75</v>
      </c>
      <c r="K179" s="3">
        <f>IF($L179&lt;&gt;"", IF($H179="A VISTA", "", IF($H179="1+1", $C179 + CADASTROS!$C$4, IF($H179="1+2", $C179 + CADASTROS!$C$5, IF($H179="1+3", $C179 + CADASTROS!$E$4, "")))), "")</f>
        <v>45356</v>
      </c>
      <c r="L179" s="8">
        <f t="shared" si="9"/>
        <v>1914.75</v>
      </c>
      <c r="M179" s="3">
        <f>IF($N179&lt;&gt;"", IF($H179="A VISTA", "", IF($H179="1+1", $C179 + CADASTROS!$C$4, IF($H179="1+2", $C179 + CADASTROS!$D$5, IF($H179="1+3", $C179 + CADASTROS!$D$6, "")))), "")</f>
        <v>45401</v>
      </c>
      <c r="N179" s="8">
        <f t="shared" si="10"/>
        <v>1914.75</v>
      </c>
      <c r="O179" s="3">
        <f>IF($P179&lt;&gt;"", IF($H179="A VISTA", "", IF($H179="1+1", $C179 + CADASTROS!$C$4, IF($H179="1+2", $C179 + CADASTROS!$C$5, IF($H179="1+3", $C179 + CADASTROS!$E$6, "")))), "")</f>
        <v>45416</v>
      </c>
      <c r="P179" s="8">
        <f t="shared" si="11"/>
        <v>1914.75</v>
      </c>
    </row>
    <row r="180" spans="1:16">
      <c r="A180" s="2" t="s">
        <v>316</v>
      </c>
      <c r="B180" s="6" t="s">
        <v>12</v>
      </c>
      <c r="C180" s="7">
        <v>45381</v>
      </c>
      <c r="D180" s="7" t="s">
        <v>62</v>
      </c>
      <c r="E180" s="4" t="s">
        <v>112</v>
      </c>
      <c r="F180" s="4" t="s">
        <v>122</v>
      </c>
      <c r="G180" s="8">
        <v>592</v>
      </c>
      <c r="H180" s="8" t="s">
        <v>126</v>
      </c>
      <c r="I180" s="3">
        <f>IF($H180="A VISTA", C180 + CADASTROS!$B$3, IF($H180="1+1", C180 + CADASTROS!$B$4, IF(H180="1+2", C180 + CADASTROS!$B$5, IF(H180="1+3", C180 + CADASTROS!$B$6, ""))))</f>
        <v>45382</v>
      </c>
      <c r="J180" s="8">
        <f t="shared" si="8"/>
        <v>592</v>
      </c>
      <c r="K180" s="3" t="str">
        <f>IF($L180&lt;&gt;"", IF($H180="A VISTA", "", IF($H180="1+1", $C180 + CADASTROS!$C$4, IF($H180="1+2", $C180 + CADASTROS!$C$5, IF($H180="1+3", $C180 + CADASTROS!$E$4, "")))), "")</f>
        <v/>
      </c>
      <c r="L180" s="8" t="str">
        <f t="shared" si="9"/>
        <v/>
      </c>
      <c r="M180" s="3" t="str">
        <f>IF($N180&lt;&gt;"", IF($H180="A VISTA", "", IF($H180="1+1", $C180 + CADASTROS!$C$4, IF($H180="1+2", $C180 + CADASTROS!$D$5, IF($H180="1+3", $C180 + CADASTROS!$D$6, "")))), "")</f>
        <v/>
      </c>
      <c r="N180" s="8" t="str">
        <f t="shared" si="10"/>
        <v/>
      </c>
      <c r="O180" s="3" t="str">
        <f>IF($P180&lt;&gt;"", IF($H180="A VISTA", "", IF($H180="1+1", $C180 + CADASTROS!$C$4, IF($H180="1+2", $C180 + CADASTROS!$C$5, IF($H180="1+3", $C180 + CADASTROS!$E$6, "")))), "")</f>
        <v/>
      </c>
      <c r="P180" s="8" t="str">
        <f t="shared" si="11"/>
        <v/>
      </c>
    </row>
    <row r="181" spans="1:16">
      <c r="A181" s="2" t="s">
        <v>317</v>
      </c>
      <c r="B181" s="6" t="s">
        <v>52</v>
      </c>
      <c r="C181" s="7">
        <v>45066</v>
      </c>
      <c r="D181" s="7" t="s">
        <v>101</v>
      </c>
      <c r="E181" s="4" t="s">
        <v>111</v>
      </c>
      <c r="F181" s="4" t="s">
        <v>118</v>
      </c>
      <c r="G181" s="8">
        <v>6838</v>
      </c>
      <c r="H181" s="8" t="s">
        <v>126</v>
      </c>
      <c r="I181" s="3">
        <f>IF($H181="A VISTA", C181 + CADASTROS!$B$3, IF($H181="1+1", C181 + CADASTROS!$B$4, IF(H181="1+2", C181 + CADASTROS!$B$5, IF(H181="1+3", C181 + CADASTROS!$B$6, ""))))</f>
        <v>45067</v>
      </c>
      <c r="J181" s="8">
        <f t="shared" si="8"/>
        <v>6838</v>
      </c>
      <c r="K181" s="3" t="str">
        <f>IF($L181&lt;&gt;"", IF($H181="A VISTA", "", IF($H181="1+1", $C181 + CADASTROS!$C$4, IF($H181="1+2", $C181 + CADASTROS!$C$5, IF($H181="1+3", $C181 + CADASTROS!$E$4, "")))), "")</f>
        <v/>
      </c>
      <c r="L181" s="8" t="str">
        <f t="shared" si="9"/>
        <v/>
      </c>
      <c r="M181" s="3" t="str">
        <f>IF($N181&lt;&gt;"", IF($H181="A VISTA", "", IF($H181="1+1", $C181 + CADASTROS!$C$4, IF($H181="1+2", $C181 + CADASTROS!$D$5, IF($H181="1+3", $C181 + CADASTROS!$D$6, "")))), "")</f>
        <v/>
      </c>
      <c r="N181" s="8" t="str">
        <f t="shared" si="10"/>
        <v/>
      </c>
      <c r="O181" s="3" t="str">
        <f>IF($P181&lt;&gt;"", IF($H181="A VISTA", "", IF($H181="1+1", $C181 + CADASTROS!$C$4, IF($H181="1+2", $C181 + CADASTROS!$C$5, IF($H181="1+3", $C181 + CADASTROS!$E$6, "")))), "")</f>
        <v/>
      </c>
      <c r="P181" s="8" t="str">
        <f t="shared" si="11"/>
        <v/>
      </c>
    </row>
    <row r="182" spans="1:16">
      <c r="A182" s="2" t="s">
        <v>318</v>
      </c>
      <c r="B182" s="6" t="s">
        <v>60</v>
      </c>
      <c r="C182" s="7">
        <v>45349</v>
      </c>
      <c r="D182" s="7" t="s">
        <v>109</v>
      </c>
      <c r="E182" s="4" t="s">
        <v>111</v>
      </c>
      <c r="F182" s="4" t="s">
        <v>118</v>
      </c>
      <c r="G182" s="8">
        <v>7867</v>
      </c>
      <c r="H182" s="8" t="s">
        <v>137</v>
      </c>
      <c r="I182" s="3">
        <f>IF($H182="A VISTA", C182 + CADASTROS!$B$3, IF($H182="1+1", C182 + CADASTROS!$B$4, IF(H182="1+2", C182 + CADASTROS!$B$5, IF(H182="1+3", C182 + CADASTROS!$B$6, ""))))</f>
        <v>45350</v>
      </c>
      <c r="J182" s="8">
        <f t="shared" si="8"/>
        <v>2622.3333333333335</v>
      </c>
      <c r="K182" s="3">
        <f>IF($L182&lt;&gt;"", IF($H182="A VISTA", "", IF($H182="1+1", $C182 + CADASTROS!$C$4, IF($H182="1+2", $C182 + CADASTROS!$C$5, IF($H182="1+3", $C182 + CADASTROS!$E$4, "")))), "")</f>
        <v>45379</v>
      </c>
      <c r="L182" s="8">
        <f t="shared" si="9"/>
        <v>2622.3333333333335</v>
      </c>
      <c r="M182" s="3">
        <f>IF($N182&lt;&gt;"", IF($H182="A VISTA", "", IF($H182="1+1", $C182 + CADASTROS!$C$4, IF($H182="1+2", $C182 + CADASTROS!$D$5, IF($H182="1+3", $C182 + CADASTROS!$D$6, "")))), "")</f>
        <v>45394</v>
      </c>
      <c r="N182" s="8">
        <f t="shared" si="10"/>
        <v>2622.3333333333326</v>
      </c>
      <c r="O182" s="3" t="str">
        <f>IF($P182&lt;&gt;"", IF($H182="A VISTA", "", IF($H182="1+1", $C182 + CADASTROS!$C$4, IF($H182="1+2", $C182 + CADASTROS!$C$5, IF($H182="1+3", $C182 + CADASTROS!$E$6, "")))), "")</f>
        <v/>
      </c>
      <c r="P182" s="8" t="str">
        <f t="shared" si="11"/>
        <v/>
      </c>
    </row>
    <row r="183" spans="1:16">
      <c r="A183" s="2" t="s">
        <v>319</v>
      </c>
      <c r="B183" s="6" t="s">
        <v>23</v>
      </c>
      <c r="C183" s="7">
        <v>45382</v>
      </c>
      <c r="D183" s="7" t="s">
        <v>72</v>
      </c>
      <c r="E183" s="4" t="s">
        <v>110</v>
      </c>
      <c r="F183" s="4" t="s">
        <v>113</v>
      </c>
      <c r="G183" s="8">
        <v>7106</v>
      </c>
      <c r="H183" s="8" t="s">
        <v>137</v>
      </c>
      <c r="I183" s="3">
        <f>IF($H183="A VISTA", C183 + CADASTROS!$B$3, IF($H183="1+1", C183 + CADASTROS!$B$4, IF(H183="1+2", C183 + CADASTROS!$B$5, IF(H183="1+3", C183 + CADASTROS!$B$6, ""))))</f>
        <v>45383</v>
      </c>
      <c r="J183" s="8">
        <f t="shared" si="8"/>
        <v>2368.6666666666665</v>
      </c>
      <c r="K183" s="3">
        <f>IF($L183&lt;&gt;"", IF($H183="A VISTA", "", IF($H183="1+1", $C183 + CADASTROS!$C$4, IF($H183="1+2", $C183 + CADASTROS!$C$5, IF($H183="1+3", $C183 + CADASTROS!$E$4, "")))), "")</f>
        <v>45412</v>
      </c>
      <c r="L183" s="8">
        <f t="shared" si="9"/>
        <v>2368.6666666666665</v>
      </c>
      <c r="M183" s="3">
        <f>IF($N183&lt;&gt;"", IF($H183="A VISTA", "", IF($H183="1+1", $C183 + CADASTROS!$C$4, IF($H183="1+2", $C183 + CADASTROS!$D$5, IF($H183="1+3", $C183 + CADASTROS!$D$6, "")))), "")</f>
        <v>45427</v>
      </c>
      <c r="N183" s="8">
        <f t="shared" si="10"/>
        <v>2368.6666666666674</v>
      </c>
      <c r="O183" s="3" t="str">
        <f>IF($P183&lt;&gt;"", IF($H183="A VISTA", "", IF($H183="1+1", $C183 + CADASTROS!$C$4, IF($H183="1+2", $C183 + CADASTROS!$C$5, IF($H183="1+3", $C183 + CADASTROS!$E$6, "")))), "")</f>
        <v/>
      </c>
      <c r="P183" s="8" t="str">
        <f t="shared" si="11"/>
        <v/>
      </c>
    </row>
    <row r="184" spans="1:16">
      <c r="A184" s="2" t="s">
        <v>320</v>
      </c>
      <c r="B184" s="6" t="s">
        <v>54</v>
      </c>
      <c r="C184" s="7">
        <v>45156</v>
      </c>
      <c r="D184" s="7" t="s">
        <v>103</v>
      </c>
      <c r="E184" s="4" t="s">
        <v>110</v>
      </c>
      <c r="F184" s="4" t="s">
        <v>124</v>
      </c>
      <c r="G184" s="8">
        <v>6679</v>
      </c>
      <c r="H184" s="8" t="s">
        <v>137</v>
      </c>
      <c r="I184" s="3">
        <f>IF($H184="A VISTA", C184 + CADASTROS!$B$3, IF($H184="1+1", C184 + CADASTROS!$B$4, IF(H184="1+2", C184 + CADASTROS!$B$5, IF(H184="1+3", C184 + CADASTROS!$B$6, ""))))</f>
        <v>45157</v>
      </c>
      <c r="J184" s="8">
        <f t="shared" si="8"/>
        <v>2226.3333333333335</v>
      </c>
      <c r="K184" s="3">
        <f>IF($L184&lt;&gt;"", IF($H184="A VISTA", "", IF($H184="1+1", $C184 + CADASTROS!$C$4, IF($H184="1+2", $C184 + CADASTROS!$C$5, IF($H184="1+3", $C184 + CADASTROS!$E$4, "")))), "")</f>
        <v>45186</v>
      </c>
      <c r="L184" s="8">
        <f t="shared" si="9"/>
        <v>2226.3333333333335</v>
      </c>
      <c r="M184" s="3">
        <f>IF($N184&lt;&gt;"", IF($H184="A VISTA", "", IF($H184="1+1", $C184 + CADASTROS!$C$4, IF($H184="1+2", $C184 + CADASTROS!$D$5, IF($H184="1+3", $C184 + CADASTROS!$D$6, "")))), "")</f>
        <v>45201</v>
      </c>
      <c r="N184" s="8">
        <f t="shared" si="10"/>
        <v>2226.3333333333326</v>
      </c>
      <c r="O184" s="3" t="str">
        <f>IF($P184&lt;&gt;"", IF($H184="A VISTA", "", IF($H184="1+1", $C184 + CADASTROS!$C$4, IF($H184="1+2", $C184 + CADASTROS!$C$5, IF($H184="1+3", $C184 + CADASTROS!$E$6, "")))), "")</f>
        <v/>
      </c>
      <c r="P184" s="8" t="str">
        <f t="shared" si="11"/>
        <v/>
      </c>
    </row>
    <row r="185" spans="1:16">
      <c r="A185" s="2" t="s">
        <v>321</v>
      </c>
      <c r="B185" s="6" t="s">
        <v>49</v>
      </c>
      <c r="C185" s="7">
        <v>45235</v>
      </c>
      <c r="D185" s="7" t="s">
        <v>98</v>
      </c>
      <c r="E185" s="4" t="s">
        <v>110</v>
      </c>
      <c r="F185" s="4" t="s">
        <v>125</v>
      </c>
      <c r="G185" s="8">
        <v>401</v>
      </c>
      <c r="H185" s="8" t="s">
        <v>126</v>
      </c>
      <c r="I185" s="3">
        <f>IF($H185="A VISTA", C185 + CADASTROS!$B$3, IF($H185="1+1", C185 + CADASTROS!$B$4, IF(H185="1+2", C185 + CADASTROS!$B$5, IF(H185="1+3", C185 + CADASTROS!$B$6, ""))))</f>
        <v>45236</v>
      </c>
      <c r="J185" s="8">
        <f t="shared" si="8"/>
        <v>401</v>
      </c>
      <c r="K185" s="3" t="str">
        <f>IF($L185&lt;&gt;"", IF($H185="A VISTA", "", IF($H185="1+1", $C185 + CADASTROS!$C$4, IF($H185="1+2", $C185 + CADASTROS!$C$5, IF($H185="1+3", $C185 + CADASTROS!$E$4, "")))), "")</f>
        <v/>
      </c>
      <c r="L185" s="8" t="str">
        <f t="shared" si="9"/>
        <v/>
      </c>
      <c r="M185" s="3" t="str">
        <f>IF($N185&lt;&gt;"", IF($H185="A VISTA", "", IF($H185="1+1", $C185 + CADASTROS!$C$4, IF($H185="1+2", $C185 + CADASTROS!$D$5, IF($H185="1+3", $C185 + CADASTROS!$D$6, "")))), "")</f>
        <v/>
      </c>
      <c r="N185" s="8" t="str">
        <f t="shared" si="10"/>
        <v/>
      </c>
      <c r="O185" s="3" t="str">
        <f>IF($P185&lt;&gt;"", IF($H185="A VISTA", "", IF($H185="1+1", $C185 + CADASTROS!$C$4, IF($H185="1+2", $C185 + CADASTROS!$C$5, IF($H185="1+3", $C185 + CADASTROS!$E$6, "")))), "")</f>
        <v/>
      </c>
      <c r="P185" s="8" t="str">
        <f t="shared" si="11"/>
        <v/>
      </c>
    </row>
    <row r="186" spans="1:16">
      <c r="A186" s="2" t="s">
        <v>322</v>
      </c>
      <c r="B186" s="6" t="s">
        <v>31</v>
      </c>
      <c r="C186" s="7">
        <v>45261</v>
      </c>
      <c r="D186" s="7" t="s">
        <v>80</v>
      </c>
      <c r="E186" s="4" t="s">
        <v>111</v>
      </c>
      <c r="F186" s="4" t="s">
        <v>117</v>
      </c>
      <c r="G186" s="8">
        <v>9190</v>
      </c>
      <c r="H186" s="8" t="s">
        <v>138</v>
      </c>
      <c r="I186" s="3">
        <f>IF($H186="A VISTA", C186 + CADASTROS!$B$3, IF($H186="1+1", C186 + CADASTROS!$B$4, IF(H186="1+2", C186 + CADASTROS!$B$5, IF(H186="1+3", C186 + CADASTROS!$B$6, ""))))</f>
        <v>45262</v>
      </c>
      <c r="J186" s="8">
        <f t="shared" si="8"/>
        <v>4595</v>
      </c>
      <c r="K186" s="3">
        <f>IF($L186&lt;&gt;"", IF($H186="A VISTA", "", IF($H186="1+1", $C186 + CADASTROS!$C$4, IF($H186="1+2", $C186 + CADASTROS!$C$5, IF($H186="1+3", $C186 + CADASTROS!$E$4, "")))), "")</f>
        <v>45291</v>
      </c>
      <c r="L186" s="8">
        <f t="shared" si="9"/>
        <v>4595</v>
      </c>
      <c r="M186" s="3" t="str">
        <f>IF($N186&lt;&gt;"", IF($H186="A VISTA", "", IF($H186="1+1", $C186 + CADASTROS!$C$4, IF($H186="1+2", $C186 + CADASTROS!$D$5, IF($H186="1+3", $C186 + CADASTROS!$D$6, "")))), "")</f>
        <v/>
      </c>
      <c r="N186" s="8" t="str">
        <f t="shared" si="10"/>
        <v/>
      </c>
      <c r="O186" s="3" t="str">
        <f>IF($P186&lt;&gt;"", IF($H186="A VISTA", "", IF($H186="1+1", $C186 + CADASTROS!$C$4, IF($H186="1+2", $C186 + CADASTROS!$C$5, IF($H186="1+3", $C186 + CADASTROS!$E$6, "")))), "")</f>
        <v/>
      </c>
      <c r="P186" s="8" t="str">
        <f t="shared" si="11"/>
        <v/>
      </c>
    </row>
    <row r="187" spans="1:16">
      <c r="A187" s="2" t="s">
        <v>323</v>
      </c>
      <c r="B187" s="6" t="s">
        <v>26</v>
      </c>
      <c r="C187" s="7">
        <v>45226</v>
      </c>
      <c r="D187" s="7" t="s">
        <v>75</v>
      </c>
      <c r="E187" s="4" t="s">
        <v>112</v>
      </c>
      <c r="F187" s="4" t="s">
        <v>123</v>
      </c>
      <c r="G187" s="8">
        <v>6129</v>
      </c>
      <c r="H187" s="8" t="s">
        <v>126</v>
      </c>
      <c r="I187" s="3">
        <f>IF($H187="A VISTA", C187 + CADASTROS!$B$3, IF($H187="1+1", C187 + CADASTROS!$B$4, IF(H187="1+2", C187 + CADASTROS!$B$5, IF(H187="1+3", C187 + CADASTROS!$B$6, ""))))</f>
        <v>45227</v>
      </c>
      <c r="J187" s="8">
        <f t="shared" si="8"/>
        <v>6129</v>
      </c>
      <c r="K187" s="3" t="str">
        <f>IF($L187&lt;&gt;"", IF($H187="A VISTA", "", IF($H187="1+1", $C187 + CADASTROS!$C$4, IF($H187="1+2", $C187 + CADASTROS!$C$5, IF($H187="1+3", $C187 + CADASTROS!$E$4, "")))), "")</f>
        <v/>
      </c>
      <c r="L187" s="8" t="str">
        <f t="shared" si="9"/>
        <v/>
      </c>
      <c r="M187" s="3" t="str">
        <f>IF($N187&lt;&gt;"", IF($H187="A VISTA", "", IF($H187="1+1", $C187 + CADASTROS!$C$4, IF($H187="1+2", $C187 + CADASTROS!$D$5, IF($H187="1+3", $C187 + CADASTROS!$D$6, "")))), "")</f>
        <v/>
      </c>
      <c r="N187" s="8" t="str">
        <f t="shared" si="10"/>
        <v/>
      </c>
      <c r="O187" s="3" t="str">
        <f>IF($P187&lt;&gt;"", IF($H187="A VISTA", "", IF($H187="1+1", $C187 + CADASTROS!$C$4, IF($H187="1+2", $C187 + CADASTROS!$C$5, IF($H187="1+3", $C187 + CADASTROS!$E$6, "")))), "")</f>
        <v/>
      </c>
      <c r="P187" s="8" t="str">
        <f t="shared" si="11"/>
        <v/>
      </c>
    </row>
    <row r="188" spans="1:16">
      <c r="A188" s="2" t="s">
        <v>324</v>
      </c>
      <c r="B188" s="6" t="s">
        <v>25</v>
      </c>
      <c r="C188" s="7">
        <v>45172</v>
      </c>
      <c r="D188" s="7" t="s">
        <v>74</v>
      </c>
      <c r="E188" s="4" t="s">
        <v>111</v>
      </c>
      <c r="F188" s="4" t="s">
        <v>120</v>
      </c>
      <c r="G188" s="8">
        <v>4180</v>
      </c>
      <c r="H188" s="8" t="s">
        <v>137</v>
      </c>
      <c r="I188" s="3">
        <f>IF($H188="A VISTA", C188 + CADASTROS!$B$3, IF($H188="1+1", C188 + CADASTROS!$B$4, IF(H188="1+2", C188 + CADASTROS!$B$5, IF(H188="1+3", C188 + CADASTROS!$B$6, ""))))</f>
        <v>45173</v>
      </c>
      <c r="J188" s="8">
        <f t="shared" si="8"/>
        <v>1393.3333333333333</v>
      </c>
      <c r="K188" s="3">
        <f>IF($L188&lt;&gt;"", IF($H188="A VISTA", "", IF($H188="1+1", $C188 + CADASTROS!$C$4, IF($H188="1+2", $C188 + CADASTROS!$C$5, IF($H188="1+3", $C188 + CADASTROS!$E$4, "")))), "")</f>
        <v>45202</v>
      </c>
      <c r="L188" s="8">
        <f t="shared" si="9"/>
        <v>1393.3333333333333</v>
      </c>
      <c r="M188" s="3">
        <f>IF($N188&lt;&gt;"", IF($H188="A VISTA", "", IF($H188="1+1", $C188 + CADASTROS!$C$4, IF($H188="1+2", $C188 + CADASTROS!$D$5, IF($H188="1+3", $C188 + CADASTROS!$D$6, "")))), "")</f>
        <v>45217</v>
      </c>
      <c r="N188" s="8">
        <f t="shared" si="10"/>
        <v>1393.3333333333337</v>
      </c>
      <c r="O188" s="3" t="str">
        <f>IF($P188&lt;&gt;"", IF($H188="A VISTA", "", IF($H188="1+1", $C188 + CADASTROS!$C$4, IF($H188="1+2", $C188 + CADASTROS!$C$5, IF($H188="1+3", $C188 + CADASTROS!$E$6, "")))), "")</f>
        <v/>
      </c>
      <c r="P188" s="8" t="str">
        <f t="shared" si="11"/>
        <v/>
      </c>
    </row>
    <row r="189" spans="1:16">
      <c r="A189" s="2" t="s">
        <v>325</v>
      </c>
      <c r="B189" s="6" t="s">
        <v>53</v>
      </c>
      <c r="C189" s="7">
        <v>45278</v>
      </c>
      <c r="D189" s="7" t="s">
        <v>102</v>
      </c>
      <c r="E189" s="4" t="s">
        <v>111</v>
      </c>
      <c r="F189" s="4" t="s">
        <v>117</v>
      </c>
      <c r="G189" s="8">
        <v>9950</v>
      </c>
      <c r="H189" s="8" t="s">
        <v>126</v>
      </c>
      <c r="I189" s="3">
        <f>IF($H189="A VISTA", C189 + CADASTROS!$B$3, IF($H189="1+1", C189 + CADASTROS!$B$4, IF(H189="1+2", C189 + CADASTROS!$B$5, IF(H189="1+3", C189 + CADASTROS!$B$6, ""))))</f>
        <v>45279</v>
      </c>
      <c r="J189" s="8">
        <f t="shared" si="8"/>
        <v>9950</v>
      </c>
      <c r="K189" s="3" t="str">
        <f>IF($L189&lt;&gt;"", IF($H189="A VISTA", "", IF($H189="1+1", $C189 + CADASTROS!$C$4, IF($H189="1+2", $C189 + CADASTROS!$C$5, IF($H189="1+3", $C189 + CADASTROS!$E$4, "")))), "")</f>
        <v/>
      </c>
      <c r="L189" s="8" t="str">
        <f t="shared" si="9"/>
        <v/>
      </c>
      <c r="M189" s="3" t="str">
        <f>IF($N189&lt;&gt;"", IF($H189="A VISTA", "", IF($H189="1+1", $C189 + CADASTROS!$C$4, IF($H189="1+2", $C189 + CADASTROS!$D$5, IF($H189="1+3", $C189 + CADASTROS!$D$6, "")))), "")</f>
        <v/>
      </c>
      <c r="N189" s="8" t="str">
        <f t="shared" si="10"/>
        <v/>
      </c>
      <c r="O189" s="3" t="str">
        <f>IF($P189&lt;&gt;"", IF($H189="A VISTA", "", IF($H189="1+1", $C189 + CADASTROS!$C$4, IF($H189="1+2", $C189 + CADASTROS!$C$5, IF($H189="1+3", $C189 + CADASTROS!$E$6, "")))), "")</f>
        <v/>
      </c>
      <c r="P189" s="8" t="str">
        <f t="shared" si="11"/>
        <v/>
      </c>
    </row>
    <row r="190" spans="1:16">
      <c r="A190" s="2" t="s">
        <v>326</v>
      </c>
      <c r="B190" s="6" t="s">
        <v>28</v>
      </c>
      <c r="C190" s="7">
        <v>45366</v>
      </c>
      <c r="D190" s="7" t="s">
        <v>77</v>
      </c>
      <c r="E190" s="4" t="s">
        <v>110</v>
      </c>
      <c r="F190" s="4" t="s">
        <v>114</v>
      </c>
      <c r="G190" s="8">
        <v>5802</v>
      </c>
      <c r="H190" s="8" t="s">
        <v>126</v>
      </c>
      <c r="I190" s="3">
        <f>IF($H190="A VISTA", C190 + CADASTROS!$B$3, IF($H190="1+1", C190 + CADASTROS!$B$4, IF(H190="1+2", C190 + CADASTROS!$B$5, IF(H190="1+3", C190 + CADASTROS!$B$6, ""))))</f>
        <v>45367</v>
      </c>
      <c r="J190" s="8">
        <f t="shared" si="8"/>
        <v>5802</v>
      </c>
      <c r="K190" s="3" t="str">
        <f>IF($L190&lt;&gt;"", IF($H190="A VISTA", "", IF($H190="1+1", $C190 + CADASTROS!$C$4, IF($H190="1+2", $C190 + CADASTROS!$C$5, IF($H190="1+3", $C190 + CADASTROS!$E$4, "")))), "")</f>
        <v/>
      </c>
      <c r="L190" s="8" t="str">
        <f t="shared" si="9"/>
        <v/>
      </c>
      <c r="M190" s="3" t="str">
        <f>IF($N190&lt;&gt;"", IF($H190="A VISTA", "", IF($H190="1+1", $C190 + CADASTROS!$C$4, IF($H190="1+2", $C190 + CADASTROS!$D$5, IF($H190="1+3", $C190 + CADASTROS!$D$6, "")))), "")</f>
        <v/>
      </c>
      <c r="N190" s="8" t="str">
        <f t="shared" si="10"/>
        <v/>
      </c>
      <c r="O190" s="3" t="str">
        <f>IF($P190&lt;&gt;"", IF($H190="A VISTA", "", IF($H190="1+1", $C190 + CADASTROS!$C$4, IF($H190="1+2", $C190 + CADASTROS!$C$5, IF($H190="1+3", $C190 + CADASTROS!$E$6, "")))), "")</f>
        <v/>
      </c>
      <c r="P190" s="8" t="str">
        <f t="shared" si="11"/>
        <v/>
      </c>
    </row>
    <row r="191" spans="1:16">
      <c r="A191" s="2" t="s">
        <v>327</v>
      </c>
      <c r="B191" s="6" t="s">
        <v>47</v>
      </c>
      <c r="C191" s="7">
        <v>45370</v>
      </c>
      <c r="D191" s="7" t="s">
        <v>96</v>
      </c>
      <c r="E191" s="4" t="s">
        <v>111</v>
      </c>
      <c r="F191" s="4" t="s">
        <v>120</v>
      </c>
      <c r="G191" s="8">
        <v>9484</v>
      </c>
      <c r="H191" s="8" t="s">
        <v>126</v>
      </c>
      <c r="I191" s="3">
        <f>IF($H191="A VISTA", C191 + CADASTROS!$B$3, IF($H191="1+1", C191 + CADASTROS!$B$4, IF(H191="1+2", C191 + CADASTROS!$B$5, IF(H191="1+3", C191 + CADASTROS!$B$6, ""))))</f>
        <v>45371</v>
      </c>
      <c r="J191" s="8">
        <f t="shared" si="8"/>
        <v>9484</v>
      </c>
      <c r="K191" s="3" t="str">
        <f>IF($L191&lt;&gt;"", IF($H191="A VISTA", "", IF($H191="1+1", $C191 + CADASTROS!$C$4, IF($H191="1+2", $C191 + CADASTROS!$C$5, IF($H191="1+3", $C191 + CADASTROS!$E$4, "")))), "")</f>
        <v/>
      </c>
      <c r="L191" s="8" t="str">
        <f t="shared" si="9"/>
        <v/>
      </c>
      <c r="M191" s="3" t="str">
        <f>IF($N191&lt;&gt;"", IF($H191="A VISTA", "", IF($H191="1+1", $C191 + CADASTROS!$C$4, IF($H191="1+2", $C191 + CADASTROS!$D$5, IF($H191="1+3", $C191 + CADASTROS!$D$6, "")))), "")</f>
        <v/>
      </c>
      <c r="N191" s="8" t="str">
        <f t="shared" si="10"/>
        <v/>
      </c>
      <c r="O191" s="3" t="str">
        <f>IF($P191&lt;&gt;"", IF($H191="A VISTA", "", IF($H191="1+1", $C191 + CADASTROS!$C$4, IF($H191="1+2", $C191 + CADASTROS!$C$5, IF($H191="1+3", $C191 + CADASTROS!$E$6, "")))), "")</f>
        <v/>
      </c>
      <c r="P191" s="8" t="str">
        <f t="shared" si="11"/>
        <v/>
      </c>
    </row>
    <row r="192" spans="1:16">
      <c r="A192" s="2" t="s">
        <v>328</v>
      </c>
      <c r="B192" s="6" t="s">
        <v>49</v>
      </c>
      <c r="C192" s="7">
        <v>45410</v>
      </c>
      <c r="D192" s="7" t="s">
        <v>98</v>
      </c>
      <c r="E192" s="4" t="s">
        <v>110</v>
      </c>
      <c r="F192" s="4" t="s">
        <v>125</v>
      </c>
      <c r="G192" s="8">
        <v>2504</v>
      </c>
      <c r="H192" s="8" t="s">
        <v>136</v>
      </c>
      <c r="I192" s="3">
        <f>IF($H192="A VISTA", C192 + CADASTROS!$B$3, IF($H192="1+1", C192 + CADASTROS!$B$4, IF(H192="1+2", C192 + CADASTROS!$B$5, IF(H192="1+3", C192 + CADASTROS!$B$6, ""))))</f>
        <v>45411</v>
      </c>
      <c r="J192" s="8">
        <f t="shared" si="8"/>
        <v>626</v>
      </c>
      <c r="K192" s="3">
        <f>IF($L192&lt;&gt;"", IF($H192="A VISTA", "", IF($H192="1+1", $C192 + CADASTROS!$C$4, IF($H192="1+2", $C192 + CADASTROS!$C$5, IF($H192="1+3", $C192 + CADASTROS!$E$4, "")))), "")</f>
        <v>45410</v>
      </c>
      <c r="L192" s="8">
        <f t="shared" si="9"/>
        <v>626</v>
      </c>
      <c r="M192" s="3">
        <f>IF($N192&lt;&gt;"", IF($H192="A VISTA", "", IF($H192="1+1", $C192 + CADASTROS!$C$4, IF($H192="1+2", $C192 + CADASTROS!$D$5, IF($H192="1+3", $C192 + CADASTROS!$D$6, "")))), "")</f>
        <v>45455</v>
      </c>
      <c r="N192" s="8">
        <f t="shared" si="10"/>
        <v>626</v>
      </c>
      <c r="O192" s="3">
        <f>IF($P192&lt;&gt;"", IF($H192="A VISTA", "", IF($H192="1+1", $C192 + CADASTROS!$C$4, IF($H192="1+2", $C192 + CADASTROS!$C$5, IF($H192="1+3", $C192 + CADASTROS!$E$6, "")))), "")</f>
        <v>45470</v>
      </c>
      <c r="P192" s="8">
        <f t="shared" si="11"/>
        <v>626</v>
      </c>
    </row>
    <row r="193" spans="1:16">
      <c r="A193" s="2" t="s">
        <v>329</v>
      </c>
      <c r="B193" s="6" t="s">
        <v>44</v>
      </c>
      <c r="C193" s="7">
        <v>45187</v>
      </c>
      <c r="D193" s="7" t="s">
        <v>93</v>
      </c>
      <c r="E193" s="4" t="s">
        <v>111</v>
      </c>
      <c r="F193" s="4" t="s">
        <v>119</v>
      </c>
      <c r="G193" s="8">
        <v>8677</v>
      </c>
      <c r="H193" s="8" t="s">
        <v>137</v>
      </c>
      <c r="I193" s="3">
        <f>IF($H193="A VISTA", C193 + CADASTROS!$B$3, IF($H193="1+1", C193 + CADASTROS!$B$4, IF(H193="1+2", C193 + CADASTROS!$B$5, IF(H193="1+3", C193 + CADASTROS!$B$6, ""))))</f>
        <v>45188</v>
      </c>
      <c r="J193" s="8">
        <f t="shared" si="8"/>
        <v>2892.3333333333335</v>
      </c>
      <c r="K193" s="3">
        <f>IF($L193&lt;&gt;"", IF($H193="A VISTA", "", IF($H193="1+1", $C193 + CADASTROS!$C$4, IF($H193="1+2", $C193 + CADASTROS!$C$5, IF($H193="1+3", $C193 + CADASTROS!$E$4, "")))), "")</f>
        <v>45217</v>
      </c>
      <c r="L193" s="8">
        <f t="shared" si="9"/>
        <v>2892.3333333333335</v>
      </c>
      <c r="M193" s="3">
        <f>IF($N193&lt;&gt;"", IF($H193="A VISTA", "", IF($H193="1+1", $C193 + CADASTROS!$C$4, IF($H193="1+2", $C193 + CADASTROS!$D$5, IF($H193="1+3", $C193 + CADASTROS!$D$6, "")))), "")</f>
        <v>45232</v>
      </c>
      <c r="N193" s="8">
        <f t="shared" si="10"/>
        <v>2892.3333333333326</v>
      </c>
      <c r="O193" s="3" t="str">
        <f>IF($P193&lt;&gt;"", IF($H193="A VISTA", "", IF($H193="1+1", $C193 + CADASTROS!$C$4, IF($H193="1+2", $C193 + CADASTROS!$C$5, IF($H193="1+3", $C193 + CADASTROS!$E$6, "")))), "")</f>
        <v/>
      </c>
      <c r="P193" s="8" t="str">
        <f t="shared" si="11"/>
        <v/>
      </c>
    </row>
    <row r="194" spans="1:16">
      <c r="A194" s="2" t="s">
        <v>330</v>
      </c>
      <c r="B194" s="6" t="s">
        <v>41</v>
      </c>
      <c r="C194" s="7">
        <v>45318</v>
      </c>
      <c r="D194" s="7" t="s">
        <v>90</v>
      </c>
      <c r="E194" s="4" t="s">
        <v>111</v>
      </c>
      <c r="F194" s="4" t="s">
        <v>118</v>
      </c>
      <c r="G194" s="8">
        <v>1893</v>
      </c>
      <c r="H194" s="8" t="s">
        <v>126</v>
      </c>
      <c r="I194" s="3">
        <f>IF($H194="A VISTA", C194 + CADASTROS!$B$3, IF($H194="1+1", C194 + CADASTROS!$B$4, IF(H194="1+2", C194 + CADASTROS!$B$5, IF(H194="1+3", C194 + CADASTROS!$B$6, ""))))</f>
        <v>45319</v>
      </c>
      <c r="J194" s="8">
        <f t="shared" si="8"/>
        <v>1893</v>
      </c>
      <c r="K194" s="3" t="str">
        <f>IF($L194&lt;&gt;"", IF($H194="A VISTA", "", IF($H194="1+1", $C194 + CADASTROS!$C$4, IF($H194="1+2", $C194 + CADASTROS!$C$5, IF($H194="1+3", $C194 + CADASTROS!$E$4, "")))), "")</f>
        <v/>
      </c>
      <c r="L194" s="8" t="str">
        <f t="shared" si="9"/>
        <v/>
      </c>
      <c r="M194" s="3" t="str">
        <f>IF($N194&lt;&gt;"", IF($H194="A VISTA", "", IF($H194="1+1", $C194 + CADASTROS!$C$4, IF($H194="1+2", $C194 + CADASTROS!$D$5, IF($H194="1+3", $C194 + CADASTROS!$D$6, "")))), "")</f>
        <v/>
      </c>
      <c r="N194" s="8" t="str">
        <f t="shared" si="10"/>
        <v/>
      </c>
      <c r="O194" s="3" t="str">
        <f>IF($P194&lt;&gt;"", IF($H194="A VISTA", "", IF($H194="1+1", $C194 + CADASTROS!$C$4, IF($H194="1+2", $C194 + CADASTROS!$C$5, IF($H194="1+3", $C194 + CADASTROS!$E$6, "")))), "")</f>
        <v/>
      </c>
      <c r="P194" s="8" t="str">
        <f t="shared" si="11"/>
        <v/>
      </c>
    </row>
    <row r="195" spans="1:16">
      <c r="A195" s="2" t="s">
        <v>331</v>
      </c>
      <c r="B195" s="6" t="s">
        <v>18</v>
      </c>
      <c r="C195" s="7">
        <v>45417</v>
      </c>
      <c r="D195" s="7" t="s">
        <v>67</v>
      </c>
      <c r="E195" s="4" t="s">
        <v>111</v>
      </c>
      <c r="F195" s="4" t="s">
        <v>121</v>
      </c>
      <c r="G195" s="8">
        <v>8676</v>
      </c>
      <c r="H195" s="8" t="s">
        <v>126</v>
      </c>
      <c r="I195" s="3">
        <f>IF($H195="A VISTA", C195 + CADASTROS!$B$3, IF($H195="1+1", C195 + CADASTROS!$B$4, IF(H195="1+2", C195 + CADASTROS!$B$5, IF(H195="1+3", C195 + CADASTROS!$B$6, ""))))</f>
        <v>45418</v>
      </c>
      <c r="J195" s="8">
        <f t="shared" ref="J195:J258" si="12">IF($H195="A VISTA", $G195, IF($H195="1+1", $G195/2, IF($H195="1+2", $G195/3, IF($H195="1+3", $G195/4, ""))))</f>
        <v>8676</v>
      </c>
      <c r="K195" s="3" t="str">
        <f>IF($L195&lt;&gt;"", IF($H195="A VISTA", "", IF($H195="1+1", $C195 + CADASTROS!$C$4, IF($H195="1+2", $C195 + CADASTROS!$C$5, IF($H195="1+3", $C195 + CADASTROS!$E$4, "")))), "")</f>
        <v/>
      </c>
      <c r="L195" s="8" t="str">
        <f t="shared" ref="L195:L258" si="13">IF($H195="A VISTA", "", IF($H195="1+1", $G195-$J195, IF($H195="1+2", $G195/3, IF($H195="1+3", ($G195-$J195)/3, ""))))</f>
        <v/>
      </c>
      <c r="M195" s="3" t="str">
        <f>IF($N195&lt;&gt;"", IF($H195="A VISTA", "", IF($H195="1+1", $C195 + CADASTROS!$C$4, IF($H195="1+2", $C195 + CADASTROS!$D$5, IF($H195="1+3", $C195 + CADASTROS!$D$6, "")))), "")</f>
        <v/>
      </c>
      <c r="N195" s="8" t="str">
        <f t="shared" ref="N195:N258" si="14">IF($H195="A VISTA","",IF($H195="1+2",$G195-$J195-$L195,IF($H195="1+3",($G195-$J195-$L195)/2,"")))</f>
        <v/>
      </c>
      <c r="O195" s="3" t="str">
        <f>IF($P195&lt;&gt;"", IF($H195="A VISTA", "", IF($H195="1+1", $C195 + CADASTROS!$C$4, IF($H195="1+2", $C195 + CADASTROS!$C$5, IF($H195="1+3", $C195 + CADASTROS!$E$6, "")))), "")</f>
        <v/>
      </c>
      <c r="P195" s="8" t="str">
        <f t="shared" ref="P195:P258" si="15">IF($H195="A VISTA", "", IF($H195="1+3", $G195-$J195-$L195-$N195, ""))</f>
        <v/>
      </c>
    </row>
    <row r="196" spans="1:16">
      <c r="A196" s="2" t="s">
        <v>332</v>
      </c>
      <c r="B196" s="6" t="s">
        <v>12</v>
      </c>
      <c r="C196" s="7">
        <v>45478</v>
      </c>
      <c r="D196" s="7" t="s">
        <v>62</v>
      </c>
      <c r="E196" s="4" t="s">
        <v>112</v>
      </c>
      <c r="F196" s="4" t="s">
        <v>122</v>
      </c>
      <c r="G196" s="8">
        <v>5431</v>
      </c>
      <c r="H196" s="8" t="s">
        <v>126</v>
      </c>
      <c r="I196" s="3">
        <f>IF($H196="A VISTA", C196 + CADASTROS!$B$3, IF($H196="1+1", C196 + CADASTROS!$B$4, IF(H196="1+2", C196 + CADASTROS!$B$5, IF(H196="1+3", C196 + CADASTROS!$B$6, ""))))</f>
        <v>45479</v>
      </c>
      <c r="J196" s="8">
        <f t="shared" si="12"/>
        <v>5431</v>
      </c>
      <c r="K196" s="3" t="str">
        <f>IF($L196&lt;&gt;"", IF($H196="A VISTA", "", IF($H196="1+1", $C196 + CADASTROS!$C$4, IF($H196="1+2", $C196 + CADASTROS!$C$5, IF($H196="1+3", $C196 + CADASTROS!$E$4, "")))), "")</f>
        <v/>
      </c>
      <c r="L196" s="8" t="str">
        <f t="shared" si="13"/>
        <v/>
      </c>
      <c r="M196" s="3" t="str">
        <f>IF($N196&lt;&gt;"", IF($H196="A VISTA", "", IF($H196="1+1", $C196 + CADASTROS!$C$4, IF($H196="1+2", $C196 + CADASTROS!$D$5, IF($H196="1+3", $C196 + CADASTROS!$D$6, "")))), "")</f>
        <v/>
      </c>
      <c r="N196" s="8" t="str">
        <f t="shared" si="14"/>
        <v/>
      </c>
      <c r="O196" s="3" t="str">
        <f>IF($P196&lt;&gt;"", IF($H196="A VISTA", "", IF($H196="1+1", $C196 + CADASTROS!$C$4, IF($H196="1+2", $C196 + CADASTROS!$C$5, IF($H196="1+3", $C196 + CADASTROS!$E$6, "")))), "")</f>
        <v/>
      </c>
      <c r="P196" s="8" t="str">
        <f t="shared" si="15"/>
        <v/>
      </c>
    </row>
    <row r="197" spans="1:16">
      <c r="A197" s="2" t="s">
        <v>333</v>
      </c>
      <c r="B197" s="6" t="s">
        <v>39</v>
      </c>
      <c r="C197" s="7">
        <v>45145</v>
      </c>
      <c r="D197" s="7" t="s">
        <v>88</v>
      </c>
      <c r="E197" s="4" t="s">
        <v>110</v>
      </c>
      <c r="F197" s="4" t="s">
        <v>114</v>
      </c>
      <c r="G197" s="8">
        <v>1169</v>
      </c>
      <c r="H197" s="8" t="s">
        <v>126</v>
      </c>
      <c r="I197" s="3">
        <f>IF($H197="A VISTA", C197 + CADASTROS!$B$3, IF($H197="1+1", C197 + CADASTROS!$B$4, IF(H197="1+2", C197 + CADASTROS!$B$5, IF(H197="1+3", C197 + CADASTROS!$B$6, ""))))</f>
        <v>45146</v>
      </c>
      <c r="J197" s="8">
        <f t="shared" si="12"/>
        <v>1169</v>
      </c>
      <c r="K197" s="3" t="str">
        <f>IF($L197&lt;&gt;"", IF($H197="A VISTA", "", IF($H197="1+1", $C197 + CADASTROS!$C$4, IF($H197="1+2", $C197 + CADASTROS!$C$5, IF($H197="1+3", $C197 + CADASTROS!$E$4, "")))), "")</f>
        <v/>
      </c>
      <c r="L197" s="8" t="str">
        <f t="shared" si="13"/>
        <v/>
      </c>
      <c r="M197" s="3" t="str">
        <f>IF($N197&lt;&gt;"", IF($H197="A VISTA", "", IF($H197="1+1", $C197 + CADASTROS!$C$4, IF($H197="1+2", $C197 + CADASTROS!$D$5, IF($H197="1+3", $C197 + CADASTROS!$D$6, "")))), "")</f>
        <v/>
      </c>
      <c r="N197" s="8" t="str">
        <f t="shared" si="14"/>
        <v/>
      </c>
      <c r="O197" s="3" t="str">
        <f>IF($P197&lt;&gt;"", IF($H197="A VISTA", "", IF($H197="1+1", $C197 + CADASTROS!$C$4, IF($H197="1+2", $C197 + CADASTROS!$C$5, IF($H197="1+3", $C197 + CADASTROS!$E$6, "")))), "")</f>
        <v/>
      </c>
      <c r="P197" s="8" t="str">
        <f t="shared" si="15"/>
        <v/>
      </c>
    </row>
    <row r="198" spans="1:16">
      <c r="A198" s="2" t="s">
        <v>334</v>
      </c>
      <c r="B198" s="6" t="s">
        <v>53</v>
      </c>
      <c r="C198" s="7">
        <v>45477</v>
      </c>
      <c r="D198" s="7" t="s">
        <v>102</v>
      </c>
      <c r="E198" s="4" t="s">
        <v>111</v>
      </c>
      <c r="F198" s="4" t="s">
        <v>117</v>
      </c>
      <c r="G198" s="8">
        <v>7350</v>
      </c>
      <c r="H198" s="8" t="s">
        <v>136</v>
      </c>
      <c r="I198" s="3">
        <f>IF($H198="A VISTA", C198 + CADASTROS!$B$3, IF($H198="1+1", C198 + CADASTROS!$B$4, IF(H198="1+2", C198 + CADASTROS!$B$5, IF(H198="1+3", C198 + CADASTROS!$B$6, ""))))</f>
        <v>45478</v>
      </c>
      <c r="J198" s="8">
        <f t="shared" si="12"/>
        <v>1837.5</v>
      </c>
      <c r="K198" s="3">
        <f>IF($L198&lt;&gt;"", IF($H198="A VISTA", "", IF($H198="1+1", $C198 + CADASTROS!$C$4, IF($H198="1+2", $C198 + CADASTROS!$C$5, IF($H198="1+3", $C198 + CADASTROS!$E$4, "")))), "")</f>
        <v>45477</v>
      </c>
      <c r="L198" s="8">
        <f t="shared" si="13"/>
        <v>1837.5</v>
      </c>
      <c r="M198" s="3">
        <f>IF($N198&lt;&gt;"", IF($H198="A VISTA", "", IF($H198="1+1", $C198 + CADASTROS!$C$4, IF($H198="1+2", $C198 + CADASTROS!$D$5, IF($H198="1+3", $C198 + CADASTROS!$D$6, "")))), "")</f>
        <v>45522</v>
      </c>
      <c r="N198" s="8">
        <f t="shared" si="14"/>
        <v>1837.5</v>
      </c>
      <c r="O198" s="3">
        <f>IF($P198&lt;&gt;"", IF($H198="A VISTA", "", IF($H198="1+1", $C198 + CADASTROS!$C$4, IF($H198="1+2", $C198 + CADASTROS!$C$5, IF($H198="1+3", $C198 + CADASTROS!$E$6, "")))), "")</f>
        <v>45537</v>
      </c>
      <c r="P198" s="8">
        <f t="shared" si="15"/>
        <v>1837.5</v>
      </c>
    </row>
    <row r="199" spans="1:16">
      <c r="A199" s="2" t="s">
        <v>335</v>
      </c>
      <c r="B199" s="6" t="s">
        <v>34</v>
      </c>
      <c r="C199" s="7">
        <v>45342</v>
      </c>
      <c r="D199" s="7" t="s">
        <v>83</v>
      </c>
      <c r="E199" s="4" t="s">
        <v>110</v>
      </c>
      <c r="F199" s="4" t="s">
        <v>113</v>
      </c>
      <c r="G199" s="8">
        <v>2166</v>
      </c>
      <c r="H199" s="8" t="s">
        <v>137</v>
      </c>
      <c r="I199" s="3">
        <f>IF($H199="A VISTA", C199 + CADASTROS!$B$3, IF($H199="1+1", C199 + CADASTROS!$B$4, IF(H199="1+2", C199 + CADASTROS!$B$5, IF(H199="1+3", C199 + CADASTROS!$B$6, ""))))</f>
        <v>45343</v>
      </c>
      <c r="J199" s="8">
        <f t="shared" si="12"/>
        <v>722</v>
      </c>
      <c r="K199" s="3">
        <f>IF($L199&lt;&gt;"", IF($H199="A VISTA", "", IF($H199="1+1", $C199 + CADASTROS!$C$4, IF($H199="1+2", $C199 + CADASTROS!$C$5, IF($H199="1+3", $C199 + CADASTROS!$E$4, "")))), "")</f>
        <v>45372</v>
      </c>
      <c r="L199" s="8">
        <f t="shared" si="13"/>
        <v>722</v>
      </c>
      <c r="M199" s="3">
        <f>IF($N199&lt;&gt;"", IF($H199="A VISTA", "", IF($H199="1+1", $C199 + CADASTROS!$C$4, IF($H199="1+2", $C199 + CADASTROS!$D$5, IF($H199="1+3", $C199 + CADASTROS!$D$6, "")))), "")</f>
        <v>45387</v>
      </c>
      <c r="N199" s="8">
        <f t="shared" si="14"/>
        <v>722</v>
      </c>
      <c r="O199" s="3" t="str">
        <f>IF($P199&lt;&gt;"", IF($H199="A VISTA", "", IF($H199="1+1", $C199 + CADASTROS!$C$4, IF($H199="1+2", $C199 + CADASTROS!$C$5, IF($H199="1+3", $C199 + CADASTROS!$E$6, "")))), "")</f>
        <v/>
      </c>
      <c r="P199" s="8" t="str">
        <f t="shared" si="15"/>
        <v/>
      </c>
    </row>
    <row r="200" spans="1:16">
      <c r="A200" s="2" t="s">
        <v>336</v>
      </c>
      <c r="B200" s="6" t="s">
        <v>13</v>
      </c>
      <c r="C200" s="7">
        <v>45359</v>
      </c>
      <c r="D200" s="7" t="s">
        <v>63</v>
      </c>
      <c r="E200" s="4" t="s">
        <v>111</v>
      </c>
      <c r="F200" s="4" t="s">
        <v>120</v>
      </c>
      <c r="G200" s="8">
        <v>6253</v>
      </c>
      <c r="H200" s="8" t="s">
        <v>126</v>
      </c>
      <c r="I200" s="3">
        <f>IF($H200="A VISTA", C200 + CADASTROS!$B$3, IF($H200="1+1", C200 + CADASTROS!$B$4, IF(H200="1+2", C200 + CADASTROS!$B$5, IF(H200="1+3", C200 + CADASTROS!$B$6, ""))))</f>
        <v>45360</v>
      </c>
      <c r="J200" s="8">
        <f t="shared" si="12"/>
        <v>6253</v>
      </c>
      <c r="K200" s="3" t="str">
        <f>IF($L200&lt;&gt;"", IF($H200="A VISTA", "", IF($H200="1+1", $C200 + CADASTROS!$C$4, IF($H200="1+2", $C200 + CADASTROS!$C$5, IF($H200="1+3", $C200 + CADASTROS!$E$4, "")))), "")</f>
        <v/>
      </c>
      <c r="L200" s="8" t="str">
        <f t="shared" si="13"/>
        <v/>
      </c>
      <c r="M200" s="3" t="str">
        <f>IF($N200&lt;&gt;"", IF($H200="A VISTA", "", IF($H200="1+1", $C200 + CADASTROS!$C$4, IF($H200="1+2", $C200 + CADASTROS!$D$5, IF($H200="1+3", $C200 + CADASTROS!$D$6, "")))), "")</f>
        <v/>
      </c>
      <c r="N200" s="8" t="str">
        <f t="shared" si="14"/>
        <v/>
      </c>
      <c r="O200" s="3" t="str">
        <f>IF($P200&lt;&gt;"", IF($H200="A VISTA", "", IF($H200="1+1", $C200 + CADASTROS!$C$4, IF($H200="1+2", $C200 + CADASTROS!$C$5, IF($H200="1+3", $C200 + CADASTROS!$E$6, "")))), "")</f>
        <v/>
      </c>
      <c r="P200" s="8" t="str">
        <f t="shared" si="15"/>
        <v/>
      </c>
    </row>
    <row r="201" spans="1:16">
      <c r="A201" s="2" t="s">
        <v>337</v>
      </c>
      <c r="B201" s="6" t="s">
        <v>21</v>
      </c>
      <c r="C201" s="7">
        <v>45347</v>
      </c>
      <c r="D201" s="7" t="s">
        <v>70</v>
      </c>
      <c r="E201" s="4" t="s">
        <v>110</v>
      </c>
      <c r="F201" s="4" t="s">
        <v>124</v>
      </c>
      <c r="G201" s="8">
        <v>1990</v>
      </c>
      <c r="H201" s="8" t="s">
        <v>138</v>
      </c>
      <c r="I201" s="3">
        <f>IF($H201="A VISTA", C201 + CADASTROS!$B$3, IF($H201="1+1", C201 + CADASTROS!$B$4, IF(H201="1+2", C201 + CADASTROS!$B$5, IF(H201="1+3", C201 + CADASTROS!$B$6, ""))))</f>
        <v>45348</v>
      </c>
      <c r="J201" s="8">
        <f t="shared" si="12"/>
        <v>995</v>
      </c>
      <c r="K201" s="3">
        <f>IF($L201&lt;&gt;"", IF($H201="A VISTA", "", IF($H201="1+1", $C201 + CADASTROS!$C$4, IF($H201="1+2", $C201 + CADASTROS!$C$5, IF($H201="1+3", $C201 + CADASTROS!$E$4, "")))), "")</f>
        <v>45377</v>
      </c>
      <c r="L201" s="8">
        <f t="shared" si="13"/>
        <v>995</v>
      </c>
      <c r="M201" s="3" t="str">
        <f>IF($N201&lt;&gt;"", IF($H201="A VISTA", "", IF($H201="1+1", $C201 + CADASTROS!$C$4, IF($H201="1+2", $C201 + CADASTROS!$D$5, IF($H201="1+3", $C201 + CADASTROS!$D$6, "")))), "")</f>
        <v/>
      </c>
      <c r="N201" s="8" t="str">
        <f t="shared" si="14"/>
        <v/>
      </c>
      <c r="O201" s="3" t="str">
        <f>IF($P201&lt;&gt;"", IF($H201="A VISTA", "", IF($H201="1+1", $C201 + CADASTROS!$C$4, IF($H201="1+2", $C201 + CADASTROS!$C$5, IF($H201="1+3", $C201 + CADASTROS!$E$6, "")))), "")</f>
        <v/>
      </c>
      <c r="P201" s="8" t="str">
        <f t="shared" si="15"/>
        <v/>
      </c>
    </row>
    <row r="202" spans="1:16">
      <c r="A202" s="2" t="s">
        <v>338</v>
      </c>
      <c r="B202" s="6" t="s">
        <v>36</v>
      </c>
      <c r="C202" s="7">
        <v>45343</v>
      </c>
      <c r="D202" s="7" t="s">
        <v>85</v>
      </c>
      <c r="E202" s="4" t="s">
        <v>111</v>
      </c>
      <c r="F202" s="4" t="s">
        <v>120</v>
      </c>
      <c r="G202" s="8">
        <v>8804</v>
      </c>
      <c r="H202" s="8" t="s">
        <v>138</v>
      </c>
      <c r="I202" s="3">
        <f>IF($H202="A VISTA", C202 + CADASTROS!$B$3, IF($H202="1+1", C202 + CADASTROS!$B$4, IF(H202="1+2", C202 + CADASTROS!$B$5, IF(H202="1+3", C202 + CADASTROS!$B$6, ""))))</f>
        <v>45344</v>
      </c>
      <c r="J202" s="8">
        <f t="shared" si="12"/>
        <v>4402</v>
      </c>
      <c r="K202" s="3">
        <f>IF($L202&lt;&gt;"", IF($H202="A VISTA", "", IF($H202="1+1", $C202 + CADASTROS!$C$4, IF($H202="1+2", $C202 + CADASTROS!$C$5, IF($H202="1+3", $C202 + CADASTROS!$E$4, "")))), "")</f>
        <v>45373</v>
      </c>
      <c r="L202" s="8">
        <f t="shared" si="13"/>
        <v>4402</v>
      </c>
      <c r="M202" s="3" t="str">
        <f>IF($N202&lt;&gt;"", IF($H202="A VISTA", "", IF($H202="1+1", $C202 + CADASTROS!$C$4, IF($H202="1+2", $C202 + CADASTROS!$D$5, IF($H202="1+3", $C202 + CADASTROS!$D$6, "")))), "")</f>
        <v/>
      </c>
      <c r="N202" s="8" t="str">
        <f t="shared" si="14"/>
        <v/>
      </c>
      <c r="O202" s="3" t="str">
        <f>IF($P202&lt;&gt;"", IF($H202="A VISTA", "", IF($H202="1+1", $C202 + CADASTROS!$C$4, IF($H202="1+2", $C202 + CADASTROS!$C$5, IF($H202="1+3", $C202 + CADASTROS!$E$6, "")))), "")</f>
        <v/>
      </c>
      <c r="P202" s="8" t="str">
        <f t="shared" si="15"/>
        <v/>
      </c>
    </row>
    <row r="203" spans="1:16">
      <c r="A203" s="2" t="s">
        <v>339</v>
      </c>
      <c r="B203" s="6" t="s">
        <v>28</v>
      </c>
      <c r="C203" s="7">
        <v>45197</v>
      </c>
      <c r="D203" s="7" t="s">
        <v>77</v>
      </c>
      <c r="E203" s="4" t="s">
        <v>110</v>
      </c>
      <c r="F203" s="4" t="s">
        <v>114</v>
      </c>
      <c r="G203" s="8">
        <v>3706</v>
      </c>
      <c r="H203" s="8" t="s">
        <v>137</v>
      </c>
      <c r="I203" s="3">
        <f>IF($H203="A VISTA", C203 + CADASTROS!$B$3, IF($H203="1+1", C203 + CADASTROS!$B$4, IF(H203="1+2", C203 + CADASTROS!$B$5, IF(H203="1+3", C203 + CADASTROS!$B$6, ""))))</f>
        <v>45198</v>
      </c>
      <c r="J203" s="8">
        <f t="shared" si="12"/>
        <v>1235.3333333333333</v>
      </c>
      <c r="K203" s="3">
        <f>IF($L203&lt;&gt;"", IF($H203="A VISTA", "", IF($H203="1+1", $C203 + CADASTROS!$C$4, IF($H203="1+2", $C203 + CADASTROS!$C$5, IF($H203="1+3", $C203 + CADASTROS!$E$4, "")))), "")</f>
        <v>45227</v>
      </c>
      <c r="L203" s="8">
        <f t="shared" si="13"/>
        <v>1235.3333333333333</v>
      </c>
      <c r="M203" s="3">
        <f>IF($N203&lt;&gt;"", IF($H203="A VISTA", "", IF($H203="1+1", $C203 + CADASTROS!$C$4, IF($H203="1+2", $C203 + CADASTROS!$D$5, IF($H203="1+3", $C203 + CADASTROS!$D$6, "")))), "")</f>
        <v>45242</v>
      </c>
      <c r="N203" s="8">
        <f t="shared" si="14"/>
        <v>1235.3333333333337</v>
      </c>
      <c r="O203" s="3" t="str">
        <f>IF($P203&lt;&gt;"", IF($H203="A VISTA", "", IF($H203="1+1", $C203 + CADASTROS!$C$4, IF($H203="1+2", $C203 + CADASTROS!$C$5, IF($H203="1+3", $C203 + CADASTROS!$E$6, "")))), "")</f>
        <v/>
      </c>
      <c r="P203" s="8" t="str">
        <f t="shared" si="15"/>
        <v/>
      </c>
    </row>
    <row r="204" spans="1:16">
      <c r="A204" s="2" t="s">
        <v>340</v>
      </c>
      <c r="B204" s="6" t="s">
        <v>22</v>
      </c>
      <c r="C204" s="7">
        <v>45293</v>
      </c>
      <c r="D204" s="7" t="s">
        <v>71</v>
      </c>
      <c r="E204" s="4" t="s">
        <v>111</v>
      </c>
      <c r="F204" s="4" t="s">
        <v>119</v>
      </c>
      <c r="G204" s="8">
        <v>1276</v>
      </c>
      <c r="H204" s="8" t="s">
        <v>136</v>
      </c>
      <c r="I204" s="3">
        <f>IF($H204="A VISTA", C204 + CADASTROS!$B$3, IF($H204="1+1", C204 + CADASTROS!$B$4, IF(H204="1+2", C204 + CADASTROS!$B$5, IF(H204="1+3", C204 + CADASTROS!$B$6, ""))))</f>
        <v>45294</v>
      </c>
      <c r="J204" s="8">
        <f t="shared" si="12"/>
        <v>319</v>
      </c>
      <c r="K204" s="3">
        <f>IF($L204&lt;&gt;"", IF($H204="A VISTA", "", IF($H204="1+1", $C204 + CADASTROS!$C$4, IF($H204="1+2", $C204 + CADASTROS!$C$5, IF($H204="1+3", $C204 + CADASTROS!$E$4, "")))), "")</f>
        <v>45293</v>
      </c>
      <c r="L204" s="8">
        <f t="shared" si="13"/>
        <v>319</v>
      </c>
      <c r="M204" s="3">
        <f>IF($N204&lt;&gt;"", IF($H204="A VISTA", "", IF($H204="1+1", $C204 + CADASTROS!$C$4, IF($H204="1+2", $C204 + CADASTROS!$D$5, IF($H204="1+3", $C204 + CADASTROS!$D$6, "")))), "")</f>
        <v>45338</v>
      </c>
      <c r="N204" s="8">
        <f t="shared" si="14"/>
        <v>319</v>
      </c>
      <c r="O204" s="3">
        <f>IF($P204&lt;&gt;"", IF($H204="A VISTA", "", IF($H204="1+1", $C204 + CADASTROS!$C$4, IF($H204="1+2", $C204 + CADASTROS!$C$5, IF($H204="1+3", $C204 + CADASTROS!$E$6, "")))), "")</f>
        <v>45353</v>
      </c>
      <c r="P204" s="8">
        <f t="shared" si="15"/>
        <v>319</v>
      </c>
    </row>
    <row r="205" spans="1:16">
      <c r="A205" s="2" t="s">
        <v>341</v>
      </c>
      <c r="B205" s="6" t="s">
        <v>56</v>
      </c>
      <c r="C205" s="7">
        <v>45407</v>
      </c>
      <c r="D205" s="7" t="s">
        <v>105</v>
      </c>
      <c r="E205" s="4" t="s">
        <v>110</v>
      </c>
      <c r="F205" s="4" t="s">
        <v>113</v>
      </c>
      <c r="G205" s="8">
        <v>1849</v>
      </c>
      <c r="H205" s="8" t="s">
        <v>138</v>
      </c>
      <c r="I205" s="3">
        <f>IF($H205="A VISTA", C205 + CADASTROS!$B$3, IF($H205="1+1", C205 + CADASTROS!$B$4, IF(H205="1+2", C205 + CADASTROS!$B$5, IF(H205="1+3", C205 + CADASTROS!$B$6, ""))))</f>
        <v>45408</v>
      </c>
      <c r="J205" s="8">
        <f t="shared" si="12"/>
        <v>924.5</v>
      </c>
      <c r="K205" s="3">
        <f>IF($L205&lt;&gt;"", IF($H205="A VISTA", "", IF($H205="1+1", $C205 + CADASTROS!$C$4, IF($H205="1+2", $C205 + CADASTROS!$C$5, IF($H205="1+3", $C205 + CADASTROS!$E$4, "")))), "")</f>
        <v>45437</v>
      </c>
      <c r="L205" s="8">
        <f t="shared" si="13"/>
        <v>924.5</v>
      </c>
      <c r="M205" s="3" t="str">
        <f>IF($N205&lt;&gt;"", IF($H205="A VISTA", "", IF($H205="1+1", $C205 + CADASTROS!$C$4, IF($H205="1+2", $C205 + CADASTROS!$D$5, IF($H205="1+3", $C205 + CADASTROS!$D$6, "")))), "")</f>
        <v/>
      </c>
      <c r="N205" s="8" t="str">
        <f t="shared" si="14"/>
        <v/>
      </c>
      <c r="O205" s="3" t="str">
        <f>IF($P205&lt;&gt;"", IF($H205="A VISTA", "", IF($H205="1+1", $C205 + CADASTROS!$C$4, IF($H205="1+2", $C205 + CADASTROS!$C$5, IF($H205="1+3", $C205 + CADASTROS!$E$6, "")))), "")</f>
        <v/>
      </c>
      <c r="P205" s="8" t="str">
        <f t="shared" si="15"/>
        <v/>
      </c>
    </row>
    <row r="206" spans="1:16">
      <c r="A206" s="2" t="s">
        <v>342</v>
      </c>
      <c r="B206" s="6" t="s">
        <v>35</v>
      </c>
      <c r="C206" s="7">
        <v>45474</v>
      </c>
      <c r="D206" s="7" t="s">
        <v>84</v>
      </c>
      <c r="E206" s="4" t="s">
        <v>112</v>
      </c>
      <c r="F206" s="4" t="s">
        <v>122</v>
      </c>
      <c r="G206" s="8">
        <v>7586</v>
      </c>
      <c r="H206" s="8" t="s">
        <v>126</v>
      </c>
      <c r="I206" s="3">
        <f>IF($H206="A VISTA", C206 + CADASTROS!$B$3, IF($H206="1+1", C206 + CADASTROS!$B$4, IF(H206="1+2", C206 + CADASTROS!$B$5, IF(H206="1+3", C206 + CADASTROS!$B$6, ""))))</f>
        <v>45475</v>
      </c>
      <c r="J206" s="8">
        <f t="shared" si="12"/>
        <v>7586</v>
      </c>
      <c r="K206" s="3" t="str">
        <f>IF($L206&lt;&gt;"", IF($H206="A VISTA", "", IF($H206="1+1", $C206 + CADASTROS!$C$4, IF($H206="1+2", $C206 + CADASTROS!$C$5, IF($H206="1+3", $C206 + CADASTROS!$E$4, "")))), "")</f>
        <v/>
      </c>
      <c r="L206" s="8" t="str">
        <f t="shared" si="13"/>
        <v/>
      </c>
      <c r="M206" s="3" t="str">
        <f>IF($N206&lt;&gt;"", IF($H206="A VISTA", "", IF($H206="1+1", $C206 + CADASTROS!$C$4, IF($H206="1+2", $C206 + CADASTROS!$D$5, IF($H206="1+3", $C206 + CADASTROS!$D$6, "")))), "")</f>
        <v/>
      </c>
      <c r="N206" s="8" t="str">
        <f t="shared" si="14"/>
        <v/>
      </c>
      <c r="O206" s="3" t="str">
        <f>IF($P206&lt;&gt;"", IF($H206="A VISTA", "", IF($H206="1+1", $C206 + CADASTROS!$C$4, IF($H206="1+2", $C206 + CADASTROS!$C$5, IF($H206="1+3", $C206 + CADASTROS!$E$6, "")))), "")</f>
        <v/>
      </c>
      <c r="P206" s="8" t="str">
        <f t="shared" si="15"/>
        <v/>
      </c>
    </row>
    <row r="207" spans="1:16">
      <c r="A207" s="2" t="s">
        <v>343</v>
      </c>
      <c r="B207" s="6" t="s">
        <v>46</v>
      </c>
      <c r="C207" s="7">
        <v>45088</v>
      </c>
      <c r="D207" s="7" t="s">
        <v>95</v>
      </c>
      <c r="E207" s="4" t="s">
        <v>112</v>
      </c>
      <c r="F207" s="4" t="s">
        <v>122</v>
      </c>
      <c r="G207" s="8">
        <v>9322</v>
      </c>
      <c r="H207" s="8" t="s">
        <v>126</v>
      </c>
      <c r="I207" s="3">
        <f>IF($H207="A VISTA", C207 + CADASTROS!$B$3, IF($H207="1+1", C207 + CADASTROS!$B$4, IF(H207="1+2", C207 + CADASTROS!$B$5, IF(H207="1+3", C207 + CADASTROS!$B$6, ""))))</f>
        <v>45089</v>
      </c>
      <c r="J207" s="8">
        <f t="shared" si="12"/>
        <v>9322</v>
      </c>
      <c r="K207" s="3" t="str">
        <f>IF($L207&lt;&gt;"", IF($H207="A VISTA", "", IF($H207="1+1", $C207 + CADASTROS!$C$4, IF($H207="1+2", $C207 + CADASTROS!$C$5, IF($H207="1+3", $C207 + CADASTROS!$E$4, "")))), "")</f>
        <v/>
      </c>
      <c r="L207" s="8" t="str">
        <f t="shared" si="13"/>
        <v/>
      </c>
      <c r="M207" s="3" t="str">
        <f>IF($N207&lt;&gt;"", IF($H207="A VISTA", "", IF($H207="1+1", $C207 + CADASTROS!$C$4, IF($H207="1+2", $C207 + CADASTROS!$D$5, IF($H207="1+3", $C207 + CADASTROS!$D$6, "")))), "")</f>
        <v/>
      </c>
      <c r="N207" s="8" t="str">
        <f t="shared" si="14"/>
        <v/>
      </c>
      <c r="O207" s="3" t="str">
        <f>IF($P207&lt;&gt;"", IF($H207="A VISTA", "", IF($H207="1+1", $C207 + CADASTROS!$C$4, IF($H207="1+2", $C207 + CADASTROS!$C$5, IF($H207="1+3", $C207 + CADASTROS!$E$6, "")))), "")</f>
        <v/>
      </c>
      <c r="P207" s="8" t="str">
        <f t="shared" si="15"/>
        <v/>
      </c>
    </row>
    <row r="208" spans="1:16">
      <c r="A208" s="2" t="s">
        <v>344</v>
      </c>
      <c r="B208" s="6" t="s">
        <v>44</v>
      </c>
      <c r="C208" s="7">
        <v>45283</v>
      </c>
      <c r="D208" s="7" t="s">
        <v>93</v>
      </c>
      <c r="E208" s="4" t="s">
        <v>111</v>
      </c>
      <c r="F208" s="4" t="s">
        <v>119</v>
      </c>
      <c r="G208" s="8">
        <v>2547</v>
      </c>
      <c r="H208" s="8" t="s">
        <v>137</v>
      </c>
      <c r="I208" s="3">
        <f>IF($H208="A VISTA", C208 + CADASTROS!$B$3, IF($H208="1+1", C208 + CADASTROS!$B$4, IF(H208="1+2", C208 + CADASTROS!$B$5, IF(H208="1+3", C208 + CADASTROS!$B$6, ""))))</f>
        <v>45284</v>
      </c>
      <c r="J208" s="8">
        <f t="shared" si="12"/>
        <v>849</v>
      </c>
      <c r="K208" s="3">
        <f>IF($L208&lt;&gt;"", IF($H208="A VISTA", "", IF($H208="1+1", $C208 + CADASTROS!$C$4, IF($H208="1+2", $C208 + CADASTROS!$C$5, IF($H208="1+3", $C208 + CADASTROS!$E$4, "")))), "")</f>
        <v>45313</v>
      </c>
      <c r="L208" s="8">
        <f t="shared" si="13"/>
        <v>849</v>
      </c>
      <c r="M208" s="3">
        <f>IF($N208&lt;&gt;"", IF($H208="A VISTA", "", IF($H208="1+1", $C208 + CADASTROS!$C$4, IF($H208="1+2", $C208 + CADASTROS!$D$5, IF($H208="1+3", $C208 + CADASTROS!$D$6, "")))), "")</f>
        <v>45328</v>
      </c>
      <c r="N208" s="8">
        <f t="shared" si="14"/>
        <v>849</v>
      </c>
      <c r="O208" s="3" t="str">
        <f>IF($P208&lt;&gt;"", IF($H208="A VISTA", "", IF($H208="1+1", $C208 + CADASTROS!$C$4, IF($H208="1+2", $C208 + CADASTROS!$C$5, IF($H208="1+3", $C208 + CADASTROS!$E$6, "")))), "")</f>
        <v/>
      </c>
      <c r="P208" s="8" t="str">
        <f t="shared" si="15"/>
        <v/>
      </c>
    </row>
    <row r="209" spans="1:16">
      <c r="A209" s="2" t="s">
        <v>345</v>
      </c>
      <c r="B209" s="6" t="s">
        <v>40</v>
      </c>
      <c r="C209" s="7">
        <v>45436</v>
      </c>
      <c r="D209" s="7" t="s">
        <v>89</v>
      </c>
      <c r="E209" s="4" t="s">
        <v>111</v>
      </c>
      <c r="F209" s="4" t="s">
        <v>121</v>
      </c>
      <c r="G209" s="8">
        <v>2105</v>
      </c>
      <c r="H209" s="8" t="s">
        <v>126</v>
      </c>
      <c r="I209" s="3">
        <f>IF($H209="A VISTA", C209 + CADASTROS!$B$3, IF($H209="1+1", C209 + CADASTROS!$B$4, IF(H209="1+2", C209 + CADASTROS!$B$5, IF(H209="1+3", C209 + CADASTROS!$B$6, ""))))</f>
        <v>45437</v>
      </c>
      <c r="J209" s="8">
        <f t="shared" si="12"/>
        <v>2105</v>
      </c>
      <c r="K209" s="3" t="str">
        <f>IF($L209&lt;&gt;"", IF($H209="A VISTA", "", IF($H209="1+1", $C209 + CADASTROS!$C$4, IF($H209="1+2", $C209 + CADASTROS!$C$5, IF($H209="1+3", $C209 + CADASTROS!$E$4, "")))), "")</f>
        <v/>
      </c>
      <c r="L209" s="8" t="str">
        <f t="shared" si="13"/>
        <v/>
      </c>
      <c r="M209" s="3" t="str">
        <f>IF($N209&lt;&gt;"", IF($H209="A VISTA", "", IF($H209="1+1", $C209 + CADASTROS!$C$4, IF($H209="1+2", $C209 + CADASTROS!$D$5, IF($H209="1+3", $C209 + CADASTROS!$D$6, "")))), "")</f>
        <v/>
      </c>
      <c r="N209" s="8" t="str">
        <f t="shared" si="14"/>
        <v/>
      </c>
      <c r="O209" s="3" t="str">
        <f>IF($P209&lt;&gt;"", IF($H209="A VISTA", "", IF($H209="1+1", $C209 + CADASTROS!$C$4, IF($H209="1+2", $C209 + CADASTROS!$C$5, IF($H209="1+3", $C209 + CADASTROS!$E$6, "")))), "")</f>
        <v/>
      </c>
      <c r="P209" s="8" t="str">
        <f t="shared" si="15"/>
        <v/>
      </c>
    </row>
    <row r="210" spans="1:16">
      <c r="A210" s="2" t="s">
        <v>346</v>
      </c>
      <c r="B210" s="6" t="s">
        <v>18</v>
      </c>
      <c r="C210" s="7">
        <v>45160</v>
      </c>
      <c r="D210" s="7" t="s">
        <v>67</v>
      </c>
      <c r="E210" s="4" t="s">
        <v>111</v>
      </c>
      <c r="F210" s="4" t="s">
        <v>121</v>
      </c>
      <c r="G210" s="8">
        <v>9813</v>
      </c>
      <c r="H210" s="8" t="s">
        <v>138</v>
      </c>
      <c r="I210" s="3">
        <f>IF($H210="A VISTA", C210 + CADASTROS!$B$3, IF($H210="1+1", C210 + CADASTROS!$B$4, IF(H210="1+2", C210 + CADASTROS!$B$5, IF(H210="1+3", C210 + CADASTROS!$B$6, ""))))</f>
        <v>45161</v>
      </c>
      <c r="J210" s="8">
        <f t="shared" si="12"/>
        <v>4906.5</v>
      </c>
      <c r="K210" s="3">
        <f>IF($L210&lt;&gt;"", IF($H210="A VISTA", "", IF($H210="1+1", $C210 + CADASTROS!$C$4, IF($H210="1+2", $C210 + CADASTROS!$C$5, IF($H210="1+3", $C210 + CADASTROS!$E$4, "")))), "")</f>
        <v>45190</v>
      </c>
      <c r="L210" s="8">
        <f t="shared" si="13"/>
        <v>4906.5</v>
      </c>
      <c r="M210" s="3" t="str">
        <f>IF($N210&lt;&gt;"", IF($H210="A VISTA", "", IF($H210="1+1", $C210 + CADASTROS!$C$4, IF($H210="1+2", $C210 + CADASTROS!$D$5, IF($H210="1+3", $C210 + CADASTROS!$D$6, "")))), "")</f>
        <v/>
      </c>
      <c r="N210" s="8" t="str">
        <f t="shared" si="14"/>
        <v/>
      </c>
      <c r="O210" s="3" t="str">
        <f>IF($P210&lt;&gt;"", IF($H210="A VISTA", "", IF($H210="1+1", $C210 + CADASTROS!$C$4, IF($H210="1+2", $C210 + CADASTROS!$C$5, IF($H210="1+3", $C210 + CADASTROS!$E$6, "")))), "")</f>
        <v/>
      </c>
      <c r="P210" s="8" t="str">
        <f t="shared" si="15"/>
        <v/>
      </c>
    </row>
    <row r="211" spans="1:16">
      <c r="A211" s="2" t="s">
        <v>347</v>
      </c>
      <c r="B211" s="6" t="s">
        <v>50</v>
      </c>
      <c r="C211" s="7">
        <v>45391</v>
      </c>
      <c r="D211" s="7" t="s">
        <v>99</v>
      </c>
      <c r="E211" s="4" t="s">
        <v>110</v>
      </c>
      <c r="F211" s="4" t="s">
        <v>114</v>
      </c>
      <c r="G211" s="8">
        <v>9521</v>
      </c>
      <c r="H211" s="8" t="s">
        <v>126</v>
      </c>
      <c r="I211" s="3">
        <f>IF($H211="A VISTA", C211 + CADASTROS!$B$3, IF($H211="1+1", C211 + CADASTROS!$B$4, IF(H211="1+2", C211 + CADASTROS!$B$5, IF(H211="1+3", C211 + CADASTROS!$B$6, ""))))</f>
        <v>45392</v>
      </c>
      <c r="J211" s="8">
        <f t="shared" si="12"/>
        <v>9521</v>
      </c>
      <c r="K211" s="3" t="str">
        <f>IF($L211&lt;&gt;"", IF($H211="A VISTA", "", IF($H211="1+1", $C211 + CADASTROS!$C$4, IF($H211="1+2", $C211 + CADASTROS!$C$5, IF($H211="1+3", $C211 + CADASTROS!$E$4, "")))), "")</f>
        <v/>
      </c>
      <c r="L211" s="8" t="str">
        <f t="shared" si="13"/>
        <v/>
      </c>
      <c r="M211" s="3" t="str">
        <f>IF($N211&lt;&gt;"", IF($H211="A VISTA", "", IF($H211="1+1", $C211 + CADASTROS!$C$4, IF($H211="1+2", $C211 + CADASTROS!$D$5, IF($H211="1+3", $C211 + CADASTROS!$D$6, "")))), "")</f>
        <v/>
      </c>
      <c r="N211" s="8" t="str">
        <f t="shared" si="14"/>
        <v/>
      </c>
      <c r="O211" s="3" t="str">
        <f>IF($P211&lt;&gt;"", IF($H211="A VISTA", "", IF($H211="1+1", $C211 + CADASTROS!$C$4, IF($H211="1+2", $C211 + CADASTROS!$C$5, IF($H211="1+3", $C211 + CADASTROS!$E$6, "")))), "")</f>
        <v/>
      </c>
      <c r="P211" s="8" t="str">
        <f t="shared" si="15"/>
        <v/>
      </c>
    </row>
    <row r="212" spans="1:16">
      <c r="A212" s="2" t="s">
        <v>348</v>
      </c>
      <c r="B212" s="6" t="s">
        <v>36</v>
      </c>
      <c r="C212" s="7">
        <v>45371</v>
      </c>
      <c r="D212" s="7" t="s">
        <v>85</v>
      </c>
      <c r="E212" s="4" t="s">
        <v>111</v>
      </c>
      <c r="F212" s="4" t="s">
        <v>120</v>
      </c>
      <c r="G212" s="8">
        <v>5979</v>
      </c>
      <c r="H212" s="8" t="s">
        <v>126</v>
      </c>
      <c r="I212" s="3">
        <f>IF($H212="A VISTA", C212 + CADASTROS!$B$3, IF($H212="1+1", C212 + CADASTROS!$B$4, IF(H212="1+2", C212 + CADASTROS!$B$5, IF(H212="1+3", C212 + CADASTROS!$B$6, ""))))</f>
        <v>45372</v>
      </c>
      <c r="J212" s="8">
        <f t="shared" si="12"/>
        <v>5979</v>
      </c>
      <c r="K212" s="3" t="str">
        <f>IF($L212&lt;&gt;"", IF($H212="A VISTA", "", IF($H212="1+1", $C212 + CADASTROS!$C$4, IF($H212="1+2", $C212 + CADASTROS!$C$5, IF($H212="1+3", $C212 + CADASTROS!$E$4, "")))), "")</f>
        <v/>
      </c>
      <c r="L212" s="8" t="str">
        <f t="shared" si="13"/>
        <v/>
      </c>
      <c r="M212" s="3" t="str">
        <f>IF($N212&lt;&gt;"", IF($H212="A VISTA", "", IF($H212="1+1", $C212 + CADASTROS!$C$4, IF($H212="1+2", $C212 + CADASTROS!$D$5, IF($H212="1+3", $C212 + CADASTROS!$D$6, "")))), "")</f>
        <v/>
      </c>
      <c r="N212" s="8" t="str">
        <f t="shared" si="14"/>
        <v/>
      </c>
      <c r="O212" s="3" t="str">
        <f>IF($P212&lt;&gt;"", IF($H212="A VISTA", "", IF($H212="1+1", $C212 + CADASTROS!$C$4, IF($H212="1+2", $C212 + CADASTROS!$C$5, IF($H212="1+3", $C212 + CADASTROS!$E$6, "")))), "")</f>
        <v/>
      </c>
      <c r="P212" s="8" t="str">
        <f t="shared" si="15"/>
        <v/>
      </c>
    </row>
    <row r="213" spans="1:16">
      <c r="A213" s="2" t="s">
        <v>349</v>
      </c>
      <c r="B213" s="6" t="s">
        <v>40</v>
      </c>
      <c r="C213" s="7">
        <v>45404</v>
      </c>
      <c r="D213" s="7" t="s">
        <v>89</v>
      </c>
      <c r="E213" s="4" t="s">
        <v>111</v>
      </c>
      <c r="F213" s="4" t="s">
        <v>121</v>
      </c>
      <c r="G213" s="8">
        <v>4704</v>
      </c>
      <c r="H213" s="8" t="s">
        <v>137</v>
      </c>
      <c r="I213" s="3">
        <f>IF($H213="A VISTA", C213 + CADASTROS!$B$3, IF($H213="1+1", C213 + CADASTROS!$B$4, IF(H213="1+2", C213 + CADASTROS!$B$5, IF(H213="1+3", C213 + CADASTROS!$B$6, ""))))</f>
        <v>45405</v>
      </c>
      <c r="J213" s="8">
        <f t="shared" si="12"/>
        <v>1568</v>
      </c>
      <c r="K213" s="3">
        <f>IF($L213&lt;&gt;"", IF($H213="A VISTA", "", IF($H213="1+1", $C213 + CADASTROS!$C$4, IF($H213="1+2", $C213 + CADASTROS!$C$5, IF($H213="1+3", $C213 + CADASTROS!$E$4, "")))), "")</f>
        <v>45434</v>
      </c>
      <c r="L213" s="8">
        <f t="shared" si="13"/>
        <v>1568</v>
      </c>
      <c r="M213" s="3">
        <f>IF($N213&lt;&gt;"", IF($H213="A VISTA", "", IF($H213="1+1", $C213 + CADASTROS!$C$4, IF($H213="1+2", $C213 + CADASTROS!$D$5, IF($H213="1+3", $C213 + CADASTROS!$D$6, "")))), "")</f>
        <v>45449</v>
      </c>
      <c r="N213" s="8">
        <f t="shared" si="14"/>
        <v>1568</v>
      </c>
      <c r="O213" s="3" t="str">
        <f>IF($P213&lt;&gt;"", IF($H213="A VISTA", "", IF($H213="1+1", $C213 + CADASTROS!$C$4, IF($H213="1+2", $C213 + CADASTROS!$C$5, IF($H213="1+3", $C213 + CADASTROS!$E$6, "")))), "")</f>
        <v/>
      </c>
      <c r="P213" s="8" t="str">
        <f t="shared" si="15"/>
        <v/>
      </c>
    </row>
    <row r="214" spans="1:16">
      <c r="A214" s="2" t="s">
        <v>350</v>
      </c>
      <c r="B214" s="6" t="s">
        <v>28</v>
      </c>
      <c r="C214" s="7">
        <v>45141</v>
      </c>
      <c r="D214" s="7" t="s">
        <v>77</v>
      </c>
      <c r="E214" s="4" t="s">
        <v>110</v>
      </c>
      <c r="F214" s="4" t="s">
        <v>114</v>
      </c>
      <c r="G214" s="8">
        <v>2123</v>
      </c>
      <c r="H214" s="8" t="s">
        <v>137</v>
      </c>
      <c r="I214" s="3">
        <f>IF($H214="A VISTA", C214 + CADASTROS!$B$3, IF($H214="1+1", C214 + CADASTROS!$B$4, IF(H214="1+2", C214 + CADASTROS!$B$5, IF(H214="1+3", C214 + CADASTROS!$B$6, ""))))</f>
        <v>45142</v>
      </c>
      <c r="J214" s="8">
        <f t="shared" si="12"/>
        <v>707.66666666666663</v>
      </c>
      <c r="K214" s="3">
        <f>IF($L214&lt;&gt;"", IF($H214="A VISTA", "", IF($H214="1+1", $C214 + CADASTROS!$C$4, IF($H214="1+2", $C214 + CADASTROS!$C$5, IF($H214="1+3", $C214 + CADASTROS!$E$4, "")))), "")</f>
        <v>45171</v>
      </c>
      <c r="L214" s="8">
        <f t="shared" si="13"/>
        <v>707.66666666666663</v>
      </c>
      <c r="M214" s="3">
        <f>IF($N214&lt;&gt;"", IF($H214="A VISTA", "", IF($H214="1+1", $C214 + CADASTROS!$C$4, IF($H214="1+2", $C214 + CADASTROS!$D$5, IF($H214="1+3", $C214 + CADASTROS!$D$6, "")))), "")</f>
        <v>45186</v>
      </c>
      <c r="N214" s="8">
        <f t="shared" si="14"/>
        <v>707.66666666666686</v>
      </c>
      <c r="O214" s="3" t="str">
        <f>IF($P214&lt;&gt;"", IF($H214="A VISTA", "", IF($H214="1+1", $C214 + CADASTROS!$C$4, IF($H214="1+2", $C214 + CADASTROS!$C$5, IF($H214="1+3", $C214 + CADASTROS!$E$6, "")))), "")</f>
        <v/>
      </c>
      <c r="P214" s="8" t="str">
        <f t="shared" si="15"/>
        <v/>
      </c>
    </row>
    <row r="215" spans="1:16">
      <c r="A215" s="2" t="s">
        <v>351</v>
      </c>
      <c r="B215" s="6" t="s">
        <v>32</v>
      </c>
      <c r="C215" s="7">
        <v>45444</v>
      </c>
      <c r="D215" s="7" t="s">
        <v>81</v>
      </c>
      <c r="E215" s="4" t="s">
        <v>110</v>
      </c>
      <c r="F215" s="4" t="s">
        <v>124</v>
      </c>
      <c r="G215" s="8">
        <v>3341</v>
      </c>
      <c r="H215" s="8" t="s">
        <v>126</v>
      </c>
      <c r="I215" s="3">
        <f>IF($H215="A VISTA", C215 + CADASTROS!$B$3, IF($H215="1+1", C215 + CADASTROS!$B$4, IF(H215="1+2", C215 + CADASTROS!$B$5, IF(H215="1+3", C215 + CADASTROS!$B$6, ""))))</f>
        <v>45445</v>
      </c>
      <c r="J215" s="8">
        <f t="shared" si="12"/>
        <v>3341</v>
      </c>
      <c r="K215" s="3" t="str">
        <f>IF($L215&lt;&gt;"", IF($H215="A VISTA", "", IF($H215="1+1", $C215 + CADASTROS!$C$4, IF($H215="1+2", $C215 + CADASTROS!$C$5, IF($H215="1+3", $C215 + CADASTROS!$E$4, "")))), "")</f>
        <v/>
      </c>
      <c r="L215" s="8" t="str">
        <f t="shared" si="13"/>
        <v/>
      </c>
      <c r="M215" s="3" t="str">
        <f>IF($N215&lt;&gt;"", IF($H215="A VISTA", "", IF($H215="1+1", $C215 + CADASTROS!$C$4, IF($H215="1+2", $C215 + CADASTROS!$D$5, IF($H215="1+3", $C215 + CADASTROS!$D$6, "")))), "")</f>
        <v/>
      </c>
      <c r="N215" s="8" t="str">
        <f t="shared" si="14"/>
        <v/>
      </c>
      <c r="O215" s="3" t="str">
        <f>IF($P215&lt;&gt;"", IF($H215="A VISTA", "", IF($H215="1+1", $C215 + CADASTROS!$C$4, IF($H215="1+2", $C215 + CADASTROS!$C$5, IF($H215="1+3", $C215 + CADASTROS!$E$6, "")))), "")</f>
        <v/>
      </c>
      <c r="P215" s="8" t="str">
        <f t="shared" si="15"/>
        <v/>
      </c>
    </row>
    <row r="216" spans="1:16">
      <c r="A216" s="2" t="s">
        <v>352</v>
      </c>
      <c r="B216" s="6" t="s">
        <v>15</v>
      </c>
      <c r="C216" s="7">
        <v>45269</v>
      </c>
      <c r="D216" s="7" t="s">
        <v>64</v>
      </c>
      <c r="E216" s="4" t="s">
        <v>112</v>
      </c>
      <c r="F216" s="4" t="s">
        <v>123</v>
      </c>
      <c r="G216" s="8">
        <v>5561</v>
      </c>
      <c r="H216" s="8" t="s">
        <v>126</v>
      </c>
      <c r="I216" s="3">
        <f>IF($H216="A VISTA", C216 + CADASTROS!$B$3, IF($H216="1+1", C216 + CADASTROS!$B$4, IF(H216="1+2", C216 + CADASTROS!$B$5, IF(H216="1+3", C216 + CADASTROS!$B$6, ""))))</f>
        <v>45270</v>
      </c>
      <c r="J216" s="8">
        <f t="shared" si="12"/>
        <v>5561</v>
      </c>
      <c r="K216" s="3" t="str">
        <f>IF($L216&lt;&gt;"", IF($H216="A VISTA", "", IF($H216="1+1", $C216 + CADASTROS!$C$4, IF($H216="1+2", $C216 + CADASTROS!$C$5, IF($H216="1+3", $C216 + CADASTROS!$E$4, "")))), "")</f>
        <v/>
      </c>
      <c r="L216" s="8" t="str">
        <f t="shared" si="13"/>
        <v/>
      </c>
      <c r="M216" s="3" t="str">
        <f>IF($N216&lt;&gt;"", IF($H216="A VISTA", "", IF($H216="1+1", $C216 + CADASTROS!$C$4, IF($H216="1+2", $C216 + CADASTROS!$D$5, IF($H216="1+3", $C216 + CADASTROS!$D$6, "")))), "")</f>
        <v/>
      </c>
      <c r="N216" s="8" t="str">
        <f t="shared" si="14"/>
        <v/>
      </c>
      <c r="O216" s="3" t="str">
        <f>IF($P216&lt;&gt;"", IF($H216="A VISTA", "", IF($H216="1+1", $C216 + CADASTROS!$C$4, IF($H216="1+2", $C216 + CADASTROS!$C$5, IF($H216="1+3", $C216 + CADASTROS!$E$6, "")))), "")</f>
        <v/>
      </c>
      <c r="P216" s="8" t="str">
        <f t="shared" si="15"/>
        <v/>
      </c>
    </row>
    <row r="217" spans="1:16">
      <c r="A217" s="2" t="s">
        <v>353</v>
      </c>
      <c r="B217" s="6" t="s">
        <v>27</v>
      </c>
      <c r="C217" s="7">
        <v>45256</v>
      </c>
      <c r="D217" s="7" t="s">
        <v>76</v>
      </c>
      <c r="E217" s="4" t="s">
        <v>110</v>
      </c>
      <c r="F217" s="4" t="s">
        <v>125</v>
      </c>
      <c r="G217" s="8">
        <v>9010</v>
      </c>
      <c r="H217" s="8" t="s">
        <v>137</v>
      </c>
      <c r="I217" s="3">
        <f>IF($H217="A VISTA", C217 + CADASTROS!$B$3, IF($H217="1+1", C217 + CADASTROS!$B$4, IF(H217="1+2", C217 + CADASTROS!$B$5, IF(H217="1+3", C217 + CADASTROS!$B$6, ""))))</f>
        <v>45257</v>
      </c>
      <c r="J217" s="8">
        <f t="shared" si="12"/>
        <v>3003.3333333333335</v>
      </c>
      <c r="K217" s="3">
        <f>IF($L217&lt;&gt;"", IF($H217="A VISTA", "", IF($H217="1+1", $C217 + CADASTROS!$C$4, IF($H217="1+2", $C217 + CADASTROS!$C$5, IF($H217="1+3", $C217 + CADASTROS!$E$4, "")))), "")</f>
        <v>45286</v>
      </c>
      <c r="L217" s="8">
        <f t="shared" si="13"/>
        <v>3003.3333333333335</v>
      </c>
      <c r="M217" s="3">
        <f>IF($N217&lt;&gt;"", IF($H217="A VISTA", "", IF($H217="1+1", $C217 + CADASTROS!$C$4, IF($H217="1+2", $C217 + CADASTROS!$D$5, IF($H217="1+3", $C217 + CADASTROS!$D$6, "")))), "")</f>
        <v>45301</v>
      </c>
      <c r="N217" s="8">
        <f t="shared" si="14"/>
        <v>3003.3333333333326</v>
      </c>
      <c r="O217" s="3" t="str">
        <f>IF($P217&lt;&gt;"", IF($H217="A VISTA", "", IF($H217="1+1", $C217 + CADASTROS!$C$4, IF($H217="1+2", $C217 + CADASTROS!$C$5, IF($H217="1+3", $C217 + CADASTROS!$E$6, "")))), "")</f>
        <v/>
      </c>
      <c r="P217" s="8" t="str">
        <f t="shared" si="15"/>
        <v/>
      </c>
    </row>
    <row r="218" spans="1:16">
      <c r="A218" s="2" t="s">
        <v>354</v>
      </c>
      <c r="B218" s="6" t="s">
        <v>30</v>
      </c>
      <c r="C218" s="7">
        <v>45361</v>
      </c>
      <c r="D218" s="7" t="s">
        <v>79</v>
      </c>
      <c r="E218" s="4" t="s">
        <v>111</v>
      </c>
      <c r="F218" s="4" t="s">
        <v>118</v>
      </c>
      <c r="G218" s="8">
        <v>9426</v>
      </c>
      <c r="H218" s="8" t="s">
        <v>138</v>
      </c>
      <c r="I218" s="3">
        <f>IF($H218="A VISTA", C218 + CADASTROS!$B$3, IF($H218="1+1", C218 + CADASTROS!$B$4, IF(H218="1+2", C218 + CADASTROS!$B$5, IF(H218="1+3", C218 + CADASTROS!$B$6, ""))))</f>
        <v>45362</v>
      </c>
      <c r="J218" s="8">
        <f t="shared" si="12"/>
        <v>4713</v>
      </c>
      <c r="K218" s="3">
        <f>IF($L218&lt;&gt;"", IF($H218="A VISTA", "", IF($H218="1+1", $C218 + CADASTROS!$C$4, IF($H218="1+2", $C218 + CADASTROS!$C$5, IF($H218="1+3", $C218 + CADASTROS!$E$4, "")))), "")</f>
        <v>45391</v>
      </c>
      <c r="L218" s="8">
        <f t="shared" si="13"/>
        <v>4713</v>
      </c>
      <c r="M218" s="3" t="str">
        <f>IF($N218&lt;&gt;"", IF($H218="A VISTA", "", IF($H218="1+1", $C218 + CADASTROS!$C$4, IF($H218="1+2", $C218 + CADASTROS!$D$5, IF($H218="1+3", $C218 + CADASTROS!$D$6, "")))), "")</f>
        <v/>
      </c>
      <c r="N218" s="8" t="str">
        <f t="shared" si="14"/>
        <v/>
      </c>
      <c r="O218" s="3" t="str">
        <f>IF($P218&lt;&gt;"", IF($H218="A VISTA", "", IF($H218="1+1", $C218 + CADASTROS!$C$4, IF($H218="1+2", $C218 + CADASTROS!$C$5, IF($H218="1+3", $C218 + CADASTROS!$E$6, "")))), "")</f>
        <v/>
      </c>
      <c r="P218" s="8" t="str">
        <f t="shared" si="15"/>
        <v/>
      </c>
    </row>
    <row r="219" spans="1:16">
      <c r="A219" s="2" t="s">
        <v>355</v>
      </c>
      <c r="B219" s="6" t="s">
        <v>49</v>
      </c>
      <c r="C219" s="7">
        <v>45268</v>
      </c>
      <c r="D219" s="7" t="s">
        <v>98</v>
      </c>
      <c r="E219" s="4" t="s">
        <v>110</v>
      </c>
      <c r="F219" s="4" t="s">
        <v>125</v>
      </c>
      <c r="G219" s="8">
        <v>2215</v>
      </c>
      <c r="H219" s="8" t="s">
        <v>137</v>
      </c>
      <c r="I219" s="3">
        <f>IF($H219="A VISTA", C219 + CADASTROS!$B$3, IF($H219="1+1", C219 + CADASTROS!$B$4, IF(H219="1+2", C219 + CADASTROS!$B$5, IF(H219="1+3", C219 + CADASTROS!$B$6, ""))))</f>
        <v>45269</v>
      </c>
      <c r="J219" s="8">
        <f t="shared" si="12"/>
        <v>738.33333333333337</v>
      </c>
      <c r="K219" s="3">
        <f>IF($L219&lt;&gt;"", IF($H219="A VISTA", "", IF($H219="1+1", $C219 + CADASTROS!$C$4, IF($H219="1+2", $C219 + CADASTROS!$C$5, IF($H219="1+3", $C219 + CADASTROS!$E$4, "")))), "")</f>
        <v>45298</v>
      </c>
      <c r="L219" s="8">
        <f t="shared" si="13"/>
        <v>738.33333333333337</v>
      </c>
      <c r="M219" s="3">
        <f>IF($N219&lt;&gt;"", IF($H219="A VISTA", "", IF($H219="1+1", $C219 + CADASTROS!$C$4, IF($H219="1+2", $C219 + CADASTROS!$D$5, IF($H219="1+3", $C219 + CADASTROS!$D$6, "")))), "")</f>
        <v>45313</v>
      </c>
      <c r="N219" s="8">
        <f t="shared" si="14"/>
        <v>738.33333333333314</v>
      </c>
      <c r="O219" s="3" t="str">
        <f>IF($P219&lt;&gt;"", IF($H219="A VISTA", "", IF($H219="1+1", $C219 + CADASTROS!$C$4, IF($H219="1+2", $C219 + CADASTROS!$C$5, IF($H219="1+3", $C219 + CADASTROS!$E$6, "")))), "")</f>
        <v/>
      </c>
      <c r="P219" s="8" t="str">
        <f t="shared" si="15"/>
        <v/>
      </c>
    </row>
    <row r="220" spans="1:16">
      <c r="A220" s="2" t="s">
        <v>356</v>
      </c>
      <c r="B220" s="6" t="s">
        <v>39</v>
      </c>
      <c r="C220" s="7">
        <v>45334</v>
      </c>
      <c r="D220" s="7" t="s">
        <v>88</v>
      </c>
      <c r="E220" s="4" t="s">
        <v>110</v>
      </c>
      <c r="F220" s="4" t="s">
        <v>114</v>
      </c>
      <c r="G220" s="8">
        <v>3173</v>
      </c>
      <c r="H220" s="8" t="s">
        <v>138</v>
      </c>
      <c r="I220" s="3">
        <f>IF($H220="A VISTA", C220 + CADASTROS!$B$3, IF($H220="1+1", C220 + CADASTROS!$B$4, IF(H220="1+2", C220 + CADASTROS!$B$5, IF(H220="1+3", C220 + CADASTROS!$B$6, ""))))</f>
        <v>45335</v>
      </c>
      <c r="J220" s="8">
        <f t="shared" si="12"/>
        <v>1586.5</v>
      </c>
      <c r="K220" s="3">
        <f>IF($L220&lt;&gt;"", IF($H220="A VISTA", "", IF($H220="1+1", $C220 + CADASTROS!$C$4, IF($H220="1+2", $C220 + CADASTROS!$C$5, IF($H220="1+3", $C220 + CADASTROS!$E$4, "")))), "")</f>
        <v>45364</v>
      </c>
      <c r="L220" s="8">
        <f t="shared" si="13"/>
        <v>1586.5</v>
      </c>
      <c r="M220" s="3" t="str">
        <f>IF($N220&lt;&gt;"", IF($H220="A VISTA", "", IF($H220="1+1", $C220 + CADASTROS!$C$4, IF($H220="1+2", $C220 + CADASTROS!$D$5, IF($H220="1+3", $C220 + CADASTROS!$D$6, "")))), "")</f>
        <v/>
      </c>
      <c r="N220" s="8" t="str">
        <f t="shared" si="14"/>
        <v/>
      </c>
      <c r="O220" s="3" t="str">
        <f>IF($P220&lt;&gt;"", IF($H220="A VISTA", "", IF($H220="1+1", $C220 + CADASTROS!$C$4, IF($H220="1+2", $C220 + CADASTROS!$C$5, IF($H220="1+3", $C220 + CADASTROS!$E$6, "")))), "")</f>
        <v/>
      </c>
      <c r="P220" s="8" t="str">
        <f t="shared" si="15"/>
        <v/>
      </c>
    </row>
    <row r="221" spans="1:16">
      <c r="A221" s="2" t="s">
        <v>357</v>
      </c>
      <c r="B221" s="6" t="s">
        <v>45</v>
      </c>
      <c r="C221" s="7">
        <v>45498</v>
      </c>
      <c r="D221" s="7" t="s">
        <v>94</v>
      </c>
      <c r="E221" s="4" t="s">
        <v>110</v>
      </c>
      <c r="F221" s="4" t="s">
        <v>113</v>
      </c>
      <c r="G221" s="8">
        <v>6591</v>
      </c>
      <c r="H221" s="8" t="s">
        <v>126</v>
      </c>
      <c r="I221" s="3">
        <f>IF($H221="A VISTA", C221 + CADASTROS!$B$3, IF($H221="1+1", C221 + CADASTROS!$B$4, IF(H221="1+2", C221 + CADASTROS!$B$5, IF(H221="1+3", C221 + CADASTROS!$B$6, ""))))</f>
        <v>45499</v>
      </c>
      <c r="J221" s="8">
        <f t="shared" si="12"/>
        <v>6591</v>
      </c>
      <c r="K221" s="3" t="str">
        <f>IF($L221&lt;&gt;"", IF($H221="A VISTA", "", IF($H221="1+1", $C221 + CADASTROS!$C$4, IF($H221="1+2", $C221 + CADASTROS!$C$5, IF($H221="1+3", $C221 + CADASTROS!$E$4, "")))), "")</f>
        <v/>
      </c>
      <c r="L221" s="8" t="str">
        <f t="shared" si="13"/>
        <v/>
      </c>
      <c r="M221" s="3" t="str">
        <f>IF($N221&lt;&gt;"", IF($H221="A VISTA", "", IF($H221="1+1", $C221 + CADASTROS!$C$4, IF($H221="1+2", $C221 + CADASTROS!$D$5, IF($H221="1+3", $C221 + CADASTROS!$D$6, "")))), "")</f>
        <v/>
      </c>
      <c r="N221" s="8" t="str">
        <f t="shared" si="14"/>
        <v/>
      </c>
      <c r="O221" s="3" t="str">
        <f>IF($P221&lt;&gt;"", IF($H221="A VISTA", "", IF($H221="1+1", $C221 + CADASTROS!$C$4, IF($H221="1+2", $C221 + CADASTROS!$C$5, IF($H221="1+3", $C221 + CADASTROS!$E$6, "")))), "")</f>
        <v/>
      </c>
      <c r="P221" s="8" t="str">
        <f t="shared" si="15"/>
        <v/>
      </c>
    </row>
    <row r="222" spans="1:16">
      <c r="A222" s="2" t="s">
        <v>358</v>
      </c>
      <c r="B222" s="6" t="s">
        <v>15</v>
      </c>
      <c r="C222" s="7">
        <v>45517</v>
      </c>
      <c r="D222" s="7" t="s">
        <v>64</v>
      </c>
      <c r="E222" s="4" t="s">
        <v>112</v>
      </c>
      <c r="F222" s="4" t="s">
        <v>123</v>
      </c>
      <c r="G222" s="8">
        <v>9169</v>
      </c>
      <c r="H222" s="8" t="s">
        <v>126</v>
      </c>
      <c r="I222" s="3">
        <f>IF($H222="A VISTA", C222 + CADASTROS!$B$3, IF($H222="1+1", C222 + CADASTROS!$B$4, IF(H222="1+2", C222 + CADASTROS!$B$5, IF(H222="1+3", C222 + CADASTROS!$B$6, ""))))</f>
        <v>45518</v>
      </c>
      <c r="J222" s="8">
        <f t="shared" si="12"/>
        <v>9169</v>
      </c>
      <c r="K222" s="3" t="str">
        <f>IF($L222&lt;&gt;"", IF($H222="A VISTA", "", IF($H222="1+1", $C222 + CADASTROS!$C$4, IF($H222="1+2", $C222 + CADASTROS!$C$5, IF($H222="1+3", $C222 + CADASTROS!$E$4, "")))), "")</f>
        <v/>
      </c>
      <c r="L222" s="8" t="str">
        <f t="shared" si="13"/>
        <v/>
      </c>
      <c r="M222" s="3" t="str">
        <f>IF($N222&lt;&gt;"", IF($H222="A VISTA", "", IF($H222="1+1", $C222 + CADASTROS!$C$4, IF($H222="1+2", $C222 + CADASTROS!$D$5, IF($H222="1+3", $C222 + CADASTROS!$D$6, "")))), "")</f>
        <v/>
      </c>
      <c r="N222" s="8" t="str">
        <f t="shared" si="14"/>
        <v/>
      </c>
      <c r="O222" s="3" t="str">
        <f>IF($P222&lt;&gt;"", IF($H222="A VISTA", "", IF($H222="1+1", $C222 + CADASTROS!$C$4, IF($H222="1+2", $C222 + CADASTROS!$C$5, IF($H222="1+3", $C222 + CADASTROS!$E$6, "")))), "")</f>
        <v/>
      </c>
      <c r="P222" s="8" t="str">
        <f t="shared" si="15"/>
        <v/>
      </c>
    </row>
    <row r="223" spans="1:16">
      <c r="A223" s="2" t="s">
        <v>359</v>
      </c>
      <c r="B223" s="6" t="s">
        <v>18</v>
      </c>
      <c r="C223" s="7">
        <v>45380</v>
      </c>
      <c r="D223" s="7" t="s">
        <v>67</v>
      </c>
      <c r="E223" s="4" t="s">
        <v>111</v>
      </c>
      <c r="F223" s="4" t="s">
        <v>121</v>
      </c>
      <c r="G223" s="8">
        <v>6193</v>
      </c>
      <c r="H223" s="8" t="s">
        <v>138</v>
      </c>
      <c r="I223" s="3">
        <f>IF($H223="A VISTA", C223 + CADASTROS!$B$3, IF($H223="1+1", C223 + CADASTROS!$B$4, IF(H223="1+2", C223 + CADASTROS!$B$5, IF(H223="1+3", C223 + CADASTROS!$B$6, ""))))</f>
        <v>45381</v>
      </c>
      <c r="J223" s="8">
        <f t="shared" si="12"/>
        <v>3096.5</v>
      </c>
      <c r="K223" s="3">
        <f>IF($L223&lt;&gt;"", IF($H223="A VISTA", "", IF($H223="1+1", $C223 + CADASTROS!$C$4, IF($H223="1+2", $C223 + CADASTROS!$C$5, IF($H223="1+3", $C223 + CADASTROS!$E$4, "")))), "")</f>
        <v>45410</v>
      </c>
      <c r="L223" s="8">
        <f t="shared" si="13"/>
        <v>3096.5</v>
      </c>
      <c r="M223" s="3" t="str">
        <f>IF($N223&lt;&gt;"", IF($H223="A VISTA", "", IF($H223="1+1", $C223 + CADASTROS!$C$4, IF($H223="1+2", $C223 + CADASTROS!$D$5, IF($H223="1+3", $C223 + CADASTROS!$D$6, "")))), "")</f>
        <v/>
      </c>
      <c r="N223" s="8" t="str">
        <f t="shared" si="14"/>
        <v/>
      </c>
      <c r="O223" s="3" t="str">
        <f>IF($P223&lt;&gt;"", IF($H223="A VISTA", "", IF($H223="1+1", $C223 + CADASTROS!$C$4, IF($H223="1+2", $C223 + CADASTROS!$C$5, IF($H223="1+3", $C223 + CADASTROS!$E$6, "")))), "")</f>
        <v/>
      </c>
      <c r="P223" s="8" t="str">
        <f t="shared" si="15"/>
        <v/>
      </c>
    </row>
    <row r="224" spans="1:16">
      <c r="A224" s="2" t="s">
        <v>360</v>
      </c>
      <c r="B224" s="6" t="s">
        <v>59</v>
      </c>
      <c r="C224" s="7">
        <v>45352</v>
      </c>
      <c r="D224" s="7" t="s">
        <v>108</v>
      </c>
      <c r="E224" s="4" t="s">
        <v>111</v>
      </c>
      <c r="F224" s="4" t="s">
        <v>121</v>
      </c>
      <c r="G224" s="8">
        <v>7567</v>
      </c>
      <c r="H224" s="8" t="s">
        <v>137</v>
      </c>
      <c r="I224" s="3">
        <f>IF($H224="A VISTA", C224 + CADASTROS!$B$3, IF($H224="1+1", C224 + CADASTROS!$B$4, IF(H224="1+2", C224 + CADASTROS!$B$5, IF(H224="1+3", C224 + CADASTROS!$B$6, ""))))</f>
        <v>45353</v>
      </c>
      <c r="J224" s="8">
        <f t="shared" si="12"/>
        <v>2522.3333333333335</v>
      </c>
      <c r="K224" s="3">
        <f>IF($L224&lt;&gt;"", IF($H224="A VISTA", "", IF($H224="1+1", $C224 + CADASTROS!$C$4, IF($H224="1+2", $C224 + CADASTROS!$C$5, IF($H224="1+3", $C224 + CADASTROS!$E$4, "")))), "")</f>
        <v>45382</v>
      </c>
      <c r="L224" s="8">
        <f t="shared" si="13"/>
        <v>2522.3333333333335</v>
      </c>
      <c r="M224" s="3">
        <f>IF($N224&lt;&gt;"", IF($H224="A VISTA", "", IF($H224="1+1", $C224 + CADASTROS!$C$4, IF($H224="1+2", $C224 + CADASTROS!$D$5, IF($H224="1+3", $C224 + CADASTROS!$D$6, "")))), "")</f>
        <v>45397</v>
      </c>
      <c r="N224" s="8">
        <f t="shared" si="14"/>
        <v>2522.3333333333326</v>
      </c>
      <c r="O224" s="3" t="str">
        <f>IF($P224&lt;&gt;"", IF($H224="A VISTA", "", IF($H224="1+1", $C224 + CADASTROS!$C$4, IF($H224="1+2", $C224 + CADASTROS!$C$5, IF($H224="1+3", $C224 + CADASTROS!$E$6, "")))), "")</f>
        <v/>
      </c>
      <c r="P224" s="8" t="str">
        <f t="shared" si="15"/>
        <v/>
      </c>
    </row>
    <row r="225" spans="1:16">
      <c r="A225" s="2" t="s">
        <v>361</v>
      </c>
      <c r="B225" s="6" t="s">
        <v>38</v>
      </c>
      <c r="C225" s="7">
        <v>45430</v>
      </c>
      <c r="D225" s="7" t="s">
        <v>87</v>
      </c>
      <c r="E225" s="4" t="s">
        <v>110</v>
      </c>
      <c r="F225" s="4" t="s">
        <v>125</v>
      </c>
      <c r="G225" s="8">
        <v>874</v>
      </c>
      <c r="H225" s="8" t="s">
        <v>137</v>
      </c>
      <c r="I225" s="3">
        <f>IF($H225="A VISTA", C225 + CADASTROS!$B$3, IF($H225="1+1", C225 + CADASTROS!$B$4, IF(H225="1+2", C225 + CADASTROS!$B$5, IF(H225="1+3", C225 + CADASTROS!$B$6, ""))))</f>
        <v>45431</v>
      </c>
      <c r="J225" s="8">
        <f t="shared" si="12"/>
        <v>291.33333333333331</v>
      </c>
      <c r="K225" s="3">
        <f>IF($L225&lt;&gt;"", IF($H225="A VISTA", "", IF($H225="1+1", $C225 + CADASTROS!$C$4, IF($H225="1+2", $C225 + CADASTROS!$C$5, IF($H225="1+3", $C225 + CADASTROS!$E$4, "")))), "")</f>
        <v>45460</v>
      </c>
      <c r="L225" s="8">
        <f t="shared" si="13"/>
        <v>291.33333333333331</v>
      </c>
      <c r="M225" s="3">
        <f>IF($N225&lt;&gt;"", IF($H225="A VISTA", "", IF($H225="1+1", $C225 + CADASTROS!$C$4, IF($H225="1+2", $C225 + CADASTROS!$D$5, IF($H225="1+3", $C225 + CADASTROS!$D$6, "")))), "")</f>
        <v>45475</v>
      </c>
      <c r="N225" s="8">
        <f t="shared" si="14"/>
        <v>291.33333333333343</v>
      </c>
      <c r="O225" s="3" t="str">
        <f>IF($P225&lt;&gt;"", IF($H225="A VISTA", "", IF($H225="1+1", $C225 + CADASTROS!$C$4, IF($H225="1+2", $C225 + CADASTROS!$C$5, IF($H225="1+3", $C225 + CADASTROS!$E$6, "")))), "")</f>
        <v/>
      </c>
      <c r="P225" s="8" t="str">
        <f t="shared" si="15"/>
        <v/>
      </c>
    </row>
    <row r="226" spans="1:16">
      <c r="A226" s="2" t="s">
        <v>362</v>
      </c>
      <c r="B226" s="6" t="s">
        <v>45</v>
      </c>
      <c r="C226" s="7">
        <v>45441</v>
      </c>
      <c r="D226" s="7" t="s">
        <v>94</v>
      </c>
      <c r="E226" s="4" t="s">
        <v>110</v>
      </c>
      <c r="F226" s="4" t="s">
        <v>113</v>
      </c>
      <c r="G226" s="8">
        <v>8293</v>
      </c>
      <c r="H226" s="8" t="s">
        <v>138</v>
      </c>
      <c r="I226" s="3">
        <f>IF($H226="A VISTA", C226 + CADASTROS!$B$3, IF($H226="1+1", C226 + CADASTROS!$B$4, IF(H226="1+2", C226 + CADASTROS!$B$5, IF(H226="1+3", C226 + CADASTROS!$B$6, ""))))</f>
        <v>45442</v>
      </c>
      <c r="J226" s="8">
        <f t="shared" si="12"/>
        <v>4146.5</v>
      </c>
      <c r="K226" s="3">
        <f>IF($L226&lt;&gt;"", IF($H226="A VISTA", "", IF($H226="1+1", $C226 + CADASTROS!$C$4, IF($H226="1+2", $C226 + CADASTROS!$C$5, IF($H226="1+3", $C226 + CADASTROS!$E$4, "")))), "")</f>
        <v>45471</v>
      </c>
      <c r="L226" s="8">
        <f t="shared" si="13"/>
        <v>4146.5</v>
      </c>
      <c r="M226" s="3" t="str">
        <f>IF($N226&lt;&gt;"", IF($H226="A VISTA", "", IF($H226="1+1", $C226 + CADASTROS!$C$4, IF($H226="1+2", $C226 + CADASTROS!$D$5, IF($H226="1+3", $C226 + CADASTROS!$D$6, "")))), "")</f>
        <v/>
      </c>
      <c r="N226" s="8" t="str">
        <f t="shared" si="14"/>
        <v/>
      </c>
      <c r="O226" s="3" t="str">
        <f>IF($P226&lt;&gt;"", IF($H226="A VISTA", "", IF($H226="1+1", $C226 + CADASTROS!$C$4, IF($H226="1+2", $C226 + CADASTROS!$C$5, IF($H226="1+3", $C226 + CADASTROS!$E$6, "")))), "")</f>
        <v/>
      </c>
      <c r="P226" s="8" t="str">
        <f t="shared" si="15"/>
        <v/>
      </c>
    </row>
    <row r="227" spans="1:16">
      <c r="A227" s="2" t="s">
        <v>363</v>
      </c>
      <c r="B227" s="6" t="s">
        <v>28</v>
      </c>
      <c r="C227" s="7">
        <v>45459</v>
      </c>
      <c r="D227" s="7" t="s">
        <v>77</v>
      </c>
      <c r="E227" s="4" t="s">
        <v>110</v>
      </c>
      <c r="F227" s="4" t="s">
        <v>114</v>
      </c>
      <c r="G227" s="8">
        <v>6745</v>
      </c>
      <c r="H227" s="8" t="s">
        <v>137</v>
      </c>
      <c r="I227" s="3">
        <f>IF($H227="A VISTA", C227 + CADASTROS!$B$3, IF($H227="1+1", C227 + CADASTROS!$B$4, IF(H227="1+2", C227 + CADASTROS!$B$5, IF(H227="1+3", C227 + CADASTROS!$B$6, ""))))</f>
        <v>45460</v>
      </c>
      <c r="J227" s="8">
        <f t="shared" si="12"/>
        <v>2248.3333333333335</v>
      </c>
      <c r="K227" s="3">
        <f>IF($L227&lt;&gt;"", IF($H227="A VISTA", "", IF($H227="1+1", $C227 + CADASTROS!$C$4, IF($H227="1+2", $C227 + CADASTROS!$C$5, IF($H227="1+3", $C227 + CADASTROS!$E$4, "")))), "")</f>
        <v>45489</v>
      </c>
      <c r="L227" s="8">
        <f t="shared" si="13"/>
        <v>2248.3333333333335</v>
      </c>
      <c r="M227" s="3">
        <f>IF($N227&lt;&gt;"", IF($H227="A VISTA", "", IF($H227="1+1", $C227 + CADASTROS!$C$4, IF($H227="1+2", $C227 + CADASTROS!$D$5, IF($H227="1+3", $C227 + CADASTROS!$D$6, "")))), "")</f>
        <v>45504</v>
      </c>
      <c r="N227" s="8">
        <f t="shared" si="14"/>
        <v>2248.3333333333326</v>
      </c>
      <c r="O227" s="3" t="str">
        <f>IF($P227&lt;&gt;"", IF($H227="A VISTA", "", IF($H227="1+1", $C227 + CADASTROS!$C$4, IF($H227="1+2", $C227 + CADASTROS!$C$5, IF($H227="1+3", $C227 + CADASTROS!$E$6, "")))), "")</f>
        <v/>
      </c>
      <c r="P227" s="8" t="str">
        <f t="shared" si="15"/>
        <v/>
      </c>
    </row>
    <row r="228" spans="1:16">
      <c r="A228" s="2" t="s">
        <v>364</v>
      </c>
      <c r="B228" s="6" t="s">
        <v>16</v>
      </c>
      <c r="C228" s="7">
        <v>45439</v>
      </c>
      <c r="D228" s="7" t="s">
        <v>65</v>
      </c>
      <c r="E228" s="4" t="s">
        <v>110</v>
      </c>
      <c r="F228" s="4" t="s">
        <v>125</v>
      </c>
      <c r="G228" s="8">
        <v>3455</v>
      </c>
      <c r="H228" s="8" t="s">
        <v>136</v>
      </c>
      <c r="I228" s="3">
        <f>IF($H228="A VISTA", C228 + CADASTROS!$B$3, IF($H228="1+1", C228 + CADASTROS!$B$4, IF(H228="1+2", C228 + CADASTROS!$B$5, IF(H228="1+3", C228 + CADASTROS!$B$6, ""))))</f>
        <v>45440</v>
      </c>
      <c r="J228" s="8">
        <f t="shared" si="12"/>
        <v>863.75</v>
      </c>
      <c r="K228" s="3">
        <f>IF($L228&lt;&gt;"", IF($H228="A VISTA", "", IF($H228="1+1", $C228 + CADASTROS!$C$4, IF($H228="1+2", $C228 + CADASTROS!$C$5, IF($H228="1+3", $C228 + CADASTROS!$E$4, "")))), "")</f>
        <v>45439</v>
      </c>
      <c r="L228" s="8">
        <f t="shared" si="13"/>
        <v>863.75</v>
      </c>
      <c r="M228" s="3">
        <f>IF($N228&lt;&gt;"", IF($H228="A VISTA", "", IF($H228="1+1", $C228 + CADASTROS!$C$4, IF($H228="1+2", $C228 + CADASTROS!$D$5, IF($H228="1+3", $C228 + CADASTROS!$D$6, "")))), "")</f>
        <v>45484</v>
      </c>
      <c r="N228" s="8">
        <f t="shared" si="14"/>
        <v>863.75</v>
      </c>
      <c r="O228" s="3">
        <f>IF($P228&lt;&gt;"", IF($H228="A VISTA", "", IF($H228="1+1", $C228 + CADASTROS!$C$4, IF($H228="1+2", $C228 + CADASTROS!$C$5, IF($H228="1+3", $C228 + CADASTROS!$E$6, "")))), "")</f>
        <v>45499</v>
      </c>
      <c r="P228" s="8">
        <f t="shared" si="15"/>
        <v>863.75</v>
      </c>
    </row>
    <row r="229" spans="1:16">
      <c r="A229" s="2" t="s">
        <v>365</v>
      </c>
      <c r="B229" s="6" t="s">
        <v>47</v>
      </c>
      <c r="C229" s="7">
        <v>45211</v>
      </c>
      <c r="D229" s="7" t="s">
        <v>96</v>
      </c>
      <c r="E229" s="4" t="s">
        <v>111</v>
      </c>
      <c r="F229" s="4" t="s">
        <v>120</v>
      </c>
      <c r="G229" s="8">
        <v>7979</v>
      </c>
      <c r="H229" s="8" t="s">
        <v>137</v>
      </c>
      <c r="I229" s="3">
        <f>IF($H229="A VISTA", C229 + CADASTROS!$B$3, IF($H229="1+1", C229 + CADASTROS!$B$4, IF(H229="1+2", C229 + CADASTROS!$B$5, IF(H229="1+3", C229 + CADASTROS!$B$6, ""))))</f>
        <v>45212</v>
      </c>
      <c r="J229" s="8">
        <f t="shared" si="12"/>
        <v>2659.6666666666665</v>
      </c>
      <c r="K229" s="3">
        <f>IF($L229&lt;&gt;"", IF($H229="A VISTA", "", IF($H229="1+1", $C229 + CADASTROS!$C$4, IF($H229="1+2", $C229 + CADASTROS!$C$5, IF($H229="1+3", $C229 + CADASTROS!$E$4, "")))), "")</f>
        <v>45241</v>
      </c>
      <c r="L229" s="8">
        <f t="shared" si="13"/>
        <v>2659.6666666666665</v>
      </c>
      <c r="M229" s="3">
        <f>IF($N229&lt;&gt;"", IF($H229="A VISTA", "", IF($H229="1+1", $C229 + CADASTROS!$C$4, IF($H229="1+2", $C229 + CADASTROS!$D$5, IF($H229="1+3", $C229 + CADASTROS!$D$6, "")))), "")</f>
        <v>45256</v>
      </c>
      <c r="N229" s="8">
        <f t="shared" si="14"/>
        <v>2659.6666666666674</v>
      </c>
      <c r="O229" s="3" t="str">
        <f>IF($P229&lt;&gt;"", IF($H229="A VISTA", "", IF($H229="1+1", $C229 + CADASTROS!$C$4, IF($H229="1+2", $C229 + CADASTROS!$C$5, IF($H229="1+3", $C229 + CADASTROS!$E$6, "")))), "")</f>
        <v/>
      </c>
      <c r="P229" s="8" t="str">
        <f t="shared" si="15"/>
        <v/>
      </c>
    </row>
    <row r="230" spans="1:16">
      <c r="A230" s="2" t="s">
        <v>366</v>
      </c>
      <c r="B230" s="6" t="s">
        <v>20</v>
      </c>
      <c r="C230" s="7">
        <v>45106</v>
      </c>
      <c r="D230" s="7" t="s">
        <v>69</v>
      </c>
      <c r="E230" s="4" t="s">
        <v>111</v>
      </c>
      <c r="F230" s="4" t="s">
        <v>117</v>
      </c>
      <c r="G230" s="8">
        <v>8660</v>
      </c>
      <c r="H230" s="8" t="s">
        <v>126</v>
      </c>
      <c r="I230" s="3">
        <f>IF($H230="A VISTA", C230 + CADASTROS!$B$3, IF($H230="1+1", C230 + CADASTROS!$B$4, IF(H230="1+2", C230 + CADASTROS!$B$5, IF(H230="1+3", C230 + CADASTROS!$B$6, ""))))</f>
        <v>45107</v>
      </c>
      <c r="J230" s="8">
        <f t="shared" si="12"/>
        <v>8660</v>
      </c>
      <c r="K230" s="3" t="str">
        <f>IF($L230&lt;&gt;"", IF($H230="A VISTA", "", IF($H230="1+1", $C230 + CADASTROS!$C$4, IF($H230="1+2", $C230 + CADASTROS!$C$5, IF($H230="1+3", $C230 + CADASTROS!$E$4, "")))), "")</f>
        <v/>
      </c>
      <c r="L230" s="8" t="str">
        <f t="shared" si="13"/>
        <v/>
      </c>
      <c r="M230" s="3" t="str">
        <f>IF($N230&lt;&gt;"", IF($H230="A VISTA", "", IF($H230="1+1", $C230 + CADASTROS!$C$4, IF($H230="1+2", $C230 + CADASTROS!$D$5, IF($H230="1+3", $C230 + CADASTROS!$D$6, "")))), "")</f>
        <v/>
      </c>
      <c r="N230" s="8" t="str">
        <f t="shared" si="14"/>
        <v/>
      </c>
      <c r="O230" s="3" t="str">
        <f>IF($P230&lt;&gt;"", IF($H230="A VISTA", "", IF($H230="1+1", $C230 + CADASTROS!$C$4, IF($H230="1+2", $C230 + CADASTROS!$C$5, IF($H230="1+3", $C230 + CADASTROS!$E$6, "")))), "")</f>
        <v/>
      </c>
      <c r="P230" s="8" t="str">
        <f t="shared" si="15"/>
        <v/>
      </c>
    </row>
    <row r="231" spans="1:16">
      <c r="A231" s="2" t="s">
        <v>367</v>
      </c>
      <c r="B231" s="6" t="s">
        <v>60</v>
      </c>
      <c r="C231" s="7">
        <v>45133</v>
      </c>
      <c r="D231" s="7" t="s">
        <v>109</v>
      </c>
      <c r="E231" s="4" t="s">
        <v>111</v>
      </c>
      <c r="F231" s="4" t="s">
        <v>118</v>
      </c>
      <c r="G231" s="8">
        <v>7962</v>
      </c>
      <c r="H231" s="8" t="s">
        <v>137</v>
      </c>
      <c r="I231" s="3">
        <f>IF($H231="A VISTA", C231 + CADASTROS!$B$3, IF($H231="1+1", C231 + CADASTROS!$B$4, IF(H231="1+2", C231 + CADASTROS!$B$5, IF(H231="1+3", C231 + CADASTROS!$B$6, ""))))</f>
        <v>45134</v>
      </c>
      <c r="J231" s="8">
        <f t="shared" si="12"/>
        <v>2654</v>
      </c>
      <c r="K231" s="3">
        <f>IF($L231&lt;&gt;"", IF($H231="A VISTA", "", IF($H231="1+1", $C231 + CADASTROS!$C$4, IF($H231="1+2", $C231 + CADASTROS!$C$5, IF($H231="1+3", $C231 + CADASTROS!$E$4, "")))), "")</f>
        <v>45163</v>
      </c>
      <c r="L231" s="8">
        <f t="shared" si="13"/>
        <v>2654</v>
      </c>
      <c r="M231" s="3">
        <f>IF($N231&lt;&gt;"", IF($H231="A VISTA", "", IF($H231="1+1", $C231 + CADASTROS!$C$4, IF($H231="1+2", $C231 + CADASTROS!$D$5, IF($H231="1+3", $C231 + CADASTROS!$D$6, "")))), "")</f>
        <v>45178</v>
      </c>
      <c r="N231" s="8">
        <f t="shared" si="14"/>
        <v>2654</v>
      </c>
      <c r="O231" s="3" t="str">
        <f>IF($P231&lt;&gt;"", IF($H231="A VISTA", "", IF($H231="1+1", $C231 + CADASTROS!$C$4, IF($H231="1+2", $C231 + CADASTROS!$C$5, IF($H231="1+3", $C231 + CADASTROS!$E$6, "")))), "")</f>
        <v/>
      </c>
      <c r="P231" s="8" t="str">
        <f t="shared" si="15"/>
        <v/>
      </c>
    </row>
    <row r="232" spans="1:16">
      <c r="A232" s="2" t="s">
        <v>368</v>
      </c>
      <c r="B232" s="6" t="s">
        <v>58</v>
      </c>
      <c r="C232" s="7">
        <v>45148</v>
      </c>
      <c r="D232" s="7" t="s">
        <v>107</v>
      </c>
      <c r="E232" s="4" t="s">
        <v>111</v>
      </c>
      <c r="F232" s="4" t="s">
        <v>120</v>
      </c>
      <c r="G232" s="8">
        <v>9511</v>
      </c>
      <c r="H232" s="8" t="s">
        <v>126</v>
      </c>
      <c r="I232" s="3">
        <f>IF($H232="A VISTA", C232 + CADASTROS!$B$3, IF($H232="1+1", C232 + CADASTROS!$B$4, IF(H232="1+2", C232 + CADASTROS!$B$5, IF(H232="1+3", C232 + CADASTROS!$B$6, ""))))</f>
        <v>45149</v>
      </c>
      <c r="J232" s="8">
        <f t="shared" si="12"/>
        <v>9511</v>
      </c>
      <c r="K232" s="3" t="str">
        <f>IF($L232&lt;&gt;"", IF($H232="A VISTA", "", IF($H232="1+1", $C232 + CADASTROS!$C$4, IF($H232="1+2", $C232 + CADASTROS!$C$5, IF($H232="1+3", $C232 + CADASTROS!$E$4, "")))), "")</f>
        <v/>
      </c>
      <c r="L232" s="8" t="str">
        <f t="shared" si="13"/>
        <v/>
      </c>
      <c r="M232" s="3" t="str">
        <f>IF($N232&lt;&gt;"", IF($H232="A VISTA", "", IF($H232="1+1", $C232 + CADASTROS!$C$4, IF($H232="1+2", $C232 + CADASTROS!$D$5, IF($H232="1+3", $C232 + CADASTROS!$D$6, "")))), "")</f>
        <v/>
      </c>
      <c r="N232" s="8" t="str">
        <f t="shared" si="14"/>
        <v/>
      </c>
      <c r="O232" s="3" t="str">
        <f>IF($P232&lt;&gt;"", IF($H232="A VISTA", "", IF($H232="1+1", $C232 + CADASTROS!$C$4, IF($H232="1+2", $C232 + CADASTROS!$C$5, IF($H232="1+3", $C232 + CADASTROS!$E$6, "")))), "")</f>
        <v/>
      </c>
      <c r="P232" s="8" t="str">
        <f t="shared" si="15"/>
        <v/>
      </c>
    </row>
    <row r="233" spans="1:16">
      <c r="A233" s="2" t="s">
        <v>369</v>
      </c>
      <c r="B233" s="6" t="s">
        <v>46</v>
      </c>
      <c r="C233" s="7">
        <v>45179</v>
      </c>
      <c r="D233" s="7" t="s">
        <v>95</v>
      </c>
      <c r="E233" s="4" t="s">
        <v>112</v>
      </c>
      <c r="F233" s="4" t="s">
        <v>122</v>
      </c>
      <c r="G233" s="8">
        <v>8511</v>
      </c>
      <c r="H233" s="8" t="s">
        <v>126</v>
      </c>
      <c r="I233" s="3">
        <f>IF($H233="A VISTA", C233 + CADASTROS!$B$3, IF($H233="1+1", C233 + CADASTROS!$B$4, IF(H233="1+2", C233 + CADASTROS!$B$5, IF(H233="1+3", C233 + CADASTROS!$B$6, ""))))</f>
        <v>45180</v>
      </c>
      <c r="J233" s="8">
        <f t="shared" si="12"/>
        <v>8511</v>
      </c>
      <c r="K233" s="3" t="str">
        <f>IF($L233&lt;&gt;"", IF($H233="A VISTA", "", IF($H233="1+1", $C233 + CADASTROS!$C$4, IF($H233="1+2", $C233 + CADASTROS!$C$5, IF($H233="1+3", $C233 + CADASTROS!$E$4, "")))), "")</f>
        <v/>
      </c>
      <c r="L233" s="8" t="str">
        <f t="shared" si="13"/>
        <v/>
      </c>
      <c r="M233" s="3" t="str">
        <f>IF($N233&lt;&gt;"", IF($H233="A VISTA", "", IF($H233="1+1", $C233 + CADASTROS!$C$4, IF($H233="1+2", $C233 + CADASTROS!$D$5, IF($H233="1+3", $C233 + CADASTROS!$D$6, "")))), "")</f>
        <v/>
      </c>
      <c r="N233" s="8" t="str">
        <f t="shared" si="14"/>
        <v/>
      </c>
      <c r="O233" s="3" t="str">
        <f>IF($P233&lt;&gt;"", IF($H233="A VISTA", "", IF($H233="1+1", $C233 + CADASTROS!$C$4, IF($H233="1+2", $C233 + CADASTROS!$C$5, IF($H233="1+3", $C233 + CADASTROS!$E$6, "")))), "")</f>
        <v/>
      </c>
      <c r="P233" s="8" t="str">
        <f t="shared" si="15"/>
        <v/>
      </c>
    </row>
    <row r="234" spans="1:16">
      <c r="A234" s="2" t="s">
        <v>370</v>
      </c>
      <c r="B234" s="6" t="s">
        <v>19</v>
      </c>
      <c r="C234" s="7">
        <v>45436</v>
      </c>
      <c r="D234" s="7" t="s">
        <v>68</v>
      </c>
      <c r="E234" s="4" t="s">
        <v>111</v>
      </c>
      <c r="F234" s="4" t="s">
        <v>118</v>
      </c>
      <c r="G234" s="8">
        <v>8691</v>
      </c>
      <c r="H234" s="8" t="s">
        <v>136</v>
      </c>
      <c r="I234" s="3">
        <f>IF($H234="A VISTA", C234 + CADASTROS!$B$3, IF($H234="1+1", C234 + CADASTROS!$B$4, IF(H234="1+2", C234 + CADASTROS!$B$5, IF(H234="1+3", C234 + CADASTROS!$B$6, ""))))</f>
        <v>45437</v>
      </c>
      <c r="J234" s="8">
        <f t="shared" si="12"/>
        <v>2172.75</v>
      </c>
      <c r="K234" s="3">
        <f>IF($L234&lt;&gt;"", IF($H234="A VISTA", "", IF($H234="1+1", $C234 + CADASTROS!$C$4, IF($H234="1+2", $C234 + CADASTROS!$C$5, IF($H234="1+3", $C234 + CADASTROS!$E$4, "")))), "")</f>
        <v>45436</v>
      </c>
      <c r="L234" s="8">
        <f t="shared" si="13"/>
        <v>2172.75</v>
      </c>
      <c r="M234" s="3">
        <f>IF($N234&lt;&gt;"", IF($H234="A VISTA", "", IF($H234="1+1", $C234 + CADASTROS!$C$4, IF($H234="1+2", $C234 + CADASTROS!$D$5, IF($H234="1+3", $C234 + CADASTROS!$D$6, "")))), "")</f>
        <v>45481</v>
      </c>
      <c r="N234" s="8">
        <f t="shared" si="14"/>
        <v>2172.75</v>
      </c>
      <c r="O234" s="3">
        <f>IF($P234&lt;&gt;"", IF($H234="A VISTA", "", IF($H234="1+1", $C234 + CADASTROS!$C$4, IF($H234="1+2", $C234 + CADASTROS!$C$5, IF($H234="1+3", $C234 + CADASTROS!$E$6, "")))), "")</f>
        <v>45496</v>
      </c>
      <c r="P234" s="8">
        <f t="shared" si="15"/>
        <v>2172.75</v>
      </c>
    </row>
    <row r="235" spans="1:16">
      <c r="A235" s="2" t="s">
        <v>371</v>
      </c>
      <c r="B235" s="6" t="s">
        <v>31</v>
      </c>
      <c r="C235" s="7">
        <v>45356</v>
      </c>
      <c r="D235" s="7" t="s">
        <v>80</v>
      </c>
      <c r="E235" s="4" t="s">
        <v>111</v>
      </c>
      <c r="F235" s="4" t="s">
        <v>117</v>
      </c>
      <c r="G235" s="8">
        <v>7016</v>
      </c>
      <c r="H235" s="8" t="s">
        <v>136</v>
      </c>
      <c r="I235" s="3">
        <f>IF($H235="A VISTA", C235 + CADASTROS!$B$3, IF($H235="1+1", C235 + CADASTROS!$B$4, IF(H235="1+2", C235 + CADASTROS!$B$5, IF(H235="1+3", C235 + CADASTROS!$B$6, ""))))</f>
        <v>45357</v>
      </c>
      <c r="J235" s="8">
        <f t="shared" si="12"/>
        <v>1754</v>
      </c>
      <c r="K235" s="3">
        <f>IF($L235&lt;&gt;"", IF($H235="A VISTA", "", IF($H235="1+1", $C235 + CADASTROS!$C$4, IF($H235="1+2", $C235 + CADASTROS!$C$5, IF($H235="1+3", $C235 + CADASTROS!$E$4, "")))), "")</f>
        <v>45356</v>
      </c>
      <c r="L235" s="8">
        <f t="shared" si="13"/>
        <v>1754</v>
      </c>
      <c r="M235" s="3">
        <f>IF($N235&lt;&gt;"", IF($H235="A VISTA", "", IF($H235="1+1", $C235 + CADASTROS!$C$4, IF($H235="1+2", $C235 + CADASTROS!$D$5, IF($H235="1+3", $C235 + CADASTROS!$D$6, "")))), "")</f>
        <v>45401</v>
      </c>
      <c r="N235" s="8">
        <f t="shared" si="14"/>
        <v>1754</v>
      </c>
      <c r="O235" s="3">
        <f>IF($P235&lt;&gt;"", IF($H235="A VISTA", "", IF($H235="1+1", $C235 + CADASTROS!$C$4, IF($H235="1+2", $C235 + CADASTROS!$C$5, IF($H235="1+3", $C235 + CADASTROS!$E$6, "")))), "")</f>
        <v>45416</v>
      </c>
      <c r="P235" s="8">
        <f t="shared" si="15"/>
        <v>1754</v>
      </c>
    </row>
    <row r="236" spans="1:16">
      <c r="A236" s="2" t="s">
        <v>372</v>
      </c>
      <c r="B236" s="6" t="s">
        <v>58</v>
      </c>
      <c r="C236" s="7">
        <v>45115</v>
      </c>
      <c r="D236" s="7" t="s">
        <v>107</v>
      </c>
      <c r="E236" s="4" t="s">
        <v>111</v>
      </c>
      <c r="F236" s="4" t="s">
        <v>120</v>
      </c>
      <c r="G236" s="8">
        <v>2432</v>
      </c>
      <c r="H236" s="8" t="s">
        <v>126</v>
      </c>
      <c r="I236" s="3">
        <f>IF($H236="A VISTA", C236 + CADASTROS!$B$3, IF($H236="1+1", C236 + CADASTROS!$B$4, IF(H236="1+2", C236 + CADASTROS!$B$5, IF(H236="1+3", C236 + CADASTROS!$B$6, ""))))</f>
        <v>45116</v>
      </c>
      <c r="J236" s="8">
        <f t="shared" si="12"/>
        <v>2432</v>
      </c>
      <c r="K236" s="3" t="str">
        <f>IF($L236&lt;&gt;"", IF($H236="A VISTA", "", IF($H236="1+1", $C236 + CADASTROS!$C$4, IF($H236="1+2", $C236 + CADASTROS!$C$5, IF($H236="1+3", $C236 + CADASTROS!$E$4, "")))), "")</f>
        <v/>
      </c>
      <c r="L236" s="8" t="str">
        <f t="shared" si="13"/>
        <v/>
      </c>
      <c r="M236" s="3" t="str">
        <f>IF($N236&lt;&gt;"", IF($H236="A VISTA", "", IF($H236="1+1", $C236 + CADASTROS!$C$4, IF($H236="1+2", $C236 + CADASTROS!$D$5, IF($H236="1+3", $C236 + CADASTROS!$D$6, "")))), "")</f>
        <v/>
      </c>
      <c r="N236" s="8" t="str">
        <f t="shared" si="14"/>
        <v/>
      </c>
      <c r="O236" s="3" t="str">
        <f>IF($P236&lt;&gt;"", IF($H236="A VISTA", "", IF($H236="1+1", $C236 + CADASTROS!$C$4, IF($H236="1+2", $C236 + CADASTROS!$C$5, IF($H236="1+3", $C236 + CADASTROS!$E$6, "")))), "")</f>
        <v/>
      </c>
      <c r="P236" s="8" t="str">
        <f t="shared" si="15"/>
        <v/>
      </c>
    </row>
    <row r="237" spans="1:16">
      <c r="A237" s="2" t="s">
        <v>373</v>
      </c>
      <c r="B237" s="6" t="s">
        <v>30</v>
      </c>
      <c r="C237" s="7">
        <v>45120</v>
      </c>
      <c r="D237" s="7" t="s">
        <v>79</v>
      </c>
      <c r="E237" s="4" t="s">
        <v>111</v>
      </c>
      <c r="F237" s="4" t="s">
        <v>118</v>
      </c>
      <c r="G237" s="8">
        <v>7988</v>
      </c>
      <c r="H237" s="8" t="s">
        <v>136</v>
      </c>
      <c r="I237" s="3">
        <f>IF($H237="A VISTA", C237 + CADASTROS!$B$3, IF($H237="1+1", C237 + CADASTROS!$B$4, IF(H237="1+2", C237 + CADASTROS!$B$5, IF(H237="1+3", C237 + CADASTROS!$B$6, ""))))</f>
        <v>45121</v>
      </c>
      <c r="J237" s="8">
        <f t="shared" si="12"/>
        <v>1997</v>
      </c>
      <c r="K237" s="3">
        <f>IF($L237&lt;&gt;"", IF($H237="A VISTA", "", IF($H237="1+1", $C237 + CADASTROS!$C$4, IF($H237="1+2", $C237 + CADASTROS!$C$5, IF($H237="1+3", $C237 + CADASTROS!$E$4, "")))), "")</f>
        <v>45120</v>
      </c>
      <c r="L237" s="8">
        <f t="shared" si="13"/>
        <v>1997</v>
      </c>
      <c r="M237" s="3">
        <f>IF($N237&lt;&gt;"", IF($H237="A VISTA", "", IF($H237="1+1", $C237 + CADASTROS!$C$4, IF($H237="1+2", $C237 + CADASTROS!$D$5, IF($H237="1+3", $C237 + CADASTROS!$D$6, "")))), "")</f>
        <v>45165</v>
      </c>
      <c r="N237" s="8">
        <f t="shared" si="14"/>
        <v>1997</v>
      </c>
      <c r="O237" s="3">
        <f>IF($P237&lt;&gt;"", IF($H237="A VISTA", "", IF($H237="1+1", $C237 + CADASTROS!$C$4, IF($H237="1+2", $C237 + CADASTROS!$C$5, IF($H237="1+3", $C237 + CADASTROS!$E$6, "")))), "")</f>
        <v>45180</v>
      </c>
      <c r="P237" s="8">
        <f t="shared" si="15"/>
        <v>1997</v>
      </c>
    </row>
    <row r="238" spans="1:16">
      <c r="A238" s="2" t="s">
        <v>374</v>
      </c>
      <c r="B238" s="6" t="s">
        <v>28</v>
      </c>
      <c r="C238" s="7">
        <v>45374</v>
      </c>
      <c r="D238" s="7" t="s">
        <v>77</v>
      </c>
      <c r="E238" s="4" t="s">
        <v>110</v>
      </c>
      <c r="F238" s="4" t="s">
        <v>114</v>
      </c>
      <c r="G238" s="8">
        <v>5810</v>
      </c>
      <c r="H238" s="8" t="s">
        <v>137</v>
      </c>
      <c r="I238" s="3">
        <f>IF($H238="A VISTA", C238 + CADASTROS!$B$3, IF($H238="1+1", C238 + CADASTROS!$B$4, IF(H238="1+2", C238 + CADASTROS!$B$5, IF(H238="1+3", C238 + CADASTROS!$B$6, ""))))</f>
        <v>45375</v>
      </c>
      <c r="J238" s="8">
        <f t="shared" si="12"/>
        <v>1936.6666666666667</v>
      </c>
      <c r="K238" s="3">
        <f>IF($L238&lt;&gt;"", IF($H238="A VISTA", "", IF($H238="1+1", $C238 + CADASTROS!$C$4, IF($H238="1+2", $C238 + CADASTROS!$C$5, IF($H238="1+3", $C238 + CADASTROS!$E$4, "")))), "")</f>
        <v>45404</v>
      </c>
      <c r="L238" s="8">
        <f t="shared" si="13"/>
        <v>1936.6666666666667</v>
      </c>
      <c r="M238" s="3">
        <f>IF($N238&lt;&gt;"", IF($H238="A VISTA", "", IF($H238="1+1", $C238 + CADASTROS!$C$4, IF($H238="1+2", $C238 + CADASTROS!$D$5, IF($H238="1+3", $C238 + CADASTROS!$D$6, "")))), "")</f>
        <v>45419</v>
      </c>
      <c r="N238" s="8">
        <f t="shared" si="14"/>
        <v>1936.6666666666663</v>
      </c>
      <c r="O238" s="3" t="str">
        <f>IF($P238&lt;&gt;"", IF($H238="A VISTA", "", IF($H238="1+1", $C238 + CADASTROS!$C$4, IF($H238="1+2", $C238 + CADASTROS!$C$5, IF($H238="1+3", $C238 + CADASTROS!$E$6, "")))), "")</f>
        <v/>
      </c>
      <c r="P238" s="8" t="str">
        <f t="shared" si="15"/>
        <v/>
      </c>
    </row>
    <row r="239" spans="1:16">
      <c r="A239" s="2" t="s">
        <v>375</v>
      </c>
      <c r="B239" s="6" t="s">
        <v>58</v>
      </c>
      <c r="C239" s="7">
        <v>45055</v>
      </c>
      <c r="D239" s="7" t="s">
        <v>107</v>
      </c>
      <c r="E239" s="4" t="s">
        <v>111</v>
      </c>
      <c r="F239" s="4" t="s">
        <v>120</v>
      </c>
      <c r="G239" s="8">
        <v>4750</v>
      </c>
      <c r="H239" s="8" t="s">
        <v>126</v>
      </c>
      <c r="I239" s="3">
        <f>IF($H239="A VISTA", C239 + CADASTROS!$B$3, IF($H239="1+1", C239 + CADASTROS!$B$4, IF(H239="1+2", C239 + CADASTROS!$B$5, IF(H239="1+3", C239 + CADASTROS!$B$6, ""))))</f>
        <v>45056</v>
      </c>
      <c r="J239" s="8">
        <f t="shared" si="12"/>
        <v>4750</v>
      </c>
      <c r="K239" s="3" t="str">
        <f>IF($L239&lt;&gt;"", IF($H239="A VISTA", "", IF($H239="1+1", $C239 + CADASTROS!$C$4, IF($H239="1+2", $C239 + CADASTROS!$C$5, IF($H239="1+3", $C239 + CADASTROS!$E$4, "")))), "")</f>
        <v/>
      </c>
      <c r="L239" s="8" t="str">
        <f t="shared" si="13"/>
        <v/>
      </c>
      <c r="M239" s="3" t="str">
        <f>IF($N239&lt;&gt;"", IF($H239="A VISTA", "", IF($H239="1+1", $C239 + CADASTROS!$C$4, IF($H239="1+2", $C239 + CADASTROS!$D$5, IF($H239="1+3", $C239 + CADASTROS!$D$6, "")))), "")</f>
        <v/>
      </c>
      <c r="N239" s="8" t="str">
        <f t="shared" si="14"/>
        <v/>
      </c>
      <c r="O239" s="3" t="str">
        <f>IF($P239&lt;&gt;"", IF($H239="A VISTA", "", IF($H239="1+1", $C239 + CADASTROS!$C$4, IF($H239="1+2", $C239 + CADASTROS!$C$5, IF($H239="1+3", $C239 + CADASTROS!$E$6, "")))), "")</f>
        <v/>
      </c>
      <c r="P239" s="8" t="str">
        <f t="shared" si="15"/>
        <v/>
      </c>
    </row>
    <row r="240" spans="1:16">
      <c r="A240" s="2" t="s">
        <v>376</v>
      </c>
      <c r="B240" s="6" t="s">
        <v>54</v>
      </c>
      <c r="C240" s="7">
        <v>45167</v>
      </c>
      <c r="D240" s="7" t="s">
        <v>103</v>
      </c>
      <c r="E240" s="4" t="s">
        <v>110</v>
      </c>
      <c r="F240" s="4" t="s">
        <v>124</v>
      </c>
      <c r="G240" s="8">
        <v>5572</v>
      </c>
      <c r="H240" s="8" t="s">
        <v>138</v>
      </c>
      <c r="I240" s="3">
        <f>IF($H240="A VISTA", C240 + CADASTROS!$B$3, IF($H240="1+1", C240 + CADASTROS!$B$4, IF(H240="1+2", C240 + CADASTROS!$B$5, IF(H240="1+3", C240 + CADASTROS!$B$6, ""))))</f>
        <v>45168</v>
      </c>
      <c r="J240" s="8">
        <f t="shared" si="12"/>
        <v>2786</v>
      </c>
      <c r="K240" s="3">
        <f>IF($L240&lt;&gt;"", IF($H240="A VISTA", "", IF($H240="1+1", $C240 + CADASTROS!$C$4, IF($H240="1+2", $C240 + CADASTROS!$C$5, IF($H240="1+3", $C240 + CADASTROS!$E$4, "")))), "")</f>
        <v>45197</v>
      </c>
      <c r="L240" s="8">
        <f t="shared" si="13"/>
        <v>2786</v>
      </c>
      <c r="M240" s="3" t="str">
        <f>IF($N240&lt;&gt;"", IF($H240="A VISTA", "", IF($H240="1+1", $C240 + CADASTROS!$C$4, IF($H240="1+2", $C240 + CADASTROS!$D$5, IF($H240="1+3", $C240 + CADASTROS!$D$6, "")))), "")</f>
        <v/>
      </c>
      <c r="N240" s="8" t="str">
        <f t="shared" si="14"/>
        <v/>
      </c>
      <c r="O240" s="3" t="str">
        <f>IF($P240&lt;&gt;"", IF($H240="A VISTA", "", IF($H240="1+1", $C240 + CADASTROS!$C$4, IF($H240="1+2", $C240 + CADASTROS!$C$5, IF($H240="1+3", $C240 + CADASTROS!$E$6, "")))), "")</f>
        <v/>
      </c>
      <c r="P240" s="8" t="str">
        <f t="shared" si="15"/>
        <v/>
      </c>
    </row>
    <row r="241" spans="1:16">
      <c r="A241" s="2" t="s">
        <v>377</v>
      </c>
      <c r="B241" s="6" t="s">
        <v>19</v>
      </c>
      <c r="C241" s="7">
        <v>45284</v>
      </c>
      <c r="D241" s="7" t="s">
        <v>68</v>
      </c>
      <c r="E241" s="4" t="s">
        <v>111</v>
      </c>
      <c r="F241" s="4" t="s">
        <v>118</v>
      </c>
      <c r="G241" s="8">
        <v>2758</v>
      </c>
      <c r="H241" s="8" t="s">
        <v>138</v>
      </c>
      <c r="I241" s="3">
        <f>IF($H241="A VISTA", C241 + CADASTROS!$B$3, IF($H241="1+1", C241 + CADASTROS!$B$4, IF(H241="1+2", C241 + CADASTROS!$B$5, IF(H241="1+3", C241 + CADASTROS!$B$6, ""))))</f>
        <v>45285</v>
      </c>
      <c r="J241" s="8">
        <f t="shared" si="12"/>
        <v>1379</v>
      </c>
      <c r="K241" s="3">
        <f>IF($L241&lt;&gt;"", IF($H241="A VISTA", "", IF($H241="1+1", $C241 + CADASTROS!$C$4, IF($H241="1+2", $C241 + CADASTROS!$C$5, IF($H241="1+3", $C241 + CADASTROS!$E$4, "")))), "")</f>
        <v>45314</v>
      </c>
      <c r="L241" s="8">
        <f t="shared" si="13"/>
        <v>1379</v>
      </c>
      <c r="M241" s="3" t="str">
        <f>IF($N241&lt;&gt;"", IF($H241="A VISTA", "", IF($H241="1+1", $C241 + CADASTROS!$C$4, IF($H241="1+2", $C241 + CADASTROS!$D$5, IF($H241="1+3", $C241 + CADASTROS!$D$6, "")))), "")</f>
        <v/>
      </c>
      <c r="N241" s="8" t="str">
        <f t="shared" si="14"/>
        <v/>
      </c>
      <c r="O241" s="3" t="str">
        <f>IF($P241&lt;&gt;"", IF($H241="A VISTA", "", IF($H241="1+1", $C241 + CADASTROS!$C$4, IF($H241="1+2", $C241 + CADASTROS!$C$5, IF($H241="1+3", $C241 + CADASTROS!$E$6, "")))), "")</f>
        <v/>
      </c>
      <c r="P241" s="8" t="str">
        <f t="shared" si="15"/>
        <v/>
      </c>
    </row>
    <row r="242" spans="1:16">
      <c r="A242" s="2" t="s">
        <v>378</v>
      </c>
      <c r="B242" s="6" t="s">
        <v>59</v>
      </c>
      <c r="C242" s="7">
        <v>45526</v>
      </c>
      <c r="D242" s="7" t="s">
        <v>108</v>
      </c>
      <c r="E242" s="4" t="s">
        <v>111</v>
      </c>
      <c r="F242" s="4" t="s">
        <v>121</v>
      </c>
      <c r="G242" s="8">
        <v>5783</v>
      </c>
      <c r="H242" s="8" t="s">
        <v>137</v>
      </c>
      <c r="I242" s="3">
        <f>IF($H242="A VISTA", C242 + CADASTROS!$B$3, IF($H242="1+1", C242 + CADASTROS!$B$4, IF(H242="1+2", C242 + CADASTROS!$B$5, IF(H242="1+3", C242 + CADASTROS!$B$6, ""))))</f>
        <v>45527</v>
      </c>
      <c r="J242" s="8">
        <f t="shared" si="12"/>
        <v>1927.6666666666667</v>
      </c>
      <c r="K242" s="3">
        <f>IF($L242&lt;&gt;"", IF($H242="A VISTA", "", IF($H242="1+1", $C242 + CADASTROS!$C$4, IF($H242="1+2", $C242 + CADASTROS!$C$5, IF($H242="1+3", $C242 + CADASTROS!$E$4, "")))), "")</f>
        <v>45556</v>
      </c>
      <c r="L242" s="8">
        <f t="shared" si="13"/>
        <v>1927.6666666666667</v>
      </c>
      <c r="M242" s="3">
        <f>IF($N242&lt;&gt;"", IF($H242="A VISTA", "", IF($H242="1+1", $C242 + CADASTROS!$C$4, IF($H242="1+2", $C242 + CADASTROS!$D$5, IF($H242="1+3", $C242 + CADASTROS!$D$6, "")))), "")</f>
        <v>45571</v>
      </c>
      <c r="N242" s="8">
        <f t="shared" si="14"/>
        <v>1927.6666666666663</v>
      </c>
      <c r="O242" s="3" t="str">
        <f>IF($P242&lt;&gt;"", IF($H242="A VISTA", "", IF($H242="1+1", $C242 + CADASTROS!$C$4, IF($H242="1+2", $C242 + CADASTROS!$C$5, IF($H242="1+3", $C242 + CADASTROS!$E$6, "")))), "")</f>
        <v/>
      </c>
      <c r="P242" s="8" t="str">
        <f t="shared" si="15"/>
        <v/>
      </c>
    </row>
    <row r="243" spans="1:16">
      <c r="A243" s="2" t="s">
        <v>379</v>
      </c>
      <c r="B243" s="6" t="s">
        <v>59</v>
      </c>
      <c r="C243" s="7">
        <v>45260</v>
      </c>
      <c r="D243" s="7" t="s">
        <v>108</v>
      </c>
      <c r="E243" s="4" t="s">
        <v>111</v>
      </c>
      <c r="F243" s="4" t="s">
        <v>121</v>
      </c>
      <c r="G243" s="8">
        <v>1013</v>
      </c>
      <c r="H243" s="8" t="s">
        <v>126</v>
      </c>
      <c r="I243" s="3">
        <f>IF($H243="A VISTA", C243 + CADASTROS!$B$3, IF($H243="1+1", C243 + CADASTROS!$B$4, IF(H243="1+2", C243 + CADASTROS!$B$5, IF(H243="1+3", C243 + CADASTROS!$B$6, ""))))</f>
        <v>45261</v>
      </c>
      <c r="J243" s="8">
        <f t="shared" si="12"/>
        <v>1013</v>
      </c>
      <c r="K243" s="3" t="str">
        <f>IF($L243&lt;&gt;"", IF($H243="A VISTA", "", IF($H243="1+1", $C243 + CADASTROS!$C$4, IF($H243="1+2", $C243 + CADASTROS!$C$5, IF($H243="1+3", $C243 + CADASTROS!$E$4, "")))), "")</f>
        <v/>
      </c>
      <c r="L243" s="8" t="str">
        <f t="shared" si="13"/>
        <v/>
      </c>
      <c r="M243" s="3" t="str">
        <f>IF($N243&lt;&gt;"", IF($H243="A VISTA", "", IF($H243="1+1", $C243 + CADASTROS!$C$4, IF($H243="1+2", $C243 + CADASTROS!$D$5, IF($H243="1+3", $C243 + CADASTROS!$D$6, "")))), "")</f>
        <v/>
      </c>
      <c r="N243" s="8" t="str">
        <f t="shared" si="14"/>
        <v/>
      </c>
      <c r="O243" s="3" t="str">
        <f>IF($P243&lt;&gt;"", IF($H243="A VISTA", "", IF($H243="1+1", $C243 + CADASTROS!$C$4, IF($H243="1+2", $C243 + CADASTROS!$C$5, IF($H243="1+3", $C243 + CADASTROS!$E$6, "")))), "")</f>
        <v/>
      </c>
      <c r="P243" s="8" t="str">
        <f t="shared" si="15"/>
        <v/>
      </c>
    </row>
    <row r="244" spans="1:16">
      <c r="A244" s="2" t="s">
        <v>380</v>
      </c>
      <c r="B244" s="6" t="s">
        <v>19</v>
      </c>
      <c r="C244" s="7">
        <v>45181</v>
      </c>
      <c r="D244" s="7" t="s">
        <v>68</v>
      </c>
      <c r="E244" s="4" t="s">
        <v>111</v>
      </c>
      <c r="F244" s="4" t="s">
        <v>118</v>
      </c>
      <c r="G244" s="8">
        <v>1296</v>
      </c>
      <c r="H244" s="8" t="s">
        <v>137</v>
      </c>
      <c r="I244" s="3">
        <f>IF($H244="A VISTA", C244 + CADASTROS!$B$3, IF($H244="1+1", C244 + CADASTROS!$B$4, IF(H244="1+2", C244 + CADASTROS!$B$5, IF(H244="1+3", C244 + CADASTROS!$B$6, ""))))</f>
        <v>45182</v>
      </c>
      <c r="J244" s="8">
        <f t="shared" si="12"/>
        <v>432</v>
      </c>
      <c r="K244" s="3">
        <f>IF($L244&lt;&gt;"", IF($H244="A VISTA", "", IF($H244="1+1", $C244 + CADASTROS!$C$4, IF($H244="1+2", $C244 + CADASTROS!$C$5, IF($H244="1+3", $C244 + CADASTROS!$E$4, "")))), "")</f>
        <v>45211</v>
      </c>
      <c r="L244" s="8">
        <f t="shared" si="13"/>
        <v>432</v>
      </c>
      <c r="M244" s="3">
        <f>IF($N244&lt;&gt;"", IF($H244="A VISTA", "", IF($H244="1+1", $C244 + CADASTROS!$C$4, IF($H244="1+2", $C244 + CADASTROS!$D$5, IF($H244="1+3", $C244 + CADASTROS!$D$6, "")))), "")</f>
        <v>45226</v>
      </c>
      <c r="N244" s="8">
        <f t="shared" si="14"/>
        <v>432</v>
      </c>
      <c r="O244" s="3" t="str">
        <f>IF($P244&lt;&gt;"", IF($H244="A VISTA", "", IF($H244="1+1", $C244 + CADASTROS!$C$4, IF($H244="1+2", $C244 + CADASTROS!$C$5, IF($H244="1+3", $C244 + CADASTROS!$E$6, "")))), "")</f>
        <v/>
      </c>
      <c r="P244" s="8" t="str">
        <f t="shared" si="15"/>
        <v/>
      </c>
    </row>
    <row r="245" spans="1:16">
      <c r="A245" s="2" t="s">
        <v>381</v>
      </c>
      <c r="B245" s="6" t="s">
        <v>59</v>
      </c>
      <c r="C245" s="7">
        <v>45133</v>
      </c>
      <c r="D245" s="7" t="s">
        <v>108</v>
      </c>
      <c r="E245" s="4" t="s">
        <v>111</v>
      </c>
      <c r="F245" s="4" t="s">
        <v>121</v>
      </c>
      <c r="G245" s="8">
        <v>3437</v>
      </c>
      <c r="H245" s="8" t="s">
        <v>136</v>
      </c>
      <c r="I245" s="3">
        <f>IF($H245="A VISTA", C245 + CADASTROS!$B$3, IF($H245="1+1", C245 + CADASTROS!$B$4, IF(H245="1+2", C245 + CADASTROS!$B$5, IF(H245="1+3", C245 + CADASTROS!$B$6, ""))))</f>
        <v>45134</v>
      </c>
      <c r="J245" s="8">
        <f t="shared" si="12"/>
        <v>859.25</v>
      </c>
      <c r="K245" s="3">
        <f>IF($L245&lt;&gt;"", IF($H245="A VISTA", "", IF($H245="1+1", $C245 + CADASTROS!$C$4, IF($H245="1+2", $C245 + CADASTROS!$C$5, IF($H245="1+3", $C245 + CADASTROS!$E$4, "")))), "")</f>
        <v>45133</v>
      </c>
      <c r="L245" s="8">
        <f t="shared" si="13"/>
        <v>859.25</v>
      </c>
      <c r="M245" s="3">
        <f>IF($N245&lt;&gt;"", IF($H245="A VISTA", "", IF($H245="1+1", $C245 + CADASTROS!$C$4, IF($H245="1+2", $C245 + CADASTROS!$D$5, IF($H245="1+3", $C245 + CADASTROS!$D$6, "")))), "")</f>
        <v>45178</v>
      </c>
      <c r="N245" s="8">
        <f t="shared" si="14"/>
        <v>859.25</v>
      </c>
      <c r="O245" s="3">
        <f>IF($P245&lt;&gt;"", IF($H245="A VISTA", "", IF($H245="1+1", $C245 + CADASTROS!$C$4, IF($H245="1+2", $C245 + CADASTROS!$C$5, IF($H245="1+3", $C245 + CADASTROS!$E$6, "")))), "")</f>
        <v>45193</v>
      </c>
      <c r="P245" s="8">
        <f t="shared" si="15"/>
        <v>859.25</v>
      </c>
    </row>
    <row r="246" spans="1:16">
      <c r="A246" s="2" t="s">
        <v>382</v>
      </c>
      <c r="B246" s="6" t="s">
        <v>23</v>
      </c>
      <c r="C246" s="7">
        <v>45348</v>
      </c>
      <c r="D246" s="7" t="s">
        <v>72</v>
      </c>
      <c r="E246" s="4" t="s">
        <v>110</v>
      </c>
      <c r="F246" s="4" t="s">
        <v>113</v>
      </c>
      <c r="G246" s="8">
        <v>4535</v>
      </c>
      <c r="H246" s="8" t="s">
        <v>137</v>
      </c>
      <c r="I246" s="3">
        <f>IF($H246="A VISTA", C246 + CADASTROS!$B$3, IF($H246="1+1", C246 + CADASTROS!$B$4, IF(H246="1+2", C246 + CADASTROS!$B$5, IF(H246="1+3", C246 + CADASTROS!$B$6, ""))))</f>
        <v>45349</v>
      </c>
      <c r="J246" s="8">
        <f t="shared" si="12"/>
        <v>1511.6666666666667</v>
      </c>
      <c r="K246" s="3">
        <f>IF($L246&lt;&gt;"", IF($H246="A VISTA", "", IF($H246="1+1", $C246 + CADASTROS!$C$4, IF($H246="1+2", $C246 + CADASTROS!$C$5, IF($H246="1+3", $C246 + CADASTROS!$E$4, "")))), "")</f>
        <v>45378</v>
      </c>
      <c r="L246" s="8">
        <f t="shared" si="13"/>
        <v>1511.6666666666667</v>
      </c>
      <c r="M246" s="3">
        <f>IF($N246&lt;&gt;"", IF($H246="A VISTA", "", IF($H246="1+1", $C246 + CADASTROS!$C$4, IF($H246="1+2", $C246 + CADASTROS!$D$5, IF($H246="1+3", $C246 + CADASTROS!$D$6, "")))), "")</f>
        <v>45393</v>
      </c>
      <c r="N246" s="8">
        <f t="shared" si="14"/>
        <v>1511.6666666666663</v>
      </c>
      <c r="O246" s="3" t="str">
        <f>IF($P246&lt;&gt;"", IF($H246="A VISTA", "", IF($H246="1+1", $C246 + CADASTROS!$C$4, IF($H246="1+2", $C246 + CADASTROS!$C$5, IF($H246="1+3", $C246 + CADASTROS!$E$6, "")))), "")</f>
        <v/>
      </c>
      <c r="P246" s="8" t="str">
        <f t="shared" si="15"/>
        <v/>
      </c>
    </row>
    <row r="247" spans="1:16">
      <c r="A247" s="2" t="s">
        <v>383</v>
      </c>
      <c r="B247" s="6" t="s">
        <v>23</v>
      </c>
      <c r="C247" s="7">
        <v>45090</v>
      </c>
      <c r="D247" s="7" t="s">
        <v>72</v>
      </c>
      <c r="E247" s="4" t="s">
        <v>110</v>
      </c>
      <c r="F247" s="4" t="s">
        <v>113</v>
      </c>
      <c r="G247" s="8">
        <v>6258</v>
      </c>
      <c r="H247" s="8" t="s">
        <v>137</v>
      </c>
      <c r="I247" s="3">
        <f>IF($H247="A VISTA", C247 + CADASTROS!$B$3, IF($H247="1+1", C247 + CADASTROS!$B$4, IF(H247="1+2", C247 + CADASTROS!$B$5, IF(H247="1+3", C247 + CADASTROS!$B$6, ""))))</f>
        <v>45091</v>
      </c>
      <c r="J247" s="8">
        <f t="shared" si="12"/>
        <v>2086</v>
      </c>
      <c r="K247" s="3">
        <f>IF($L247&lt;&gt;"", IF($H247="A VISTA", "", IF($H247="1+1", $C247 + CADASTROS!$C$4, IF($H247="1+2", $C247 + CADASTROS!$C$5, IF($H247="1+3", $C247 + CADASTROS!$E$4, "")))), "")</f>
        <v>45120</v>
      </c>
      <c r="L247" s="8">
        <f t="shared" si="13"/>
        <v>2086</v>
      </c>
      <c r="M247" s="3">
        <f>IF($N247&lt;&gt;"", IF($H247="A VISTA", "", IF($H247="1+1", $C247 + CADASTROS!$C$4, IF($H247="1+2", $C247 + CADASTROS!$D$5, IF($H247="1+3", $C247 + CADASTROS!$D$6, "")))), "")</f>
        <v>45135</v>
      </c>
      <c r="N247" s="8">
        <f t="shared" si="14"/>
        <v>2086</v>
      </c>
      <c r="O247" s="3" t="str">
        <f>IF($P247&lt;&gt;"", IF($H247="A VISTA", "", IF($H247="1+1", $C247 + CADASTROS!$C$4, IF($H247="1+2", $C247 + CADASTROS!$C$5, IF($H247="1+3", $C247 + CADASTROS!$E$6, "")))), "")</f>
        <v/>
      </c>
      <c r="P247" s="8" t="str">
        <f t="shared" si="15"/>
        <v/>
      </c>
    </row>
    <row r="248" spans="1:16">
      <c r="A248" s="2" t="s">
        <v>384</v>
      </c>
      <c r="B248" s="6" t="s">
        <v>43</v>
      </c>
      <c r="C248" s="7">
        <v>45463</v>
      </c>
      <c r="D248" s="7" t="s">
        <v>92</v>
      </c>
      <c r="E248" s="4" t="s">
        <v>110</v>
      </c>
      <c r="F248" s="4" t="s">
        <v>124</v>
      </c>
      <c r="G248" s="8">
        <v>9865</v>
      </c>
      <c r="H248" s="8" t="s">
        <v>137</v>
      </c>
      <c r="I248" s="3">
        <f>IF($H248="A VISTA", C248 + CADASTROS!$B$3, IF($H248="1+1", C248 + CADASTROS!$B$4, IF(H248="1+2", C248 + CADASTROS!$B$5, IF(H248="1+3", C248 + CADASTROS!$B$6, ""))))</f>
        <v>45464</v>
      </c>
      <c r="J248" s="8">
        <f t="shared" si="12"/>
        <v>3288.3333333333335</v>
      </c>
      <c r="K248" s="3">
        <f>IF($L248&lt;&gt;"", IF($H248="A VISTA", "", IF($H248="1+1", $C248 + CADASTROS!$C$4, IF($H248="1+2", $C248 + CADASTROS!$C$5, IF($H248="1+3", $C248 + CADASTROS!$E$4, "")))), "")</f>
        <v>45493</v>
      </c>
      <c r="L248" s="8">
        <f t="shared" si="13"/>
        <v>3288.3333333333335</v>
      </c>
      <c r="M248" s="3">
        <f>IF($N248&lt;&gt;"", IF($H248="A VISTA", "", IF($H248="1+1", $C248 + CADASTROS!$C$4, IF($H248="1+2", $C248 + CADASTROS!$D$5, IF($H248="1+3", $C248 + CADASTROS!$D$6, "")))), "")</f>
        <v>45508</v>
      </c>
      <c r="N248" s="8">
        <f t="shared" si="14"/>
        <v>3288.3333333333326</v>
      </c>
      <c r="O248" s="3" t="str">
        <f>IF($P248&lt;&gt;"", IF($H248="A VISTA", "", IF($H248="1+1", $C248 + CADASTROS!$C$4, IF($H248="1+2", $C248 + CADASTROS!$C$5, IF($H248="1+3", $C248 + CADASTROS!$E$6, "")))), "")</f>
        <v/>
      </c>
      <c r="P248" s="8" t="str">
        <f t="shared" si="15"/>
        <v/>
      </c>
    </row>
    <row r="249" spans="1:16">
      <c r="A249" s="2" t="s">
        <v>385</v>
      </c>
      <c r="B249" s="6" t="s">
        <v>27</v>
      </c>
      <c r="C249" s="7">
        <v>45267</v>
      </c>
      <c r="D249" s="7" t="s">
        <v>76</v>
      </c>
      <c r="E249" s="4" t="s">
        <v>110</v>
      </c>
      <c r="F249" s="4" t="s">
        <v>125</v>
      </c>
      <c r="G249" s="8">
        <v>3344</v>
      </c>
      <c r="H249" s="8" t="s">
        <v>138</v>
      </c>
      <c r="I249" s="3">
        <f>IF($H249="A VISTA", C249 + CADASTROS!$B$3, IF($H249="1+1", C249 + CADASTROS!$B$4, IF(H249="1+2", C249 + CADASTROS!$B$5, IF(H249="1+3", C249 + CADASTROS!$B$6, ""))))</f>
        <v>45268</v>
      </c>
      <c r="J249" s="8">
        <f t="shared" si="12"/>
        <v>1672</v>
      </c>
      <c r="K249" s="3">
        <f>IF($L249&lt;&gt;"", IF($H249="A VISTA", "", IF($H249="1+1", $C249 + CADASTROS!$C$4, IF($H249="1+2", $C249 + CADASTROS!$C$5, IF($H249="1+3", $C249 + CADASTROS!$E$4, "")))), "")</f>
        <v>45297</v>
      </c>
      <c r="L249" s="8">
        <f t="shared" si="13"/>
        <v>1672</v>
      </c>
      <c r="M249" s="3" t="str">
        <f>IF($N249&lt;&gt;"", IF($H249="A VISTA", "", IF($H249="1+1", $C249 + CADASTROS!$C$4, IF($H249="1+2", $C249 + CADASTROS!$D$5, IF($H249="1+3", $C249 + CADASTROS!$D$6, "")))), "")</f>
        <v/>
      </c>
      <c r="N249" s="8" t="str">
        <f t="shared" si="14"/>
        <v/>
      </c>
      <c r="O249" s="3" t="str">
        <f>IF($P249&lt;&gt;"", IF($H249="A VISTA", "", IF($H249="1+1", $C249 + CADASTROS!$C$4, IF($H249="1+2", $C249 + CADASTROS!$C$5, IF($H249="1+3", $C249 + CADASTROS!$E$6, "")))), "")</f>
        <v/>
      </c>
      <c r="P249" s="8" t="str">
        <f t="shared" si="15"/>
        <v/>
      </c>
    </row>
    <row r="250" spans="1:16">
      <c r="A250" s="2" t="s">
        <v>386</v>
      </c>
      <c r="B250" s="6" t="s">
        <v>25</v>
      </c>
      <c r="C250" s="7">
        <v>45199</v>
      </c>
      <c r="D250" s="7" t="s">
        <v>74</v>
      </c>
      <c r="E250" s="4" t="s">
        <v>111</v>
      </c>
      <c r="F250" s="4" t="s">
        <v>120</v>
      </c>
      <c r="G250" s="8">
        <v>3488</v>
      </c>
      <c r="H250" s="8" t="s">
        <v>136</v>
      </c>
      <c r="I250" s="3">
        <f>IF($H250="A VISTA", C250 + CADASTROS!$B$3, IF($H250="1+1", C250 + CADASTROS!$B$4, IF(H250="1+2", C250 + CADASTROS!$B$5, IF(H250="1+3", C250 + CADASTROS!$B$6, ""))))</f>
        <v>45200</v>
      </c>
      <c r="J250" s="8">
        <f t="shared" si="12"/>
        <v>872</v>
      </c>
      <c r="K250" s="3">
        <f>IF($L250&lt;&gt;"", IF($H250="A VISTA", "", IF($H250="1+1", $C250 + CADASTROS!$C$4, IF($H250="1+2", $C250 + CADASTROS!$C$5, IF($H250="1+3", $C250 + CADASTROS!$E$4, "")))), "")</f>
        <v>45199</v>
      </c>
      <c r="L250" s="8">
        <f t="shared" si="13"/>
        <v>872</v>
      </c>
      <c r="M250" s="3">
        <f>IF($N250&lt;&gt;"", IF($H250="A VISTA", "", IF($H250="1+1", $C250 + CADASTROS!$C$4, IF($H250="1+2", $C250 + CADASTROS!$D$5, IF($H250="1+3", $C250 + CADASTROS!$D$6, "")))), "")</f>
        <v>45244</v>
      </c>
      <c r="N250" s="8">
        <f t="shared" si="14"/>
        <v>872</v>
      </c>
      <c r="O250" s="3">
        <f>IF($P250&lt;&gt;"", IF($H250="A VISTA", "", IF($H250="1+1", $C250 + CADASTROS!$C$4, IF($H250="1+2", $C250 + CADASTROS!$C$5, IF($H250="1+3", $C250 + CADASTROS!$E$6, "")))), "")</f>
        <v>45259</v>
      </c>
      <c r="P250" s="8">
        <f t="shared" si="15"/>
        <v>872</v>
      </c>
    </row>
    <row r="251" spans="1:16">
      <c r="A251" s="2" t="s">
        <v>387</v>
      </c>
      <c r="B251" s="6" t="s">
        <v>53</v>
      </c>
      <c r="C251" s="7">
        <v>45368</v>
      </c>
      <c r="D251" s="7" t="s">
        <v>102</v>
      </c>
      <c r="E251" s="4" t="s">
        <v>111</v>
      </c>
      <c r="F251" s="4" t="s">
        <v>117</v>
      </c>
      <c r="G251" s="8">
        <v>6517</v>
      </c>
      <c r="H251" s="8" t="s">
        <v>136</v>
      </c>
      <c r="I251" s="3">
        <f>IF($H251="A VISTA", C251 + CADASTROS!$B$3, IF($H251="1+1", C251 + CADASTROS!$B$4, IF(H251="1+2", C251 + CADASTROS!$B$5, IF(H251="1+3", C251 + CADASTROS!$B$6, ""))))</f>
        <v>45369</v>
      </c>
      <c r="J251" s="8">
        <f t="shared" si="12"/>
        <v>1629.25</v>
      </c>
      <c r="K251" s="3">
        <f>IF($L251&lt;&gt;"", IF($H251="A VISTA", "", IF($H251="1+1", $C251 + CADASTROS!$C$4, IF($H251="1+2", $C251 + CADASTROS!$C$5, IF($H251="1+3", $C251 + CADASTROS!$E$4, "")))), "")</f>
        <v>45368</v>
      </c>
      <c r="L251" s="8">
        <f t="shared" si="13"/>
        <v>1629.25</v>
      </c>
      <c r="M251" s="3">
        <f>IF($N251&lt;&gt;"", IF($H251="A VISTA", "", IF($H251="1+1", $C251 + CADASTROS!$C$4, IF($H251="1+2", $C251 + CADASTROS!$D$5, IF($H251="1+3", $C251 + CADASTROS!$D$6, "")))), "")</f>
        <v>45413</v>
      </c>
      <c r="N251" s="8">
        <f t="shared" si="14"/>
        <v>1629.25</v>
      </c>
      <c r="O251" s="3">
        <f>IF($P251&lt;&gt;"", IF($H251="A VISTA", "", IF($H251="1+1", $C251 + CADASTROS!$C$4, IF($H251="1+2", $C251 + CADASTROS!$C$5, IF($H251="1+3", $C251 + CADASTROS!$E$6, "")))), "")</f>
        <v>45428</v>
      </c>
      <c r="P251" s="8">
        <f t="shared" si="15"/>
        <v>1629.25</v>
      </c>
    </row>
    <row r="252" spans="1:16">
      <c r="A252" s="2" t="s">
        <v>388</v>
      </c>
      <c r="B252" s="6" t="s">
        <v>13</v>
      </c>
      <c r="C252" s="7">
        <v>45400</v>
      </c>
      <c r="D252" s="7" t="s">
        <v>63</v>
      </c>
      <c r="E252" s="4" t="s">
        <v>111</v>
      </c>
      <c r="F252" s="4" t="s">
        <v>120</v>
      </c>
      <c r="G252" s="8">
        <v>4114</v>
      </c>
      <c r="H252" s="8" t="s">
        <v>137</v>
      </c>
      <c r="I252" s="3">
        <f>IF($H252="A VISTA", C252 + CADASTROS!$B$3, IF($H252="1+1", C252 + CADASTROS!$B$4, IF(H252="1+2", C252 + CADASTROS!$B$5, IF(H252="1+3", C252 + CADASTROS!$B$6, ""))))</f>
        <v>45401</v>
      </c>
      <c r="J252" s="8">
        <f t="shared" si="12"/>
        <v>1371.3333333333333</v>
      </c>
      <c r="K252" s="3">
        <f>IF($L252&lt;&gt;"", IF($H252="A VISTA", "", IF($H252="1+1", $C252 + CADASTROS!$C$4, IF($H252="1+2", $C252 + CADASTROS!$C$5, IF($H252="1+3", $C252 + CADASTROS!$E$4, "")))), "")</f>
        <v>45430</v>
      </c>
      <c r="L252" s="8">
        <f t="shared" si="13"/>
        <v>1371.3333333333333</v>
      </c>
      <c r="M252" s="3">
        <f>IF($N252&lt;&gt;"", IF($H252="A VISTA", "", IF($H252="1+1", $C252 + CADASTROS!$C$4, IF($H252="1+2", $C252 + CADASTROS!$D$5, IF($H252="1+3", $C252 + CADASTROS!$D$6, "")))), "")</f>
        <v>45445</v>
      </c>
      <c r="N252" s="8">
        <f t="shared" si="14"/>
        <v>1371.3333333333337</v>
      </c>
      <c r="O252" s="3" t="str">
        <f>IF($P252&lt;&gt;"", IF($H252="A VISTA", "", IF($H252="1+1", $C252 + CADASTROS!$C$4, IF($H252="1+2", $C252 + CADASTROS!$C$5, IF($H252="1+3", $C252 + CADASTROS!$E$6, "")))), "")</f>
        <v/>
      </c>
      <c r="P252" s="8" t="str">
        <f t="shared" si="15"/>
        <v/>
      </c>
    </row>
    <row r="253" spans="1:16">
      <c r="A253" s="2" t="s">
        <v>389</v>
      </c>
      <c r="B253" s="6" t="s">
        <v>57</v>
      </c>
      <c r="C253" s="7">
        <v>45338</v>
      </c>
      <c r="D253" s="7" t="s">
        <v>106</v>
      </c>
      <c r="E253" s="4" t="s">
        <v>112</v>
      </c>
      <c r="F253" s="4" t="s">
        <v>122</v>
      </c>
      <c r="G253" s="8">
        <v>5034</v>
      </c>
      <c r="H253" s="8" t="s">
        <v>126</v>
      </c>
      <c r="I253" s="3">
        <f>IF($H253="A VISTA", C253 + CADASTROS!$B$3, IF($H253="1+1", C253 + CADASTROS!$B$4, IF(H253="1+2", C253 + CADASTROS!$B$5, IF(H253="1+3", C253 + CADASTROS!$B$6, ""))))</f>
        <v>45339</v>
      </c>
      <c r="J253" s="8">
        <f t="shared" si="12"/>
        <v>5034</v>
      </c>
      <c r="K253" s="3" t="str">
        <f>IF($L253&lt;&gt;"", IF($H253="A VISTA", "", IF($H253="1+1", $C253 + CADASTROS!$C$4, IF($H253="1+2", $C253 + CADASTROS!$C$5, IF($H253="1+3", $C253 + CADASTROS!$E$4, "")))), "")</f>
        <v/>
      </c>
      <c r="L253" s="8" t="str">
        <f t="shared" si="13"/>
        <v/>
      </c>
      <c r="M253" s="3" t="str">
        <f>IF($N253&lt;&gt;"", IF($H253="A VISTA", "", IF($H253="1+1", $C253 + CADASTROS!$C$4, IF($H253="1+2", $C253 + CADASTROS!$D$5, IF($H253="1+3", $C253 + CADASTROS!$D$6, "")))), "")</f>
        <v/>
      </c>
      <c r="N253" s="8" t="str">
        <f t="shared" si="14"/>
        <v/>
      </c>
      <c r="O253" s="3" t="str">
        <f>IF($P253&lt;&gt;"", IF($H253="A VISTA", "", IF($H253="1+1", $C253 + CADASTROS!$C$4, IF($H253="1+2", $C253 + CADASTROS!$C$5, IF($H253="1+3", $C253 + CADASTROS!$E$6, "")))), "")</f>
        <v/>
      </c>
      <c r="P253" s="8" t="str">
        <f t="shared" si="15"/>
        <v/>
      </c>
    </row>
    <row r="254" spans="1:16">
      <c r="A254" s="2" t="s">
        <v>390</v>
      </c>
      <c r="B254" s="6" t="s">
        <v>17</v>
      </c>
      <c r="C254" s="7">
        <v>45283</v>
      </c>
      <c r="D254" s="7" t="s">
        <v>66</v>
      </c>
      <c r="E254" s="4" t="s">
        <v>110</v>
      </c>
      <c r="F254" s="4" t="s">
        <v>114</v>
      </c>
      <c r="G254" s="8">
        <v>3245</v>
      </c>
      <c r="H254" s="8" t="s">
        <v>136</v>
      </c>
      <c r="I254" s="3">
        <f>IF($H254="A VISTA", C254 + CADASTROS!$B$3, IF($H254="1+1", C254 + CADASTROS!$B$4, IF(H254="1+2", C254 + CADASTROS!$B$5, IF(H254="1+3", C254 + CADASTROS!$B$6, ""))))</f>
        <v>45284</v>
      </c>
      <c r="J254" s="8">
        <f t="shared" si="12"/>
        <v>811.25</v>
      </c>
      <c r="K254" s="3">
        <f>IF($L254&lt;&gt;"", IF($H254="A VISTA", "", IF($H254="1+1", $C254 + CADASTROS!$C$4, IF($H254="1+2", $C254 + CADASTROS!$C$5, IF($H254="1+3", $C254 + CADASTROS!$E$4, "")))), "")</f>
        <v>45283</v>
      </c>
      <c r="L254" s="8">
        <f t="shared" si="13"/>
        <v>811.25</v>
      </c>
      <c r="M254" s="3">
        <f>IF($N254&lt;&gt;"", IF($H254="A VISTA", "", IF($H254="1+1", $C254 + CADASTROS!$C$4, IF($H254="1+2", $C254 + CADASTROS!$D$5, IF($H254="1+3", $C254 + CADASTROS!$D$6, "")))), "")</f>
        <v>45328</v>
      </c>
      <c r="N254" s="8">
        <f t="shared" si="14"/>
        <v>811.25</v>
      </c>
      <c r="O254" s="3">
        <f>IF($P254&lt;&gt;"", IF($H254="A VISTA", "", IF($H254="1+1", $C254 + CADASTROS!$C$4, IF($H254="1+2", $C254 + CADASTROS!$C$5, IF($H254="1+3", $C254 + CADASTROS!$E$6, "")))), "")</f>
        <v>45343</v>
      </c>
      <c r="P254" s="8">
        <f t="shared" si="15"/>
        <v>811.25</v>
      </c>
    </row>
    <row r="255" spans="1:16">
      <c r="A255" s="2" t="s">
        <v>391</v>
      </c>
      <c r="B255" s="6" t="s">
        <v>46</v>
      </c>
      <c r="C255" s="7">
        <v>45411</v>
      </c>
      <c r="D255" s="7" t="s">
        <v>95</v>
      </c>
      <c r="E255" s="4" t="s">
        <v>112</v>
      </c>
      <c r="F255" s="4" t="s">
        <v>122</v>
      </c>
      <c r="G255" s="8">
        <v>8733</v>
      </c>
      <c r="H255" s="8" t="s">
        <v>126</v>
      </c>
      <c r="I255" s="3">
        <f>IF($H255="A VISTA", C255 + CADASTROS!$B$3, IF($H255="1+1", C255 + CADASTROS!$B$4, IF(H255="1+2", C255 + CADASTROS!$B$5, IF(H255="1+3", C255 + CADASTROS!$B$6, ""))))</f>
        <v>45412</v>
      </c>
      <c r="J255" s="8">
        <f t="shared" si="12"/>
        <v>8733</v>
      </c>
      <c r="K255" s="3" t="str">
        <f>IF($L255&lt;&gt;"", IF($H255="A VISTA", "", IF($H255="1+1", $C255 + CADASTROS!$C$4, IF($H255="1+2", $C255 + CADASTROS!$C$5, IF($H255="1+3", $C255 + CADASTROS!$E$4, "")))), "")</f>
        <v/>
      </c>
      <c r="L255" s="8" t="str">
        <f t="shared" si="13"/>
        <v/>
      </c>
      <c r="M255" s="3" t="str">
        <f>IF($N255&lt;&gt;"", IF($H255="A VISTA", "", IF($H255="1+1", $C255 + CADASTROS!$C$4, IF($H255="1+2", $C255 + CADASTROS!$D$5, IF($H255="1+3", $C255 + CADASTROS!$D$6, "")))), "")</f>
        <v/>
      </c>
      <c r="N255" s="8" t="str">
        <f t="shared" si="14"/>
        <v/>
      </c>
      <c r="O255" s="3" t="str">
        <f>IF($P255&lt;&gt;"", IF($H255="A VISTA", "", IF($H255="1+1", $C255 + CADASTROS!$C$4, IF($H255="1+2", $C255 + CADASTROS!$C$5, IF($H255="1+3", $C255 + CADASTROS!$E$6, "")))), "")</f>
        <v/>
      </c>
      <c r="P255" s="8" t="str">
        <f t="shared" si="15"/>
        <v/>
      </c>
    </row>
    <row r="256" spans="1:16">
      <c r="A256" s="2" t="s">
        <v>392</v>
      </c>
      <c r="B256" s="6" t="s">
        <v>30</v>
      </c>
      <c r="C256" s="7">
        <v>45292</v>
      </c>
      <c r="D256" s="7" t="s">
        <v>79</v>
      </c>
      <c r="E256" s="4" t="s">
        <v>111</v>
      </c>
      <c r="F256" s="4" t="s">
        <v>118</v>
      </c>
      <c r="G256" s="8">
        <v>7791</v>
      </c>
      <c r="H256" s="8" t="s">
        <v>137</v>
      </c>
      <c r="I256" s="3">
        <f>IF($H256="A VISTA", C256 + CADASTROS!$B$3, IF($H256="1+1", C256 + CADASTROS!$B$4, IF(H256="1+2", C256 + CADASTROS!$B$5, IF(H256="1+3", C256 + CADASTROS!$B$6, ""))))</f>
        <v>45293</v>
      </c>
      <c r="J256" s="8">
        <f t="shared" si="12"/>
        <v>2597</v>
      </c>
      <c r="K256" s="3">
        <f>IF($L256&lt;&gt;"", IF($H256="A VISTA", "", IF($H256="1+1", $C256 + CADASTROS!$C$4, IF($H256="1+2", $C256 + CADASTROS!$C$5, IF($H256="1+3", $C256 + CADASTROS!$E$4, "")))), "")</f>
        <v>45322</v>
      </c>
      <c r="L256" s="8">
        <f t="shared" si="13"/>
        <v>2597</v>
      </c>
      <c r="M256" s="3">
        <f>IF($N256&lt;&gt;"", IF($H256="A VISTA", "", IF($H256="1+1", $C256 + CADASTROS!$C$4, IF($H256="1+2", $C256 + CADASTROS!$D$5, IF($H256="1+3", $C256 + CADASTROS!$D$6, "")))), "")</f>
        <v>45337</v>
      </c>
      <c r="N256" s="8">
        <f t="shared" si="14"/>
        <v>2597</v>
      </c>
      <c r="O256" s="3" t="str">
        <f>IF($P256&lt;&gt;"", IF($H256="A VISTA", "", IF($H256="1+1", $C256 + CADASTROS!$C$4, IF($H256="1+2", $C256 + CADASTROS!$C$5, IF($H256="1+3", $C256 + CADASTROS!$E$6, "")))), "")</f>
        <v/>
      </c>
      <c r="P256" s="8" t="str">
        <f t="shared" si="15"/>
        <v/>
      </c>
    </row>
    <row r="257" spans="1:16">
      <c r="A257" s="2" t="s">
        <v>393</v>
      </c>
      <c r="B257" s="6" t="s">
        <v>21</v>
      </c>
      <c r="C257" s="7">
        <v>45309</v>
      </c>
      <c r="D257" s="7" t="s">
        <v>70</v>
      </c>
      <c r="E257" s="4" t="s">
        <v>110</v>
      </c>
      <c r="F257" s="4" t="s">
        <v>124</v>
      </c>
      <c r="G257" s="8">
        <v>7219</v>
      </c>
      <c r="H257" s="8" t="s">
        <v>137</v>
      </c>
      <c r="I257" s="3">
        <f>IF($H257="A VISTA", C257 + CADASTROS!$B$3, IF($H257="1+1", C257 + CADASTROS!$B$4, IF(H257="1+2", C257 + CADASTROS!$B$5, IF(H257="1+3", C257 + CADASTROS!$B$6, ""))))</f>
        <v>45310</v>
      </c>
      <c r="J257" s="8">
        <f t="shared" si="12"/>
        <v>2406.3333333333335</v>
      </c>
      <c r="K257" s="3">
        <f>IF($L257&lt;&gt;"", IF($H257="A VISTA", "", IF($H257="1+1", $C257 + CADASTROS!$C$4, IF($H257="1+2", $C257 + CADASTROS!$C$5, IF($H257="1+3", $C257 + CADASTROS!$E$4, "")))), "")</f>
        <v>45339</v>
      </c>
      <c r="L257" s="8">
        <f t="shared" si="13"/>
        <v>2406.3333333333335</v>
      </c>
      <c r="M257" s="3">
        <f>IF($N257&lt;&gt;"", IF($H257="A VISTA", "", IF($H257="1+1", $C257 + CADASTROS!$C$4, IF($H257="1+2", $C257 + CADASTROS!$D$5, IF($H257="1+3", $C257 + CADASTROS!$D$6, "")))), "")</f>
        <v>45354</v>
      </c>
      <c r="N257" s="8">
        <f t="shared" si="14"/>
        <v>2406.3333333333326</v>
      </c>
      <c r="O257" s="3" t="str">
        <f>IF($P257&lt;&gt;"", IF($H257="A VISTA", "", IF($H257="1+1", $C257 + CADASTROS!$C$4, IF($H257="1+2", $C257 + CADASTROS!$C$5, IF($H257="1+3", $C257 + CADASTROS!$E$6, "")))), "")</f>
        <v/>
      </c>
      <c r="P257" s="8" t="str">
        <f t="shared" si="15"/>
        <v/>
      </c>
    </row>
    <row r="258" spans="1:16">
      <c r="A258" s="2" t="s">
        <v>394</v>
      </c>
      <c r="B258" s="6" t="s">
        <v>51</v>
      </c>
      <c r="C258" s="7">
        <v>45452</v>
      </c>
      <c r="D258" s="7" t="s">
        <v>100</v>
      </c>
      <c r="E258" s="4" t="s">
        <v>111</v>
      </c>
      <c r="F258" s="4" t="s">
        <v>121</v>
      </c>
      <c r="G258" s="8">
        <v>8725</v>
      </c>
      <c r="H258" s="8" t="s">
        <v>136</v>
      </c>
      <c r="I258" s="3">
        <f>IF($H258="A VISTA", C258 + CADASTROS!$B$3, IF($H258="1+1", C258 + CADASTROS!$B$4, IF(H258="1+2", C258 + CADASTROS!$B$5, IF(H258="1+3", C258 + CADASTROS!$B$6, ""))))</f>
        <v>45453</v>
      </c>
      <c r="J258" s="8">
        <f t="shared" si="12"/>
        <v>2181.25</v>
      </c>
      <c r="K258" s="3">
        <f>IF($L258&lt;&gt;"", IF($H258="A VISTA", "", IF($H258="1+1", $C258 + CADASTROS!$C$4, IF($H258="1+2", $C258 + CADASTROS!$C$5, IF($H258="1+3", $C258 + CADASTROS!$E$4, "")))), "")</f>
        <v>45452</v>
      </c>
      <c r="L258" s="8">
        <f t="shared" si="13"/>
        <v>2181.25</v>
      </c>
      <c r="M258" s="3">
        <f>IF($N258&lt;&gt;"", IF($H258="A VISTA", "", IF($H258="1+1", $C258 + CADASTROS!$C$4, IF($H258="1+2", $C258 + CADASTROS!$D$5, IF($H258="1+3", $C258 + CADASTROS!$D$6, "")))), "")</f>
        <v>45497</v>
      </c>
      <c r="N258" s="8">
        <f t="shared" si="14"/>
        <v>2181.25</v>
      </c>
      <c r="O258" s="3">
        <f>IF($P258&lt;&gt;"", IF($H258="A VISTA", "", IF($H258="1+1", $C258 + CADASTROS!$C$4, IF($H258="1+2", $C258 + CADASTROS!$C$5, IF($H258="1+3", $C258 + CADASTROS!$E$6, "")))), "")</f>
        <v>45512</v>
      </c>
      <c r="P258" s="8">
        <f t="shared" si="15"/>
        <v>2181.25</v>
      </c>
    </row>
    <row r="259" spans="1:16">
      <c r="A259" s="2" t="s">
        <v>395</v>
      </c>
      <c r="B259" s="6" t="s">
        <v>57</v>
      </c>
      <c r="C259" s="7">
        <v>45221</v>
      </c>
      <c r="D259" s="7" t="s">
        <v>106</v>
      </c>
      <c r="E259" s="4" t="s">
        <v>112</v>
      </c>
      <c r="F259" s="4" t="s">
        <v>122</v>
      </c>
      <c r="G259" s="8">
        <v>4117</v>
      </c>
      <c r="H259" s="8" t="s">
        <v>126</v>
      </c>
      <c r="I259" s="3">
        <f>IF($H259="A VISTA", C259 + CADASTROS!$B$3, IF($H259="1+1", C259 + CADASTROS!$B$4, IF(H259="1+2", C259 + CADASTROS!$B$5, IF(H259="1+3", C259 + CADASTROS!$B$6, ""))))</f>
        <v>45222</v>
      </c>
      <c r="J259" s="8">
        <f t="shared" ref="J259:J322" si="16">IF($H259="A VISTA", $G259, IF($H259="1+1", $G259/2, IF($H259="1+2", $G259/3, IF($H259="1+3", $G259/4, ""))))</f>
        <v>4117</v>
      </c>
      <c r="K259" s="3" t="str">
        <f>IF($L259&lt;&gt;"", IF($H259="A VISTA", "", IF($H259="1+1", $C259 + CADASTROS!$C$4, IF($H259="1+2", $C259 + CADASTROS!$C$5, IF($H259="1+3", $C259 + CADASTROS!$E$4, "")))), "")</f>
        <v/>
      </c>
      <c r="L259" s="8" t="str">
        <f t="shared" ref="L259:L322" si="17">IF($H259="A VISTA", "", IF($H259="1+1", $G259-$J259, IF($H259="1+2", $G259/3, IF($H259="1+3", ($G259-$J259)/3, ""))))</f>
        <v/>
      </c>
      <c r="M259" s="3" t="str">
        <f>IF($N259&lt;&gt;"", IF($H259="A VISTA", "", IF($H259="1+1", $C259 + CADASTROS!$C$4, IF($H259="1+2", $C259 + CADASTROS!$D$5, IF($H259="1+3", $C259 + CADASTROS!$D$6, "")))), "")</f>
        <v/>
      </c>
      <c r="N259" s="8" t="str">
        <f t="shared" ref="N259:N322" si="18">IF($H259="A VISTA","",IF($H259="1+2",$G259-$J259-$L259,IF($H259="1+3",($G259-$J259-$L259)/2,"")))</f>
        <v/>
      </c>
      <c r="O259" s="3" t="str">
        <f>IF($P259&lt;&gt;"", IF($H259="A VISTA", "", IF($H259="1+1", $C259 + CADASTROS!$C$4, IF($H259="1+2", $C259 + CADASTROS!$C$5, IF($H259="1+3", $C259 + CADASTROS!$E$6, "")))), "")</f>
        <v/>
      </c>
      <c r="P259" s="8" t="str">
        <f t="shared" ref="P259:P322" si="19">IF($H259="A VISTA", "", IF($H259="1+3", $G259-$J259-$L259-$N259, ""))</f>
        <v/>
      </c>
    </row>
    <row r="260" spans="1:16">
      <c r="A260" s="2" t="s">
        <v>396</v>
      </c>
      <c r="B260" s="6" t="s">
        <v>16</v>
      </c>
      <c r="C260" s="7">
        <v>45224</v>
      </c>
      <c r="D260" s="7" t="s">
        <v>65</v>
      </c>
      <c r="E260" s="4" t="s">
        <v>110</v>
      </c>
      <c r="F260" s="4" t="s">
        <v>125</v>
      </c>
      <c r="G260" s="8">
        <v>3894</v>
      </c>
      <c r="H260" s="8" t="s">
        <v>138</v>
      </c>
      <c r="I260" s="3">
        <f>IF($H260="A VISTA", C260 + CADASTROS!$B$3, IF($H260="1+1", C260 + CADASTROS!$B$4, IF(H260="1+2", C260 + CADASTROS!$B$5, IF(H260="1+3", C260 + CADASTROS!$B$6, ""))))</f>
        <v>45225</v>
      </c>
      <c r="J260" s="8">
        <f t="shared" si="16"/>
        <v>1947</v>
      </c>
      <c r="K260" s="3">
        <f>IF($L260&lt;&gt;"", IF($H260="A VISTA", "", IF($H260="1+1", $C260 + CADASTROS!$C$4, IF($H260="1+2", $C260 + CADASTROS!$C$5, IF($H260="1+3", $C260 + CADASTROS!$E$4, "")))), "")</f>
        <v>45254</v>
      </c>
      <c r="L260" s="8">
        <f t="shared" si="17"/>
        <v>1947</v>
      </c>
      <c r="M260" s="3" t="str">
        <f>IF($N260&lt;&gt;"", IF($H260="A VISTA", "", IF($H260="1+1", $C260 + CADASTROS!$C$4, IF($H260="1+2", $C260 + CADASTROS!$D$5, IF($H260="1+3", $C260 + CADASTROS!$D$6, "")))), "")</f>
        <v/>
      </c>
      <c r="N260" s="8" t="str">
        <f t="shared" si="18"/>
        <v/>
      </c>
      <c r="O260" s="3" t="str">
        <f>IF($P260&lt;&gt;"", IF($H260="A VISTA", "", IF($H260="1+1", $C260 + CADASTROS!$C$4, IF($H260="1+2", $C260 + CADASTROS!$C$5, IF($H260="1+3", $C260 + CADASTROS!$E$6, "")))), "")</f>
        <v/>
      </c>
      <c r="P260" s="8" t="str">
        <f t="shared" si="19"/>
        <v/>
      </c>
    </row>
    <row r="261" spans="1:16">
      <c r="A261" s="2" t="s">
        <v>397</v>
      </c>
      <c r="B261" s="6" t="s">
        <v>12</v>
      </c>
      <c r="C261" s="7">
        <v>45368</v>
      </c>
      <c r="D261" s="7" t="s">
        <v>62</v>
      </c>
      <c r="E261" s="4" t="s">
        <v>112</v>
      </c>
      <c r="F261" s="4" t="s">
        <v>122</v>
      </c>
      <c r="G261" s="8">
        <v>8800</v>
      </c>
      <c r="H261" s="8" t="s">
        <v>126</v>
      </c>
      <c r="I261" s="3">
        <f>IF($H261="A VISTA", C261 + CADASTROS!$B$3, IF($H261="1+1", C261 + CADASTROS!$B$4, IF(H261="1+2", C261 + CADASTROS!$B$5, IF(H261="1+3", C261 + CADASTROS!$B$6, ""))))</f>
        <v>45369</v>
      </c>
      <c r="J261" s="8">
        <f t="shared" si="16"/>
        <v>8800</v>
      </c>
      <c r="K261" s="3" t="str">
        <f>IF($L261&lt;&gt;"", IF($H261="A VISTA", "", IF($H261="1+1", $C261 + CADASTROS!$C$4, IF($H261="1+2", $C261 + CADASTROS!$C$5, IF($H261="1+3", $C261 + CADASTROS!$E$4, "")))), "")</f>
        <v/>
      </c>
      <c r="L261" s="8" t="str">
        <f t="shared" si="17"/>
        <v/>
      </c>
      <c r="M261" s="3" t="str">
        <f>IF($N261&lt;&gt;"", IF($H261="A VISTA", "", IF($H261="1+1", $C261 + CADASTROS!$C$4, IF($H261="1+2", $C261 + CADASTROS!$D$5, IF($H261="1+3", $C261 + CADASTROS!$D$6, "")))), "")</f>
        <v/>
      </c>
      <c r="N261" s="8" t="str">
        <f t="shared" si="18"/>
        <v/>
      </c>
      <c r="O261" s="3" t="str">
        <f>IF($P261&lt;&gt;"", IF($H261="A VISTA", "", IF($H261="1+1", $C261 + CADASTROS!$C$4, IF($H261="1+2", $C261 + CADASTROS!$C$5, IF($H261="1+3", $C261 + CADASTROS!$E$6, "")))), "")</f>
        <v/>
      </c>
      <c r="P261" s="8" t="str">
        <f t="shared" si="19"/>
        <v/>
      </c>
    </row>
    <row r="262" spans="1:16">
      <c r="A262" s="2" t="s">
        <v>398</v>
      </c>
      <c r="B262" s="6" t="s">
        <v>33</v>
      </c>
      <c r="C262" s="7">
        <v>45208</v>
      </c>
      <c r="D262" s="7" t="s">
        <v>82</v>
      </c>
      <c r="E262" s="4" t="s">
        <v>111</v>
      </c>
      <c r="F262" s="4" t="s">
        <v>119</v>
      </c>
      <c r="G262" s="8">
        <v>6917</v>
      </c>
      <c r="H262" s="8" t="s">
        <v>137</v>
      </c>
      <c r="I262" s="3">
        <f>IF($H262="A VISTA", C262 + CADASTROS!$B$3, IF($H262="1+1", C262 + CADASTROS!$B$4, IF(H262="1+2", C262 + CADASTROS!$B$5, IF(H262="1+3", C262 + CADASTROS!$B$6, ""))))</f>
        <v>45209</v>
      </c>
      <c r="J262" s="8">
        <f t="shared" si="16"/>
        <v>2305.6666666666665</v>
      </c>
      <c r="K262" s="3">
        <f>IF($L262&lt;&gt;"", IF($H262="A VISTA", "", IF($H262="1+1", $C262 + CADASTROS!$C$4, IF($H262="1+2", $C262 + CADASTROS!$C$5, IF($H262="1+3", $C262 + CADASTROS!$E$4, "")))), "")</f>
        <v>45238</v>
      </c>
      <c r="L262" s="8">
        <f t="shared" si="17"/>
        <v>2305.6666666666665</v>
      </c>
      <c r="M262" s="3">
        <f>IF($N262&lt;&gt;"", IF($H262="A VISTA", "", IF($H262="1+1", $C262 + CADASTROS!$C$4, IF($H262="1+2", $C262 + CADASTROS!$D$5, IF($H262="1+3", $C262 + CADASTROS!$D$6, "")))), "")</f>
        <v>45253</v>
      </c>
      <c r="N262" s="8">
        <f t="shared" si="18"/>
        <v>2305.6666666666674</v>
      </c>
      <c r="O262" s="3" t="str">
        <f>IF($P262&lt;&gt;"", IF($H262="A VISTA", "", IF($H262="1+1", $C262 + CADASTROS!$C$4, IF($H262="1+2", $C262 + CADASTROS!$C$5, IF($H262="1+3", $C262 + CADASTROS!$E$6, "")))), "")</f>
        <v/>
      </c>
      <c r="P262" s="8" t="str">
        <f t="shared" si="19"/>
        <v/>
      </c>
    </row>
    <row r="263" spans="1:16">
      <c r="A263" s="2" t="s">
        <v>399</v>
      </c>
      <c r="B263" s="6" t="s">
        <v>14</v>
      </c>
      <c r="C263" s="7">
        <v>45537</v>
      </c>
      <c r="D263" s="7" t="s">
        <v>61</v>
      </c>
      <c r="E263" s="4" t="s">
        <v>110</v>
      </c>
      <c r="F263" s="4" t="s">
        <v>113</v>
      </c>
      <c r="G263" s="8">
        <v>7098</v>
      </c>
      <c r="H263" s="8" t="s">
        <v>138</v>
      </c>
      <c r="I263" s="3">
        <f>IF($H263="A VISTA", C263 + CADASTROS!$B$3, IF($H263="1+1", C263 + CADASTROS!$B$4, IF(H263="1+2", C263 + CADASTROS!$B$5, IF(H263="1+3", C263 + CADASTROS!$B$6, ""))))</f>
        <v>45538</v>
      </c>
      <c r="J263" s="8">
        <f t="shared" si="16"/>
        <v>3549</v>
      </c>
      <c r="K263" s="3">
        <f>IF($L263&lt;&gt;"", IF($H263="A VISTA", "", IF($H263="1+1", $C263 + CADASTROS!$C$4, IF($H263="1+2", $C263 + CADASTROS!$C$5, IF($H263="1+3", $C263 + CADASTROS!$E$4, "")))), "")</f>
        <v>45567</v>
      </c>
      <c r="L263" s="8">
        <f t="shared" si="17"/>
        <v>3549</v>
      </c>
      <c r="M263" s="3" t="str">
        <f>IF($N263&lt;&gt;"", IF($H263="A VISTA", "", IF($H263="1+1", $C263 + CADASTROS!$C$4, IF($H263="1+2", $C263 + CADASTROS!$D$5, IF($H263="1+3", $C263 + CADASTROS!$D$6, "")))), "")</f>
        <v/>
      </c>
      <c r="N263" s="8" t="str">
        <f t="shared" si="18"/>
        <v/>
      </c>
      <c r="O263" s="3" t="str">
        <f>IF($P263&lt;&gt;"", IF($H263="A VISTA", "", IF($H263="1+1", $C263 + CADASTROS!$C$4, IF($H263="1+2", $C263 + CADASTROS!$C$5, IF($H263="1+3", $C263 + CADASTROS!$E$6, "")))), "")</f>
        <v/>
      </c>
      <c r="P263" s="8" t="str">
        <f t="shared" si="19"/>
        <v/>
      </c>
    </row>
    <row r="264" spans="1:16">
      <c r="A264" s="2" t="s">
        <v>400</v>
      </c>
      <c r="B264" s="6" t="s">
        <v>21</v>
      </c>
      <c r="C264" s="7">
        <v>45395</v>
      </c>
      <c r="D264" s="7" t="s">
        <v>70</v>
      </c>
      <c r="E264" s="4" t="s">
        <v>110</v>
      </c>
      <c r="F264" s="4" t="s">
        <v>124</v>
      </c>
      <c r="G264" s="8">
        <v>7136</v>
      </c>
      <c r="H264" s="8" t="s">
        <v>138</v>
      </c>
      <c r="I264" s="3">
        <f>IF($H264="A VISTA", C264 + CADASTROS!$B$3, IF($H264="1+1", C264 + CADASTROS!$B$4, IF(H264="1+2", C264 + CADASTROS!$B$5, IF(H264="1+3", C264 + CADASTROS!$B$6, ""))))</f>
        <v>45396</v>
      </c>
      <c r="J264" s="8">
        <f t="shared" si="16"/>
        <v>3568</v>
      </c>
      <c r="K264" s="3">
        <f>IF($L264&lt;&gt;"", IF($H264="A VISTA", "", IF($H264="1+1", $C264 + CADASTROS!$C$4, IF($H264="1+2", $C264 + CADASTROS!$C$5, IF($H264="1+3", $C264 + CADASTROS!$E$4, "")))), "")</f>
        <v>45425</v>
      </c>
      <c r="L264" s="8">
        <f t="shared" si="17"/>
        <v>3568</v>
      </c>
      <c r="M264" s="3" t="str">
        <f>IF($N264&lt;&gt;"", IF($H264="A VISTA", "", IF($H264="1+1", $C264 + CADASTROS!$C$4, IF($H264="1+2", $C264 + CADASTROS!$D$5, IF($H264="1+3", $C264 + CADASTROS!$D$6, "")))), "")</f>
        <v/>
      </c>
      <c r="N264" s="8" t="str">
        <f t="shared" si="18"/>
        <v/>
      </c>
      <c r="O264" s="3" t="str">
        <f>IF($P264&lt;&gt;"", IF($H264="A VISTA", "", IF($H264="1+1", $C264 + CADASTROS!$C$4, IF($H264="1+2", $C264 + CADASTROS!$C$5, IF($H264="1+3", $C264 + CADASTROS!$E$6, "")))), "")</f>
        <v/>
      </c>
      <c r="P264" s="8" t="str">
        <f t="shared" si="19"/>
        <v/>
      </c>
    </row>
    <row r="265" spans="1:16">
      <c r="A265" s="2" t="s">
        <v>401</v>
      </c>
      <c r="B265" s="6" t="s">
        <v>42</v>
      </c>
      <c r="C265" s="7">
        <v>45133</v>
      </c>
      <c r="D265" s="7" t="s">
        <v>91</v>
      </c>
      <c r="E265" s="4" t="s">
        <v>111</v>
      </c>
      <c r="F265" s="4" t="s">
        <v>117</v>
      </c>
      <c r="G265" s="8">
        <v>9829</v>
      </c>
      <c r="H265" s="8" t="s">
        <v>136</v>
      </c>
      <c r="I265" s="3">
        <f>IF($H265="A VISTA", C265 + CADASTROS!$B$3, IF($H265="1+1", C265 + CADASTROS!$B$4, IF(H265="1+2", C265 + CADASTROS!$B$5, IF(H265="1+3", C265 + CADASTROS!$B$6, ""))))</f>
        <v>45134</v>
      </c>
      <c r="J265" s="8">
        <f t="shared" si="16"/>
        <v>2457.25</v>
      </c>
      <c r="K265" s="3">
        <f>IF($L265&lt;&gt;"", IF($H265="A VISTA", "", IF($H265="1+1", $C265 + CADASTROS!$C$4, IF($H265="1+2", $C265 + CADASTROS!$C$5, IF($H265="1+3", $C265 + CADASTROS!$E$4, "")))), "")</f>
        <v>45133</v>
      </c>
      <c r="L265" s="8">
        <f t="shared" si="17"/>
        <v>2457.25</v>
      </c>
      <c r="M265" s="3">
        <f>IF($N265&lt;&gt;"", IF($H265="A VISTA", "", IF($H265="1+1", $C265 + CADASTROS!$C$4, IF($H265="1+2", $C265 + CADASTROS!$D$5, IF($H265="1+3", $C265 + CADASTROS!$D$6, "")))), "")</f>
        <v>45178</v>
      </c>
      <c r="N265" s="8">
        <f t="shared" si="18"/>
        <v>2457.25</v>
      </c>
      <c r="O265" s="3">
        <f>IF($P265&lt;&gt;"", IF($H265="A VISTA", "", IF($H265="1+1", $C265 + CADASTROS!$C$4, IF($H265="1+2", $C265 + CADASTROS!$C$5, IF($H265="1+3", $C265 + CADASTROS!$E$6, "")))), "")</f>
        <v>45193</v>
      </c>
      <c r="P265" s="8">
        <f t="shared" si="19"/>
        <v>2457.25</v>
      </c>
    </row>
    <row r="266" spans="1:16">
      <c r="A266" s="2" t="s">
        <v>402</v>
      </c>
      <c r="B266" s="6" t="s">
        <v>51</v>
      </c>
      <c r="C266" s="7">
        <v>45448</v>
      </c>
      <c r="D266" s="7" t="s">
        <v>100</v>
      </c>
      <c r="E266" s="4" t="s">
        <v>111</v>
      </c>
      <c r="F266" s="4" t="s">
        <v>121</v>
      </c>
      <c r="G266" s="8">
        <v>3126</v>
      </c>
      <c r="H266" s="8" t="s">
        <v>126</v>
      </c>
      <c r="I266" s="3">
        <f>IF($H266="A VISTA", C266 + CADASTROS!$B$3, IF($H266="1+1", C266 + CADASTROS!$B$4, IF(H266="1+2", C266 + CADASTROS!$B$5, IF(H266="1+3", C266 + CADASTROS!$B$6, ""))))</f>
        <v>45449</v>
      </c>
      <c r="J266" s="8">
        <f t="shared" si="16"/>
        <v>3126</v>
      </c>
      <c r="K266" s="3" t="str">
        <f>IF($L266&lt;&gt;"", IF($H266="A VISTA", "", IF($H266="1+1", $C266 + CADASTROS!$C$4, IF($H266="1+2", $C266 + CADASTROS!$C$5, IF($H266="1+3", $C266 + CADASTROS!$E$4, "")))), "")</f>
        <v/>
      </c>
      <c r="L266" s="8" t="str">
        <f t="shared" si="17"/>
        <v/>
      </c>
      <c r="M266" s="3" t="str">
        <f>IF($N266&lt;&gt;"", IF($H266="A VISTA", "", IF($H266="1+1", $C266 + CADASTROS!$C$4, IF($H266="1+2", $C266 + CADASTROS!$D$5, IF($H266="1+3", $C266 + CADASTROS!$D$6, "")))), "")</f>
        <v/>
      </c>
      <c r="N266" s="8" t="str">
        <f t="shared" si="18"/>
        <v/>
      </c>
      <c r="O266" s="3" t="str">
        <f>IF($P266&lt;&gt;"", IF($H266="A VISTA", "", IF($H266="1+1", $C266 + CADASTROS!$C$4, IF($H266="1+2", $C266 + CADASTROS!$C$5, IF($H266="1+3", $C266 + CADASTROS!$E$6, "")))), "")</f>
        <v/>
      </c>
      <c r="P266" s="8" t="str">
        <f t="shared" si="19"/>
        <v/>
      </c>
    </row>
    <row r="267" spans="1:16">
      <c r="A267" s="2" t="s">
        <v>403</v>
      </c>
      <c r="B267" s="6" t="s">
        <v>27</v>
      </c>
      <c r="C267" s="7">
        <v>45474</v>
      </c>
      <c r="D267" s="7" t="s">
        <v>76</v>
      </c>
      <c r="E267" s="4" t="s">
        <v>110</v>
      </c>
      <c r="F267" s="4" t="s">
        <v>125</v>
      </c>
      <c r="G267" s="8">
        <v>567</v>
      </c>
      <c r="H267" s="8" t="s">
        <v>137</v>
      </c>
      <c r="I267" s="3">
        <f>IF($H267="A VISTA", C267 + CADASTROS!$B$3, IF($H267="1+1", C267 + CADASTROS!$B$4, IF(H267="1+2", C267 + CADASTROS!$B$5, IF(H267="1+3", C267 + CADASTROS!$B$6, ""))))</f>
        <v>45475</v>
      </c>
      <c r="J267" s="8">
        <f t="shared" si="16"/>
        <v>189</v>
      </c>
      <c r="K267" s="3">
        <f>IF($L267&lt;&gt;"", IF($H267="A VISTA", "", IF($H267="1+1", $C267 + CADASTROS!$C$4, IF($H267="1+2", $C267 + CADASTROS!$C$5, IF($H267="1+3", $C267 + CADASTROS!$E$4, "")))), "")</f>
        <v>45504</v>
      </c>
      <c r="L267" s="8">
        <f t="shared" si="17"/>
        <v>189</v>
      </c>
      <c r="M267" s="3">
        <f>IF($N267&lt;&gt;"", IF($H267="A VISTA", "", IF($H267="1+1", $C267 + CADASTROS!$C$4, IF($H267="1+2", $C267 + CADASTROS!$D$5, IF($H267="1+3", $C267 + CADASTROS!$D$6, "")))), "")</f>
        <v>45519</v>
      </c>
      <c r="N267" s="8">
        <f t="shared" si="18"/>
        <v>189</v>
      </c>
      <c r="O267" s="3" t="str">
        <f>IF($P267&lt;&gt;"", IF($H267="A VISTA", "", IF($H267="1+1", $C267 + CADASTROS!$C$4, IF($H267="1+2", $C267 + CADASTROS!$C$5, IF($H267="1+3", $C267 + CADASTROS!$E$6, "")))), "")</f>
        <v/>
      </c>
      <c r="P267" s="8" t="str">
        <f t="shared" si="19"/>
        <v/>
      </c>
    </row>
    <row r="268" spans="1:16">
      <c r="A268" s="2" t="s">
        <v>404</v>
      </c>
      <c r="B268" s="6" t="s">
        <v>28</v>
      </c>
      <c r="C268" s="7">
        <v>45134</v>
      </c>
      <c r="D268" s="7" t="s">
        <v>77</v>
      </c>
      <c r="E268" s="4" t="s">
        <v>110</v>
      </c>
      <c r="F268" s="4" t="s">
        <v>114</v>
      </c>
      <c r="G268" s="8">
        <v>6718</v>
      </c>
      <c r="H268" s="8" t="s">
        <v>138</v>
      </c>
      <c r="I268" s="3">
        <f>IF($H268="A VISTA", C268 + CADASTROS!$B$3, IF($H268="1+1", C268 + CADASTROS!$B$4, IF(H268="1+2", C268 + CADASTROS!$B$5, IF(H268="1+3", C268 + CADASTROS!$B$6, ""))))</f>
        <v>45135</v>
      </c>
      <c r="J268" s="8">
        <f t="shared" si="16"/>
        <v>3359</v>
      </c>
      <c r="K268" s="3">
        <f>IF($L268&lt;&gt;"", IF($H268="A VISTA", "", IF($H268="1+1", $C268 + CADASTROS!$C$4, IF($H268="1+2", $C268 + CADASTROS!$C$5, IF($H268="1+3", $C268 + CADASTROS!$E$4, "")))), "")</f>
        <v>45164</v>
      </c>
      <c r="L268" s="8">
        <f t="shared" si="17"/>
        <v>3359</v>
      </c>
      <c r="M268" s="3" t="str">
        <f>IF($N268&lt;&gt;"", IF($H268="A VISTA", "", IF($H268="1+1", $C268 + CADASTROS!$C$4, IF($H268="1+2", $C268 + CADASTROS!$D$5, IF($H268="1+3", $C268 + CADASTROS!$D$6, "")))), "")</f>
        <v/>
      </c>
      <c r="N268" s="8" t="str">
        <f t="shared" si="18"/>
        <v/>
      </c>
      <c r="O268" s="3" t="str">
        <f>IF($P268&lt;&gt;"", IF($H268="A VISTA", "", IF($H268="1+1", $C268 + CADASTROS!$C$4, IF($H268="1+2", $C268 + CADASTROS!$C$5, IF($H268="1+3", $C268 + CADASTROS!$E$6, "")))), "")</f>
        <v/>
      </c>
      <c r="P268" s="8" t="str">
        <f t="shared" si="19"/>
        <v/>
      </c>
    </row>
    <row r="269" spans="1:16">
      <c r="A269" s="2" t="s">
        <v>405</v>
      </c>
      <c r="B269" s="6" t="s">
        <v>52</v>
      </c>
      <c r="C269" s="7">
        <v>45392</v>
      </c>
      <c r="D269" s="7" t="s">
        <v>101</v>
      </c>
      <c r="E269" s="4" t="s">
        <v>111</v>
      </c>
      <c r="F269" s="4" t="s">
        <v>118</v>
      </c>
      <c r="G269" s="8">
        <v>2248</v>
      </c>
      <c r="H269" s="8" t="s">
        <v>136</v>
      </c>
      <c r="I269" s="3">
        <f>IF($H269="A VISTA", C269 + CADASTROS!$B$3, IF($H269="1+1", C269 + CADASTROS!$B$4, IF(H269="1+2", C269 + CADASTROS!$B$5, IF(H269="1+3", C269 + CADASTROS!$B$6, ""))))</f>
        <v>45393</v>
      </c>
      <c r="J269" s="8">
        <f t="shared" si="16"/>
        <v>562</v>
      </c>
      <c r="K269" s="3">
        <f>IF($L269&lt;&gt;"", IF($H269="A VISTA", "", IF($H269="1+1", $C269 + CADASTROS!$C$4, IF($H269="1+2", $C269 + CADASTROS!$C$5, IF($H269="1+3", $C269 + CADASTROS!$E$4, "")))), "")</f>
        <v>45392</v>
      </c>
      <c r="L269" s="8">
        <f t="shared" si="17"/>
        <v>562</v>
      </c>
      <c r="M269" s="3">
        <f>IF($N269&lt;&gt;"", IF($H269="A VISTA", "", IF($H269="1+1", $C269 + CADASTROS!$C$4, IF($H269="1+2", $C269 + CADASTROS!$D$5, IF($H269="1+3", $C269 + CADASTROS!$D$6, "")))), "")</f>
        <v>45437</v>
      </c>
      <c r="N269" s="8">
        <f t="shared" si="18"/>
        <v>562</v>
      </c>
      <c r="O269" s="3">
        <f>IF($P269&lt;&gt;"", IF($H269="A VISTA", "", IF($H269="1+1", $C269 + CADASTROS!$C$4, IF($H269="1+2", $C269 + CADASTROS!$C$5, IF($H269="1+3", $C269 + CADASTROS!$E$6, "")))), "")</f>
        <v>45452</v>
      </c>
      <c r="P269" s="8">
        <f t="shared" si="19"/>
        <v>562</v>
      </c>
    </row>
    <row r="270" spans="1:16">
      <c r="A270" s="2" t="s">
        <v>406</v>
      </c>
      <c r="B270" s="6" t="s">
        <v>33</v>
      </c>
      <c r="C270" s="7">
        <v>45342</v>
      </c>
      <c r="D270" s="7" t="s">
        <v>82</v>
      </c>
      <c r="E270" s="4" t="s">
        <v>111</v>
      </c>
      <c r="F270" s="4" t="s">
        <v>119</v>
      </c>
      <c r="G270" s="8">
        <v>1279</v>
      </c>
      <c r="H270" s="8" t="s">
        <v>138</v>
      </c>
      <c r="I270" s="3">
        <f>IF($H270="A VISTA", C270 + CADASTROS!$B$3, IF($H270="1+1", C270 + CADASTROS!$B$4, IF(H270="1+2", C270 + CADASTROS!$B$5, IF(H270="1+3", C270 + CADASTROS!$B$6, ""))))</f>
        <v>45343</v>
      </c>
      <c r="J270" s="8">
        <f t="shared" si="16"/>
        <v>639.5</v>
      </c>
      <c r="K270" s="3">
        <f>IF($L270&lt;&gt;"", IF($H270="A VISTA", "", IF($H270="1+1", $C270 + CADASTROS!$C$4, IF($H270="1+2", $C270 + CADASTROS!$C$5, IF($H270="1+3", $C270 + CADASTROS!$E$4, "")))), "")</f>
        <v>45372</v>
      </c>
      <c r="L270" s="8">
        <f t="shared" si="17"/>
        <v>639.5</v>
      </c>
      <c r="M270" s="3" t="str">
        <f>IF($N270&lt;&gt;"", IF($H270="A VISTA", "", IF($H270="1+1", $C270 + CADASTROS!$C$4, IF($H270="1+2", $C270 + CADASTROS!$D$5, IF($H270="1+3", $C270 + CADASTROS!$D$6, "")))), "")</f>
        <v/>
      </c>
      <c r="N270" s="8" t="str">
        <f t="shared" si="18"/>
        <v/>
      </c>
      <c r="O270" s="3" t="str">
        <f>IF($P270&lt;&gt;"", IF($H270="A VISTA", "", IF($H270="1+1", $C270 + CADASTROS!$C$4, IF($H270="1+2", $C270 + CADASTROS!$C$5, IF($H270="1+3", $C270 + CADASTROS!$E$6, "")))), "")</f>
        <v/>
      </c>
      <c r="P270" s="8" t="str">
        <f t="shared" si="19"/>
        <v/>
      </c>
    </row>
    <row r="271" spans="1:16">
      <c r="A271" s="2" t="s">
        <v>407</v>
      </c>
      <c r="B271" s="6" t="s">
        <v>46</v>
      </c>
      <c r="C271" s="7">
        <v>45206</v>
      </c>
      <c r="D271" s="7" t="s">
        <v>95</v>
      </c>
      <c r="E271" s="4" t="s">
        <v>112</v>
      </c>
      <c r="F271" s="4" t="s">
        <v>122</v>
      </c>
      <c r="G271" s="8">
        <v>5377</v>
      </c>
      <c r="H271" s="8" t="s">
        <v>126</v>
      </c>
      <c r="I271" s="3">
        <f>IF($H271="A VISTA", C271 + CADASTROS!$B$3, IF($H271="1+1", C271 + CADASTROS!$B$4, IF(H271="1+2", C271 + CADASTROS!$B$5, IF(H271="1+3", C271 + CADASTROS!$B$6, ""))))</f>
        <v>45207</v>
      </c>
      <c r="J271" s="8">
        <f t="shared" si="16"/>
        <v>5377</v>
      </c>
      <c r="K271" s="3" t="str">
        <f>IF($L271&lt;&gt;"", IF($H271="A VISTA", "", IF($H271="1+1", $C271 + CADASTROS!$C$4, IF($H271="1+2", $C271 + CADASTROS!$C$5, IF($H271="1+3", $C271 + CADASTROS!$E$4, "")))), "")</f>
        <v/>
      </c>
      <c r="L271" s="8" t="str">
        <f t="shared" si="17"/>
        <v/>
      </c>
      <c r="M271" s="3" t="str">
        <f>IF($N271&lt;&gt;"", IF($H271="A VISTA", "", IF($H271="1+1", $C271 + CADASTROS!$C$4, IF($H271="1+2", $C271 + CADASTROS!$D$5, IF($H271="1+3", $C271 + CADASTROS!$D$6, "")))), "")</f>
        <v/>
      </c>
      <c r="N271" s="8" t="str">
        <f t="shared" si="18"/>
        <v/>
      </c>
      <c r="O271" s="3" t="str">
        <f>IF($P271&lt;&gt;"", IF($H271="A VISTA", "", IF($H271="1+1", $C271 + CADASTROS!$C$4, IF($H271="1+2", $C271 + CADASTROS!$C$5, IF($H271="1+3", $C271 + CADASTROS!$E$6, "")))), "")</f>
        <v/>
      </c>
      <c r="P271" s="8" t="str">
        <f t="shared" si="19"/>
        <v/>
      </c>
    </row>
    <row r="272" spans="1:16">
      <c r="A272" s="2" t="s">
        <v>408</v>
      </c>
      <c r="B272" s="6" t="s">
        <v>20</v>
      </c>
      <c r="C272" s="7">
        <v>45203</v>
      </c>
      <c r="D272" s="7" t="s">
        <v>69</v>
      </c>
      <c r="E272" s="4" t="s">
        <v>111</v>
      </c>
      <c r="F272" s="4" t="s">
        <v>117</v>
      </c>
      <c r="G272" s="8">
        <v>8289</v>
      </c>
      <c r="H272" s="8" t="s">
        <v>126</v>
      </c>
      <c r="I272" s="3">
        <f>IF($H272="A VISTA", C272 + CADASTROS!$B$3, IF($H272="1+1", C272 + CADASTROS!$B$4, IF(H272="1+2", C272 + CADASTROS!$B$5, IF(H272="1+3", C272 + CADASTROS!$B$6, ""))))</f>
        <v>45204</v>
      </c>
      <c r="J272" s="8">
        <f t="shared" si="16"/>
        <v>8289</v>
      </c>
      <c r="K272" s="3" t="str">
        <f>IF($L272&lt;&gt;"", IF($H272="A VISTA", "", IF($H272="1+1", $C272 + CADASTROS!$C$4, IF($H272="1+2", $C272 + CADASTROS!$C$5, IF($H272="1+3", $C272 + CADASTROS!$E$4, "")))), "")</f>
        <v/>
      </c>
      <c r="L272" s="8" t="str">
        <f t="shared" si="17"/>
        <v/>
      </c>
      <c r="M272" s="3" t="str">
        <f>IF($N272&lt;&gt;"", IF($H272="A VISTA", "", IF($H272="1+1", $C272 + CADASTROS!$C$4, IF($H272="1+2", $C272 + CADASTROS!$D$5, IF($H272="1+3", $C272 + CADASTROS!$D$6, "")))), "")</f>
        <v/>
      </c>
      <c r="N272" s="8" t="str">
        <f t="shared" si="18"/>
        <v/>
      </c>
      <c r="O272" s="3" t="str">
        <f>IF($P272&lt;&gt;"", IF($H272="A VISTA", "", IF($H272="1+1", $C272 + CADASTROS!$C$4, IF($H272="1+2", $C272 + CADASTROS!$C$5, IF($H272="1+3", $C272 + CADASTROS!$E$6, "")))), "")</f>
        <v/>
      </c>
      <c r="P272" s="8" t="str">
        <f t="shared" si="19"/>
        <v/>
      </c>
    </row>
    <row r="273" spans="1:16">
      <c r="A273" s="2" t="s">
        <v>409</v>
      </c>
      <c r="B273" s="6" t="s">
        <v>33</v>
      </c>
      <c r="C273" s="7">
        <v>45168</v>
      </c>
      <c r="D273" s="7" t="s">
        <v>82</v>
      </c>
      <c r="E273" s="4" t="s">
        <v>111</v>
      </c>
      <c r="F273" s="4" t="s">
        <v>119</v>
      </c>
      <c r="G273" s="8">
        <v>1910</v>
      </c>
      <c r="H273" s="8" t="s">
        <v>138</v>
      </c>
      <c r="I273" s="3">
        <f>IF($H273="A VISTA", C273 + CADASTROS!$B$3, IF($H273="1+1", C273 + CADASTROS!$B$4, IF(H273="1+2", C273 + CADASTROS!$B$5, IF(H273="1+3", C273 + CADASTROS!$B$6, ""))))</f>
        <v>45169</v>
      </c>
      <c r="J273" s="8">
        <f t="shared" si="16"/>
        <v>955</v>
      </c>
      <c r="K273" s="3">
        <f>IF($L273&lt;&gt;"", IF($H273="A VISTA", "", IF($H273="1+1", $C273 + CADASTROS!$C$4, IF($H273="1+2", $C273 + CADASTROS!$C$5, IF($H273="1+3", $C273 + CADASTROS!$E$4, "")))), "")</f>
        <v>45198</v>
      </c>
      <c r="L273" s="8">
        <f t="shared" si="17"/>
        <v>955</v>
      </c>
      <c r="M273" s="3" t="str">
        <f>IF($N273&lt;&gt;"", IF($H273="A VISTA", "", IF($H273="1+1", $C273 + CADASTROS!$C$4, IF($H273="1+2", $C273 + CADASTROS!$D$5, IF($H273="1+3", $C273 + CADASTROS!$D$6, "")))), "")</f>
        <v/>
      </c>
      <c r="N273" s="8" t="str">
        <f t="shared" si="18"/>
        <v/>
      </c>
      <c r="O273" s="3" t="str">
        <f>IF($P273&lt;&gt;"", IF($H273="A VISTA", "", IF($H273="1+1", $C273 + CADASTROS!$C$4, IF($H273="1+2", $C273 + CADASTROS!$C$5, IF($H273="1+3", $C273 + CADASTROS!$E$6, "")))), "")</f>
        <v/>
      </c>
      <c r="P273" s="8" t="str">
        <f t="shared" si="19"/>
        <v/>
      </c>
    </row>
    <row r="274" spans="1:16">
      <c r="A274" s="2" t="s">
        <v>410</v>
      </c>
      <c r="B274" s="6" t="s">
        <v>14</v>
      </c>
      <c r="C274" s="7">
        <v>45300</v>
      </c>
      <c r="D274" s="7" t="s">
        <v>61</v>
      </c>
      <c r="E274" s="4" t="s">
        <v>110</v>
      </c>
      <c r="F274" s="4" t="s">
        <v>113</v>
      </c>
      <c r="G274" s="8">
        <v>5586</v>
      </c>
      <c r="H274" s="8" t="s">
        <v>138</v>
      </c>
      <c r="I274" s="3">
        <f>IF($H274="A VISTA", C274 + CADASTROS!$B$3, IF($H274="1+1", C274 + CADASTROS!$B$4, IF(H274="1+2", C274 + CADASTROS!$B$5, IF(H274="1+3", C274 + CADASTROS!$B$6, ""))))</f>
        <v>45301</v>
      </c>
      <c r="J274" s="8">
        <f t="shared" si="16"/>
        <v>2793</v>
      </c>
      <c r="K274" s="3">
        <f>IF($L274&lt;&gt;"", IF($H274="A VISTA", "", IF($H274="1+1", $C274 + CADASTROS!$C$4, IF($H274="1+2", $C274 + CADASTROS!$C$5, IF($H274="1+3", $C274 + CADASTROS!$E$4, "")))), "")</f>
        <v>45330</v>
      </c>
      <c r="L274" s="8">
        <f t="shared" si="17"/>
        <v>2793</v>
      </c>
      <c r="M274" s="3" t="str">
        <f>IF($N274&lt;&gt;"", IF($H274="A VISTA", "", IF($H274="1+1", $C274 + CADASTROS!$C$4, IF($H274="1+2", $C274 + CADASTROS!$D$5, IF($H274="1+3", $C274 + CADASTROS!$D$6, "")))), "")</f>
        <v/>
      </c>
      <c r="N274" s="8" t="str">
        <f t="shared" si="18"/>
        <v/>
      </c>
      <c r="O274" s="3" t="str">
        <f>IF($P274&lt;&gt;"", IF($H274="A VISTA", "", IF($H274="1+1", $C274 + CADASTROS!$C$4, IF($H274="1+2", $C274 + CADASTROS!$C$5, IF($H274="1+3", $C274 + CADASTROS!$E$6, "")))), "")</f>
        <v/>
      </c>
      <c r="P274" s="8" t="str">
        <f t="shared" si="19"/>
        <v/>
      </c>
    </row>
    <row r="275" spans="1:16">
      <c r="A275" s="2" t="s">
        <v>411</v>
      </c>
      <c r="B275" s="6" t="s">
        <v>15</v>
      </c>
      <c r="C275" s="7">
        <v>45377</v>
      </c>
      <c r="D275" s="7" t="s">
        <v>64</v>
      </c>
      <c r="E275" s="4" t="s">
        <v>112</v>
      </c>
      <c r="F275" s="4" t="s">
        <v>123</v>
      </c>
      <c r="G275" s="8">
        <v>6304</v>
      </c>
      <c r="H275" s="8" t="s">
        <v>126</v>
      </c>
      <c r="I275" s="3">
        <f>IF($H275="A VISTA", C275 + CADASTROS!$B$3, IF($H275="1+1", C275 + CADASTROS!$B$4, IF(H275="1+2", C275 + CADASTROS!$B$5, IF(H275="1+3", C275 + CADASTROS!$B$6, ""))))</f>
        <v>45378</v>
      </c>
      <c r="J275" s="8">
        <f t="shared" si="16"/>
        <v>6304</v>
      </c>
      <c r="K275" s="3" t="str">
        <f>IF($L275&lt;&gt;"", IF($H275="A VISTA", "", IF($H275="1+1", $C275 + CADASTROS!$C$4, IF($H275="1+2", $C275 + CADASTROS!$C$5, IF($H275="1+3", $C275 + CADASTROS!$E$4, "")))), "")</f>
        <v/>
      </c>
      <c r="L275" s="8" t="str">
        <f t="shared" si="17"/>
        <v/>
      </c>
      <c r="M275" s="3" t="str">
        <f>IF($N275&lt;&gt;"", IF($H275="A VISTA", "", IF($H275="1+1", $C275 + CADASTROS!$C$4, IF($H275="1+2", $C275 + CADASTROS!$D$5, IF($H275="1+3", $C275 + CADASTROS!$D$6, "")))), "")</f>
        <v/>
      </c>
      <c r="N275" s="8" t="str">
        <f t="shared" si="18"/>
        <v/>
      </c>
      <c r="O275" s="3" t="str">
        <f>IF($P275&lt;&gt;"", IF($H275="A VISTA", "", IF($H275="1+1", $C275 + CADASTROS!$C$4, IF($H275="1+2", $C275 + CADASTROS!$C$5, IF($H275="1+3", $C275 + CADASTROS!$E$6, "")))), "")</f>
        <v/>
      </c>
      <c r="P275" s="8" t="str">
        <f t="shared" si="19"/>
        <v/>
      </c>
    </row>
    <row r="276" spans="1:16">
      <c r="A276" s="2" t="s">
        <v>412</v>
      </c>
      <c r="B276" s="6" t="s">
        <v>32</v>
      </c>
      <c r="C276" s="7">
        <v>45260</v>
      </c>
      <c r="D276" s="7" t="s">
        <v>81</v>
      </c>
      <c r="E276" s="4" t="s">
        <v>110</v>
      </c>
      <c r="F276" s="4" t="s">
        <v>124</v>
      </c>
      <c r="G276" s="8">
        <v>9891</v>
      </c>
      <c r="H276" s="8" t="s">
        <v>137</v>
      </c>
      <c r="I276" s="3">
        <f>IF($H276="A VISTA", C276 + CADASTROS!$B$3, IF($H276="1+1", C276 + CADASTROS!$B$4, IF(H276="1+2", C276 + CADASTROS!$B$5, IF(H276="1+3", C276 + CADASTROS!$B$6, ""))))</f>
        <v>45261</v>
      </c>
      <c r="J276" s="8">
        <f t="shared" si="16"/>
        <v>3297</v>
      </c>
      <c r="K276" s="3">
        <f>IF($L276&lt;&gt;"", IF($H276="A VISTA", "", IF($H276="1+1", $C276 + CADASTROS!$C$4, IF($H276="1+2", $C276 + CADASTROS!$C$5, IF($H276="1+3", $C276 + CADASTROS!$E$4, "")))), "")</f>
        <v>45290</v>
      </c>
      <c r="L276" s="8">
        <f t="shared" si="17"/>
        <v>3297</v>
      </c>
      <c r="M276" s="3">
        <f>IF($N276&lt;&gt;"", IF($H276="A VISTA", "", IF($H276="1+1", $C276 + CADASTROS!$C$4, IF($H276="1+2", $C276 + CADASTROS!$D$5, IF($H276="1+3", $C276 + CADASTROS!$D$6, "")))), "")</f>
        <v>45305</v>
      </c>
      <c r="N276" s="8">
        <f t="shared" si="18"/>
        <v>3297</v>
      </c>
      <c r="O276" s="3" t="str">
        <f>IF($P276&lt;&gt;"", IF($H276="A VISTA", "", IF($H276="1+1", $C276 + CADASTROS!$C$4, IF($H276="1+2", $C276 + CADASTROS!$C$5, IF($H276="1+3", $C276 + CADASTROS!$E$6, "")))), "")</f>
        <v/>
      </c>
      <c r="P276" s="8" t="str">
        <f t="shared" si="19"/>
        <v/>
      </c>
    </row>
    <row r="277" spans="1:16">
      <c r="A277" s="2" t="s">
        <v>413</v>
      </c>
      <c r="B277" s="6" t="s">
        <v>55</v>
      </c>
      <c r="C277" s="7">
        <v>45164</v>
      </c>
      <c r="D277" s="7" t="s">
        <v>104</v>
      </c>
      <c r="E277" s="4" t="s">
        <v>111</v>
      </c>
      <c r="F277" s="4" t="s">
        <v>119</v>
      </c>
      <c r="G277" s="8">
        <v>6316</v>
      </c>
      <c r="H277" s="8" t="s">
        <v>136</v>
      </c>
      <c r="I277" s="3">
        <f>IF($H277="A VISTA", C277 + CADASTROS!$B$3, IF($H277="1+1", C277 + CADASTROS!$B$4, IF(H277="1+2", C277 + CADASTROS!$B$5, IF(H277="1+3", C277 + CADASTROS!$B$6, ""))))</f>
        <v>45165</v>
      </c>
      <c r="J277" s="8">
        <f t="shared" si="16"/>
        <v>1579</v>
      </c>
      <c r="K277" s="3">
        <f>IF($L277&lt;&gt;"", IF($H277="A VISTA", "", IF($H277="1+1", $C277 + CADASTROS!$C$4, IF($H277="1+2", $C277 + CADASTROS!$C$5, IF($H277="1+3", $C277 + CADASTROS!$E$4, "")))), "")</f>
        <v>45164</v>
      </c>
      <c r="L277" s="8">
        <f t="shared" si="17"/>
        <v>1579</v>
      </c>
      <c r="M277" s="3">
        <f>IF($N277&lt;&gt;"", IF($H277="A VISTA", "", IF($H277="1+1", $C277 + CADASTROS!$C$4, IF($H277="1+2", $C277 + CADASTROS!$D$5, IF($H277="1+3", $C277 + CADASTROS!$D$6, "")))), "")</f>
        <v>45209</v>
      </c>
      <c r="N277" s="8">
        <f t="shared" si="18"/>
        <v>1579</v>
      </c>
      <c r="O277" s="3">
        <f>IF($P277&lt;&gt;"", IF($H277="A VISTA", "", IF($H277="1+1", $C277 + CADASTROS!$C$4, IF($H277="1+2", $C277 + CADASTROS!$C$5, IF($H277="1+3", $C277 + CADASTROS!$E$6, "")))), "")</f>
        <v>45224</v>
      </c>
      <c r="P277" s="8">
        <f t="shared" si="19"/>
        <v>1579</v>
      </c>
    </row>
    <row r="278" spans="1:16">
      <c r="A278" s="2" t="s">
        <v>414</v>
      </c>
      <c r="B278" s="6" t="s">
        <v>14</v>
      </c>
      <c r="C278" s="7">
        <v>45151</v>
      </c>
      <c r="D278" s="7" t="s">
        <v>61</v>
      </c>
      <c r="E278" s="4" t="s">
        <v>110</v>
      </c>
      <c r="F278" s="4" t="s">
        <v>113</v>
      </c>
      <c r="G278" s="8">
        <v>564</v>
      </c>
      <c r="H278" s="8" t="s">
        <v>136</v>
      </c>
      <c r="I278" s="3">
        <f>IF($H278="A VISTA", C278 + CADASTROS!$B$3, IF($H278="1+1", C278 + CADASTROS!$B$4, IF(H278="1+2", C278 + CADASTROS!$B$5, IF(H278="1+3", C278 + CADASTROS!$B$6, ""))))</f>
        <v>45152</v>
      </c>
      <c r="J278" s="8">
        <f t="shared" si="16"/>
        <v>141</v>
      </c>
      <c r="K278" s="3">
        <f>IF($L278&lt;&gt;"", IF($H278="A VISTA", "", IF($H278="1+1", $C278 + CADASTROS!$C$4, IF($H278="1+2", $C278 + CADASTROS!$C$5, IF($H278="1+3", $C278 + CADASTROS!$E$4, "")))), "")</f>
        <v>45151</v>
      </c>
      <c r="L278" s="8">
        <f t="shared" si="17"/>
        <v>141</v>
      </c>
      <c r="M278" s="3">
        <f>IF($N278&lt;&gt;"", IF($H278="A VISTA", "", IF($H278="1+1", $C278 + CADASTROS!$C$4, IF($H278="1+2", $C278 + CADASTROS!$D$5, IF($H278="1+3", $C278 + CADASTROS!$D$6, "")))), "")</f>
        <v>45196</v>
      </c>
      <c r="N278" s="8">
        <f t="shared" si="18"/>
        <v>141</v>
      </c>
      <c r="O278" s="3">
        <f>IF($P278&lt;&gt;"", IF($H278="A VISTA", "", IF($H278="1+1", $C278 + CADASTROS!$C$4, IF($H278="1+2", $C278 + CADASTROS!$C$5, IF($H278="1+3", $C278 + CADASTROS!$E$6, "")))), "")</f>
        <v>45211</v>
      </c>
      <c r="P278" s="8">
        <f t="shared" si="19"/>
        <v>141</v>
      </c>
    </row>
    <row r="279" spans="1:16">
      <c r="A279" s="2" t="s">
        <v>415</v>
      </c>
      <c r="B279" s="6" t="s">
        <v>40</v>
      </c>
      <c r="C279" s="7">
        <v>45382</v>
      </c>
      <c r="D279" s="7" t="s">
        <v>89</v>
      </c>
      <c r="E279" s="4" t="s">
        <v>111</v>
      </c>
      <c r="F279" s="4" t="s">
        <v>121</v>
      </c>
      <c r="G279" s="8">
        <v>6948</v>
      </c>
      <c r="H279" s="8" t="s">
        <v>137</v>
      </c>
      <c r="I279" s="3">
        <f>IF($H279="A VISTA", C279 + CADASTROS!$B$3, IF($H279="1+1", C279 + CADASTROS!$B$4, IF(H279="1+2", C279 + CADASTROS!$B$5, IF(H279="1+3", C279 + CADASTROS!$B$6, ""))))</f>
        <v>45383</v>
      </c>
      <c r="J279" s="8">
        <f t="shared" si="16"/>
        <v>2316</v>
      </c>
      <c r="K279" s="3">
        <f>IF($L279&lt;&gt;"", IF($H279="A VISTA", "", IF($H279="1+1", $C279 + CADASTROS!$C$4, IF($H279="1+2", $C279 + CADASTROS!$C$5, IF($H279="1+3", $C279 + CADASTROS!$E$4, "")))), "")</f>
        <v>45412</v>
      </c>
      <c r="L279" s="8">
        <f t="shared" si="17"/>
        <v>2316</v>
      </c>
      <c r="M279" s="3">
        <f>IF($N279&lt;&gt;"", IF($H279="A VISTA", "", IF($H279="1+1", $C279 + CADASTROS!$C$4, IF($H279="1+2", $C279 + CADASTROS!$D$5, IF($H279="1+3", $C279 + CADASTROS!$D$6, "")))), "")</f>
        <v>45427</v>
      </c>
      <c r="N279" s="8">
        <f t="shared" si="18"/>
        <v>2316</v>
      </c>
      <c r="O279" s="3" t="str">
        <f>IF($P279&lt;&gt;"", IF($H279="A VISTA", "", IF($H279="1+1", $C279 + CADASTROS!$C$4, IF($H279="1+2", $C279 + CADASTROS!$C$5, IF($H279="1+3", $C279 + CADASTROS!$E$6, "")))), "")</f>
        <v/>
      </c>
      <c r="P279" s="8" t="str">
        <f t="shared" si="19"/>
        <v/>
      </c>
    </row>
    <row r="280" spans="1:16">
      <c r="A280" s="2" t="s">
        <v>236</v>
      </c>
      <c r="B280" s="6" t="s">
        <v>24</v>
      </c>
      <c r="C280" s="7">
        <v>45369</v>
      </c>
      <c r="D280" s="7" t="s">
        <v>73</v>
      </c>
      <c r="E280" s="4" t="s">
        <v>112</v>
      </c>
      <c r="F280" s="4" t="s">
        <v>122</v>
      </c>
      <c r="G280" s="8">
        <v>1836</v>
      </c>
      <c r="H280" s="8" t="s">
        <v>126</v>
      </c>
      <c r="I280" s="3">
        <f>IF($H280="A VISTA", C280 + CADASTROS!$B$3, IF($H280="1+1", C280 + CADASTROS!$B$4, IF(H280="1+2", C280 + CADASTROS!$B$5, IF(H280="1+3", C280 + CADASTROS!$B$6, ""))))</f>
        <v>45370</v>
      </c>
      <c r="J280" s="8">
        <f t="shared" si="16"/>
        <v>1836</v>
      </c>
      <c r="K280" s="3" t="str">
        <f>IF($L280&lt;&gt;"", IF($H280="A VISTA", "", IF($H280="1+1", $C280 + CADASTROS!$C$4, IF($H280="1+2", $C280 + CADASTROS!$C$5, IF($H280="1+3", $C280 + CADASTROS!$E$4, "")))), "")</f>
        <v/>
      </c>
      <c r="L280" s="8" t="str">
        <f t="shared" si="17"/>
        <v/>
      </c>
      <c r="M280" s="3" t="str">
        <f>IF($N280&lt;&gt;"", IF($H280="A VISTA", "", IF($H280="1+1", $C280 + CADASTROS!$C$4, IF($H280="1+2", $C280 + CADASTROS!$D$5, IF($H280="1+3", $C280 + CADASTROS!$D$6, "")))), "")</f>
        <v/>
      </c>
      <c r="N280" s="8" t="str">
        <f t="shared" si="18"/>
        <v/>
      </c>
      <c r="O280" s="3" t="str">
        <f>IF($P280&lt;&gt;"", IF($H280="A VISTA", "", IF($H280="1+1", $C280 + CADASTROS!$C$4, IF($H280="1+2", $C280 + CADASTROS!$C$5, IF($H280="1+3", $C280 + CADASTROS!$E$6, "")))), "")</f>
        <v/>
      </c>
      <c r="P280" s="8" t="str">
        <f t="shared" si="19"/>
        <v/>
      </c>
    </row>
    <row r="281" spans="1:16">
      <c r="A281" s="2" t="s">
        <v>416</v>
      </c>
      <c r="B281" s="6" t="s">
        <v>42</v>
      </c>
      <c r="C281" s="7">
        <v>45319</v>
      </c>
      <c r="D281" s="7" t="s">
        <v>91</v>
      </c>
      <c r="E281" s="4" t="s">
        <v>111</v>
      </c>
      <c r="F281" s="4" t="s">
        <v>117</v>
      </c>
      <c r="G281" s="8">
        <v>9553</v>
      </c>
      <c r="H281" s="8" t="s">
        <v>126</v>
      </c>
      <c r="I281" s="3">
        <f>IF($H281="A VISTA", C281 + CADASTROS!$B$3, IF($H281="1+1", C281 + CADASTROS!$B$4, IF(H281="1+2", C281 + CADASTROS!$B$5, IF(H281="1+3", C281 + CADASTROS!$B$6, ""))))</f>
        <v>45320</v>
      </c>
      <c r="J281" s="8">
        <f t="shared" si="16"/>
        <v>9553</v>
      </c>
      <c r="K281" s="3" t="str">
        <f>IF($L281&lt;&gt;"", IF($H281="A VISTA", "", IF($H281="1+1", $C281 + CADASTROS!$C$4, IF($H281="1+2", $C281 + CADASTROS!$C$5, IF($H281="1+3", $C281 + CADASTROS!$E$4, "")))), "")</f>
        <v/>
      </c>
      <c r="L281" s="8" t="str">
        <f t="shared" si="17"/>
        <v/>
      </c>
      <c r="M281" s="3" t="str">
        <f>IF($N281&lt;&gt;"", IF($H281="A VISTA", "", IF($H281="1+1", $C281 + CADASTROS!$C$4, IF($H281="1+2", $C281 + CADASTROS!$D$5, IF($H281="1+3", $C281 + CADASTROS!$D$6, "")))), "")</f>
        <v/>
      </c>
      <c r="N281" s="8" t="str">
        <f t="shared" si="18"/>
        <v/>
      </c>
      <c r="O281" s="3" t="str">
        <f>IF($P281&lt;&gt;"", IF($H281="A VISTA", "", IF($H281="1+1", $C281 + CADASTROS!$C$4, IF($H281="1+2", $C281 + CADASTROS!$C$5, IF($H281="1+3", $C281 + CADASTROS!$E$6, "")))), "")</f>
        <v/>
      </c>
      <c r="P281" s="8" t="str">
        <f t="shared" si="19"/>
        <v/>
      </c>
    </row>
    <row r="282" spans="1:16">
      <c r="A282" s="2" t="s">
        <v>417</v>
      </c>
      <c r="B282" s="6" t="s">
        <v>36</v>
      </c>
      <c r="C282" s="7">
        <v>45169</v>
      </c>
      <c r="D282" s="7" t="s">
        <v>85</v>
      </c>
      <c r="E282" s="4" t="s">
        <v>111</v>
      </c>
      <c r="F282" s="4" t="s">
        <v>120</v>
      </c>
      <c r="G282" s="8">
        <v>7858</v>
      </c>
      <c r="H282" s="8" t="s">
        <v>138</v>
      </c>
      <c r="I282" s="3">
        <f>IF($H282="A VISTA", C282 + CADASTROS!$B$3, IF($H282="1+1", C282 + CADASTROS!$B$4, IF(H282="1+2", C282 + CADASTROS!$B$5, IF(H282="1+3", C282 + CADASTROS!$B$6, ""))))</f>
        <v>45170</v>
      </c>
      <c r="J282" s="8">
        <f t="shared" si="16"/>
        <v>3929</v>
      </c>
      <c r="K282" s="3">
        <f>IF($L282&lt;&gt;"", IF($H282="A VISTA", "", IF($H282="1+1", $C282 + CADASTROS!$C$4, IF($H282="1+2", $C282 + CADASTROS!$C$5, IF($H282="1+3", $C282 + CADASTROS!$E$4, "")))), "")</f>
        <v>45199</v>
      </c>
      <c r="L282" s="8">
        <f t="shared" si="17"/>
        <v>3929</v>
      </c>
      <c r="M282" s="3" t="str">
        <f>IF($N282&lt;&gt;"", IF($H282="A VISTA", "", IF($H282="1+1", $C282 + CADASTROS!$C$4, IF($H282="1+2", $C282 + CADASTROS!$D$5, IF($H282="1+3", $C282 + CADASTROS!$D$6, "")))), "")</f>
        <v/>
      </c>
      <c r="N282" s="8" t="str">
        <f t="shared" si="18"/>
        <v/>
      </c>
      <c r="O282" s="3" t="str">
        <f>IF($P282&lt;&gt;"", IF($H282="A VISTA", "", IF($H282="1+1", $C282 + CADASTROS!$C$4, IF($H282="1+2", $C282 + CADASTROS!$C$5, IF($H282="1+3", $C282 + CADASTROS!$E$6, "")))), "")</f>
        <v/>
      </c>
      <c r="P282" s="8" t="str">
        <f t="shared" si="19"/>
        <v/>
      </c>
    </row>
    <row r="283" spans="1:16">
      <c r="A283" s="2" t="s">
        <v>418</v>
      </c>
      <c r="B283" s="6" t="s">
        <v>15</v>
      </c>
      <c r="C283" s="7">
        <v>45272</v>
      </c>
      <c r="D283" s="7" t="s">
        <v>64</v>
      </c>
      <c r="E283" s="4" t="s">
        <v>112</v>
      </c>
      <c r="F283" s="4" t="s">
        <v>123</v>
      </c>
      <c r="G283" s="8">
        <v>1293</v>
      </c>
      <c r="H283" s="8" t="s">
        <v>126</v>
      </c>
      <c r="I283" s="3">
        <f>IF($H283="A VISTA", C283 + CADASTROS!$B$3, IF($H283="1+1", C283 + CADASTROS!$B$4, IF(H283="1+2", C283 + CADASTROS!$B$5, IF(H283="1+3", C283 + CADASTROS!$B$6, ""))))</f>
        <v>45273</v>
      </c>
      <c r="J283" s="8">
        <f t="shared" si="16"/>
        <v>1293</v>
      </c>
      <c r="K283" s="3" t="str">
        <f>IF($L283&lt;&gt;"", IF($H283="A VISTA", "", IF($H283="1+1", $C283 + CADASTROS!$C$4, IF($H283="1+2", $C283 + CADASTROS!$C$5, IF($H283="1+3", $C283 + CADASTROS!$E$4, "")))), "")</f>
        <v/>
      </c>
      <c r="L283" s="8" t="str">
        <f t="shared" si="17"/>
        <v/>
      </c>
      <c r="M283" s="3" t="str">
        <f>IF($N283&lt;&gt;"", IF($H283="A VISTA", "", IF($H283="1+1", $C283 + CADASTROS!$C$4, IF($H283="1+2", $C283 + CADASTROS!$D$5, IF($H283="1+3", $C283 + CADASTROS!$D$6, "")))), "")</f>
        <v/>
      </c>
      <c r="N283" s="8" t="str">
        <f t="shared" si="18"/>
        <v/>
      </c>
      <c r="O283" s="3" t="str">
        <f>IF($P283&lt;&gt;"", IF($H283="A VISTA", "", IF($H283="1+1", $C283 + CADASTROS!$C$4, IF($H283="1+2", $C283 + CADASTROS!$C$5, IF($H283="1+3", $C283 + CADASTROS!$E$6, "")))), "")</f>
        <v/>
      </c>
      <c r="P283" s="8" t="str">
        <f t="shared" si="19"/>
        <v/>
      </c>
    </row>
    <row r="284" spans="1:16">
      <c r="A284" s="2" t="s">
        <v>419</v>
      </c>
      <c r="B284" s="6" t="s">
        <v>32</v>
      </c>
      <c r="C284" s="7">
        <v>45446</v>
      </c>
      <c r="D284" s="7" t="s">
        <v>81</v>
      </c>
      <c r="E284" s="4" t="s">
        <v>110</v>
      </c>
      <c r="F284" s="4" t="s">
        <v>124</v>
      </c>
      <c r="G284" s="8">
        <v>5598</v>
      </c>
      <c r="H284" s="8" t="s">
        <v>136</v>
      </c>
      <c r="I284" s="3">
        <f>IF($H284="A VISTA", C284 + CADASTROS!$B$3, IF($H284="1+1", C284 + CADASTROS!$B$4, IF(H284="1+2", C284 + CADASTROS!$B$5, IF(H284="1+3", C284 + CADASTROS!$B$6, ""))))</f>
        <v>45447</v>
      </c>
      <c r="J284" s="8">
        <f t="shared" si="16"/>
        <v>1399.5</v>
      </c>
      <c r="K284" s="3">
        <f>IF($L284&lt;&gt;"", IF($H284="A VISTA", "", IF($H284="1+1", $C284 + CADASTROS!$C$4, IF($H284="1+2", $C284 + CADASTROS!$C$5, IF($H284="1+3", $C284 + CADASTROS!$E$4, "")))), "")</f>
        <v>45446</v>
      </c>
      <c r="L284" s="8">
        <f t="shared" si="17"/>
        <v>1399.5</v>
      </c>
      <c r="M284" s="3">
        <f>IF($N284&lt;&gt;"", IF($H284="A VISTA", "", IF($H284="1+1", $C284 + CADASTROS!$C$4, IF($H284="1+2", $C284 + CADASTROS!$D$5, IF($H284="1+3", $C284 + CADASTROS!$D$6, "")))), "")</f>
        <v>45491</v>
      </c>
      <c r="N284" s="8">
        <f t="shared" si="18"/>
        <v>1399.5</v>
      </c>
      <c r="O284" s="3">
        <f>IF($P284&lt;&gt;"", IF($H284="A VISTA", "", IF($H284="1+1", $C284 + CADASTROS!$C$4, IF($H284="1+2", $C284 + CADASTROS!$C$5, IF($H284="1+3", $C284 + CADASTROS!$E$6, "")))), "")</f>
        <v>45506</v>
      </c>
      <c r="P284" s="8">
        <f t="shared" si="19"/>
        <v>1399.5</v>
      </c>
    </row>
    <row r="285" spans="1:16">
      <c r="A285" s="2" t="s">
        <v>420</v>
      </c>
      <c r="B285" s="6" t="s">
        <v>15</v>
      </c>
      <c r="C285" s="7">
        <v>45151</v>
      </c>
      <c r="D285" s="7" t="s">
        <v>64</v>
      </c>
      <c r="E285" s="4" t="s">
        <v>112</v>
      </c>
      <c r="F285" s="4" t="s">
        <v>123</v>
      </c>
      <c r="G285" s="8">
        <v>3434</v>
      </c>
      <c r="H285" s="8" t="s">
        <v>126</v>
      </c>
      <c r="I285" s="3">
        <f>IF($H285="A VISTA", C285 + CADASTROS!$B$3, IF($H285="1+1", C285 + CADASTROS!$B$4, IF(H285="1+2", C285 + CADASTROS!$B$5, IF(H285="1+3", C285 + CADASTROS!$B$6, ""))))</f>
        <v>45152</v>
      </c>
      <c r="J285" s="8">
        <f t="shared" si="16"/>
        <v>3434</v>
      </c>
      <c r="K285" s="3" t="str">
        <f>IF($L285&lt;&gt;"", IF($H285="A VISTA", "", IF($H285="1+1", $C285 + CADASTROS!$C$4, IF($H285="1+2", $C285 + CADASTROS!$C$5, IF($H285="1+3", $C285 + CADASTROS!$E$4, "")))), "")</f>
        <v/>
      </c>
      <c r="L285" s="8" t="str">
        <f t="shared" si="17"/>
        <v/>
      </c>
      <c r="M285" s="3" t="str">
        <f>IF($N285&lt;&gt;"", IF($H285="A VISTA", "", IF($H285="1+1", $C285 + CADASTROS!$C$4, IF($H285="1+2", $C285 + CADASTROS!$D$5, IF($H285="1+3", $C285 + CADASTROS!$D$6, "")))), "")</f>
        <v/>
      </c>
      <c r="N285" s="8" t="str">
        <f t="shared" si="18"/>
        <v/>
      </c>
      <c r="O285" s="3" t="str">
        <f>IF($P285&lt;&gt;"", IF($H285="A VISTA", "", IF($H285="1+1", $C285 + CADASTROS!$C$4, IF($H285="1+2", $C285 + CADASTROS!$C$5, IF($H285="1+3", $C285 + CADASTROS!$E$6, "")))), "")</f>
        <v/>
      </c>
      <c r="P285" s="8" t="str">
        <f t="shared" si="19"/>
        <v/>
      </c>
    </row>
    <row r="286" spans="1:16">
      <c r="A286" s="2" t="s">
        <v>421</v>
      </c>
      <c r="B286" s="6" t="s">
        <v>18</v>
      </c>
      <c r="C286" s="7">
        <v>45166</v>
      </c>
      <c r="D286" s="7" t="s">
        <v>67</v>
      </c>
      <c r="E286" s="4" t="s">
        <v>111</v>
      </c>
      <c r="F286" s="4" t="s">
        <v>121</v>
      </c>
      <c r="G286" s="8">
        <v>8864</v>
      </c>
      <c r="H286" s="8" t="s">
        <v>137</v>
      </c>
      <c r="I286" s="3">
        <f>IF($H286="A VISTA", C286 + CADASTROS!$B$3, IF($H286="1+1", C286 + CADASTROS!$B$4, IF(H286="1+2", C286 + CADASTROS!$B$5, IF(H286="1+3", C286 + CADASTROS!$B$6, ""))))</f>
        <v>45167</v>
      </c>
      <c r="J286" s="8">
        <f t="shared" si="16"/>
        <v>2954.6666666666665</v>
      </c>
      <c r="K286" s="3">
        <f>IF($L286&lt;&gt;"", IF($H286="A VISTA", "", IF($H286="1+1", $C286 + CADASTROS!$C$4, IF($H286="1+2", $C286 + CADASTROS!$C$5, IF($H286="1+3", $C286 + CADASTROS!$E$4, "")))), "")</f>
        <v>45196</v>
      </c>
      <c r="L286" s="8">
        <f t="shared" si="17"/>
        <v>2954.6666666666665</v>
      </c>
      <c r="M286" s="3">
        <f>IF($N286&lt;&gt;"", IF($H286="A VISTA", "", IF($H286="1+1", $C286 + CADASTROS!$C$4, IF($H286="1+2", $C286 + CADASTROS!$D$5, IF($H286="1+3", $C286 + CADASTROS!$D$6, "")))), "")</f>
        <v>45211</v>
      </c>
      <c r="N286" s="8">
        <f t="shared" si="18"/>
        <v>2954.6666666666674</v>
      </c>
      <c r="O286" s="3" t="str">
        <f>IF($P286&lt;&gt;"", IF($H286="A VISTA", "", IF($H286="1+1", $C286 + CADASTROS!$C$4, IF($H286="1+2", $C286 + CADASTROS!$C$5, IF($H286="1+3", $C286 + CADASTROS!$E$6, "")))), "")</f>
        <v/>
      </c>
      <c r="P286" s="8" t="str">
        <f t="shared" si="19"/>
        <v/>
      </c>
    </row>
    <row r="287" spans="1:16">
      <c r="A287" s="2" t="s">
        <v>422</v>
      </c>
      <c r="B287" s="6" t="s">
        <v>41</v>
      </c>
      <c r="C287" s="7">
        <v>45135</v>
      </c>
      <c r="D287" s="7" t="s">
        <v>90</v>
      </c>
      <c r="E287" s="4" t="s">
        <v>111</v>
      </c>
      <c r="F287" s="4" t="s">
        <v>118</v>
      </c>
      <c r="G287" s="8">
        <v>6331</v>
      </c>
      <c r="H287" s="8" t="s">
        <v>126</v>
      </c>
      <c r="I287" s="3">
        <f>IF($H287="A VISTA", C287 + CADASTROS!$B$3, IF($H287="1+1", C287 + CADASTROS!$B$4, IF(H287="1+2", C287 + CADASTROS!$B$5, IF(H287="1+3", C287 + CADASTROS!$B$6, ""))))</f>
        <v>45136</v>
      </c>
      <c r="J287" s="8">
        <f t="shared" si="16"/>
        <v>6331</v>
      </c>
      <c r="K287" s="3" t="str">
        <f>IF($L287&lt;&gt;"", IF($H287="A VISTA", "", IF($H287="1+1", $C287 + CADASTROS!$C$4, IF($H287="1+2", $C287 + CADASTROS!$C$5, IF($H287="1+3", $C287 + CADASTROS!$E$4, "")))), "")</f>
        <v/>
      </c>
      <c r="L287" s="8" t="str">
        <f t="shared" si="17"/>
        <v/>
      </c>
      <c r="M287" s="3" t="str">
        <f>IF($N287&lt;&gt;"", IF($H287="A VISTA", "", IF($H287="1+1", $C287 + CADASTROS!$C$4, IF($H287="1+2", $C287 + CADASTROS!$D$5, IF($H287="1+3", $C287 + CADASTROS!$D$6, "")))), "")</f>
        <v/>
      </c>
      <c r="N287" s="8" t="str">
        <f t="shared" si="18"/>
        <v/>
      </c>
      <c r="O287" s="3" t="str">
        <f>IF($P287&lt;&gt;"", IF($H287="A VISTA", "", IF($H287="1+1", $C287 + CADASTROS!$C$4, IF($H287="1+2", $C287 + CADASTROS!$C$5, IF($H287="1+3", $C287 + CADASTROS!$E$6, "")))), "")</f>
        <v/>
      </c>
      <c r="P287" s="8" t="str">
        <f t="shared" si="19"/>
        <v/>
      </c>
    </row>
    <row r="288" spans="1:16">
      <c r="A288" s="2" t="s">
        <v>423</v>
      </c>
      <c r="B288" s="6" t="s">
        <v>12</v>
      </c>
      <c r="C288" s="7">
        <v>45175</v>
      </c>
      <c r="D288" s="7" t="s">
        <v>62</v>
      </c>
      <c r="E288" s="4" t="s">
        <v>112</v>
      </c>
      <c r="F288" s="4" t="s">
        <v>122</v>
      </c>
      <c r="G288" s="8">
        <v>3309</v>
      </c>
      <c r="H288" s="8" t="s">
        <v>126</v>
      </c>
      <c r="I288" s="3">
        <f>IF($H288="A VISTA", C288 + CADASTROS!$B$3, IF($H288="1+1", C288 + CADASTROS!$B$4, IF(H288="1+2", C288 + CADASTROS!$B$5, IF(H288="1+3", C288 + CADASTROS!$B$6, ""))))</f>
        <v>45176</v>
      </c>
      <c r="J288" s="8">
        <f t="shared" si="16"/>
        <v>3309</v>
      </c>
      <c r="K288" s="3" t="str">
        <f>IF($L288&lt;&gt;"", IF($H288="A VISTA", "", IF($H288="1+1", $C288 + CADASTROS!$C$4, IF($H288="1+2", $C288 + CADASTROS!$C$5, IF($H288="1+3", $C288 + CADASTROS!$E$4, "")))), "")</f>
        <v/>
      </c>
      <c r="L288" s="8" t="str">
        <f t="shared" si="17"/>
        <v/>
      </c>
      <c r="M288" s="3" t="str">
        <f>IF($N288&lt;&gt;"", IF($H288="A VISTA", "", IF($H288="1+1", $C288 + CADASTROS!$C$4, IF($H288="1+2", $C288 + CADASTROS!$D$5, IF($H288="1+3", $C288 + CADASTROS!$D$6, "")))), "")</f>
        <v/>
      </c>
      <c r="N288" s="8" t="str">
        <f t="shared" si="18"/>
        <v/>
      </c>
      <c r="O288" s="3" t="str">
        <f>IF($P288&lt;&gt;"", IF($H288="A VISTA", "", IF($H288="1+1", $C288 + CADASTROS!$C$4, IF($H288="1+2", $C288 + CADASTROS!$C$5, IF($H288="1+3", $C288 + CADASTROS!$E$6, "")))), "")</f>
        <v/>
      </c>
      <c r="P288" s="8" t="str">
        <f t="shared" si="19"/>
        <v/>
      </c>
    </row>
    <row r="289" spans="1:16">
      <c r="A289" s="2" t="s">
        <v>424</v>
      </c>
      <c r="B289" s="6" t="s">
        <v>56</v>
      </c>
      <c r="C289" s="7">
        <v>45117</v>
      </c>
      <c r="D289" s="7" t="s">
        <v>105</v>
      </c>
      <c r="E289" s="4" t="s">
        <v>110</v>
      </c>
      <c r="F289" s="4" t="s">
        <v>113</v>
      </c>
      <c r="G289" s="8">
        <v>7742</v>
      </c>
      <c r="H289" s="8" t="s">
        <v>137</v>
      </c>
      <c r="I289" s="3">
        <f>IF($H289="A VISTA", C289 + CADASTROS!$B$3, IF($H289="1+1", C289 + CADASTROS!$B$4, IF(H289="1+2", C289 + CADASTROS!$B$5, IF(H289="1+3", C289 + CADASTROS!$B$6, ""))))</f>
        <v>45118</v>
      </c>
      <c r="J289" s="8">
        <f t="shared" si="16"/>
        <v>2580.6666666666665</v>
      </c>
      <c r="K289" s="3">
        <f>IF($L289&lt;&gt;"", IF($H289="A VISTA", "", IF($H289="1+1", $C289 + CADASTROS!$C$4, IF($H289="1+2", $C289 + CADASTROS!$C$5, IF($H289="1+3", $C289 + CADASTROS!$E$4, "")))), "")</f>
        <v>45147</v>
      </c>
      <c r="L289" s="8">
        <f t="shared" si="17"/>
        <v>2580.6666666666665</v>
      </c>
      <c r="M289" s="3">
        <f>IF($N289&lt;&gt;"", IF($H289="A VISTA", "", IF($H289="1+1", $C289 + CADASTROS!$C$4, IF($H289="1+2", $C289 + CADASTROS!$D$5, IF($H289="1+3", $C289 + CADASTROS!$D$6, "")))), "")</f>
        <v>45162</v>
      </c>
      <c r="N289" s="8">
        <f t="shared" si="18"/>
        <v>2580.6666666666674</v>
      </c>
      <c r="O289" s="3" t="str">
        <f>IF($P289&lt;&gt;"", IF($H289="A VISTA", "", IF($H289="1+1", $C289 + CADASTROS!$C$4, IF($H289="1+2", $C289 + CADASTROS!$C$5, IF($H289="1+3", $C289 + CADASTROS!$E$6, "")))), "")</f>
        <v/>
      </c>
      <c r="P289" s="8" t="str">
        <f t="shared" si="19"/>
        <v/>
      </c>
    </row>
    <row r="290" spans="1:16">
      <c r="A290" s="2" t="s">
        <v>425</v>
      </c>
      <c r="B290" s="6" t="s">
        <v>56</v>
      </c>
      <c r="C290" s="7">
        <v>45051</v>
      </c>
      <c r="D290" s="7" t="s">
        <v>105</v>
      </c>
      <c r="E290" s="4" t="s">
        <v>110</v>
      </c>
      <c r="F290" s="4" t="s">
        <v>113</v>
      </c>
      <c r="G290" s="8">
        <v>8698</v>
      </c>
      <c r="H290" s="8" t="s">
        <v>137</v>
      </c>
      <c r="I290" s="3">
        <f>IF($H290="A VISTA", C290 + CADASTROS!$B$3, IF($H290="1+1", C290 + CADASTROS!$B$4, IF(H290="1+2", C290 + CADASTROS!$B$5, IF(H290="1+3", C290 + CADASTROS!$B$6, ""))))</f>
        <v>45052</v>
      </c>
      <c r="J290" s="8">
        <f t="shared" si="16"/>
        <v>2899.3333333333335</v>
      </c>
      <c r="K290" s="3">
        <f>IF($L290&lt;&gt;"", IF($H290="A VISTA", "", IF($H290="1+1", $C290 + CADASTROS!$C$4, IF($H290="1+2", $C290 + CADASTROS!$C$5, IF($H290="1+3", $C290 + CADASTROS!$E$4, "")))), "")</f>
        <v>45081</v>
      </c>
      <c r="L290" s="8">
        <f t="shared" si="17"/>
        <v>2899.3333333333335</v>
      </c>
      <c r="M290" s="3">
        <f>IF($N290&lt;&gt;"", IF($H290="A VISTA", "", IF($H290="1+1", $C290 + CADASTROS!$C$4, IF($H290="1+2", $C290 + CADASTROS!$D$5, IF($H290="1+3", $C290 + CADASTROS!$D$6, "")))), "")</f>
        <v>45096</v>
      </c>
      <c r="N290" s="8">
        <f t="shared" si="18"/>
        <v>2899.3333333333326</v>
      </c>
      <c r="O290" s="3" t="str">
        <f>IF($P290&lt;&gt;"", IF($H290="A VISTA", "", IF($H290="1+1", $C290 + CADASTROS!$C$4, IF($H290="1+2", $C290 + CADASTROS!$C$5, IF($H290="1+3", $C290 + CADASTROS!$E$6, "")))), "")</f>
        <v/>
      </c>
      <c r="P290" s="8" t="str">
        <f t="shared" si="19"/>
        <v/>
      </c>
    </row>
    <row r="291" spans="1:16">
      <c r="A291" s="2" t="s">
        <v>426</v>
      </c>
      <c r="B291" s="6" t="s">
        <v>58</v>
      </c>
      <c r="C291" s="7">
        <v>45153</v>
      </c>
      <c r="D291" s="7" t="s">
        <v>107</v>
      </c>
      <c r="E291" s="4" t="s">
        <v>111</v>
      </c>
      <c r="F291" s="4" t="s">
        <v>120</v>
      </c>
      <c r="G291" s="8">
        <v>1002</v>
      </c>
      <c r="H291" s="8" t="s">
        <v>137</v>
      </c>
      <c r="I291" s="3">
        <f>IF($H291="A VISTA", C291 + CADASTROS!$B$3, IF($H291="1+1", C291 + CADASTROS!$B$4, IF(H291="1+2", C291 + CADASTROS!$B$5, IF(H291="1+3", C291 + CADASTROS!$B$6, ""))))</f>
        <v>45154</v>
      </c>
      <c r="J291" s="8">
        <f t="shared" si="16"/>
        <v>334</v>
      </c>
      <c r="K291" s="3">
        <f>IF($L291&lt;&gt;"", IF($H291="A VISTA", "", IF($H291="1+1", $C291 + CADASTROS!$C$4, IF($H291="1+2", $C291 + CADASTROS!$C$5, IF($H291="1+3", $C291 + CADASTROS!$E$4, "")))), "")</f>
        <v>45183</v>
      </c>
      <c r="L291" s="8">
        <f t="shared" si="17"/>
        <v>334</v>
      </c>
      <c r="M291" s="3">
        <f>IF($N291&lt;&gt;"", IF($H291="A VISTA", "", IF($H291="1+1", $C291 + CADASTROS!$C$4, IF($H291="1+2", $C291 + CADASTROS!$D$5, IF($H291="1+3", $C291 + CADASTROS!$D$6, "")))), "")</f>
        <v>45198</v>
      </c>
      <c r="N291" s="8">
        <f t="shared" si="18"/>
        <v>334</v>
      </c>
      <c r="O291" s="3" t="str">
        <f>IF($P291&lt;&gt;"", IF($H291="A VISTA", "", IF($H291="1+1", $C291 + CADASTROS!$C$4, IF($H291="1+2", $C291 + CADASTROS!$C$5, IF($H291="1+3", $C291 + CADASTROS!$E$6, "")))), "")</f>
        <v/>
      </c>
      <c r="P291" s="8" t="str">
        <f t="shared" si="19"/>
        <v/>
      </c>
    </row>
    <row r="292" spans="1:16">
      <c r="A292" s="2" t="s">
        <v>427</v>
      </c>
      <c r="B292" s="6" t="s">
        <v>29</v>
      </c>
      <c r="C292" s="7">
        <v>45355</v>
      </c>
      <c r="D292" s="7" t="s">
        <v>78</v>
      </c>
      <c r="E292" s="4" t="s">
        <v>111</v>
      </c>
      <c r="F292" s="4" t="s">
        <v>121</v>
      </c>
      <c r="G292" s="8">
        <v>5390</v>
      </c>
      <c r="H292" s="8" t="s">
        <v>126</v>
      </c>
      <c r="I292" s="3">
        <f>IF($H292="A VISTA", C292 + CADASTROS!$B$3, IF($H292="1+1", C292 + CADASTROS!$B$4, IF(H292="1+2", C292 + CADASTROS!$B$5, IF(H292="1+3", C292 + CADASTROS!$B$6, ""))))</f>
        <v>45356</v>
      </c>
      <c r="J292" s="8">
        <f t="shared" si="16"/>
        <v>5390</v>
      </c>
      <c r="K292" s="3" t="str">
        <f>IF($L292&lt;&gt;"", IF($H292="A VISTA", "", IF($H292="1+1", $C292 + CADASTROS!$C$4, IF($H292="1+2", $C292 + CADASTROS!$C$5, IF($H292="1+3", $C292 + CADASTROS!$E$4, "")))), "")</f>
        <v/>
      </c>
      <c r="L292" s="8" t="str">
        <f t="shared" si="17"/>
        <v/>
      </c>
      <c r="M292" s="3" t="str">
        <f>IF($N292&lt;&gt;"", IF($H292="A VISTA", "", IF($H292="1+1", $C292 + CADASTROS!$C$4, IF($H292="1+2", $C292 + CADASTROS!$D$5, IF($H292="1+3", $C292 + CADASTROS!$D$6, "")))), "")</f>
        <v/>
      </c>
      <c r="N292" s="8" t="str">
        <f t="shared" si="18"/>
        <v/>
      </c>
      <c r="O292" s="3" t="str">
        <f>IF($P292&lt;&gt;"", IF($H292="A VISTA", "", IF($H292="1+1", $C292 + CADASTROS!$C$4, IF($H292="1+2", $C292 + CADASTROS!$C$5, IF($H292="1+3", $C292 + CADASTROS!$E$6, "")))), "")</f>
        <v/>
      </c>
      <c r="P292" s="8" t="str">
        <f t="shared" si="19"/>
        <v/>
      </c>
    </row>
    <row r="293" spans="1:16">
      <c r="A293" s="2" t="s">
        <v>428</v>
      </c>
      <c r="B293" s="6" t="s">
        <v>59</v>
      </c>
      <c r="C293" s="7">
        <v>45158</v>
      </c>
      <c r="D293" s="7" t="s">
        <v>108</v>
      </c>
      <c r="E293" s="4" t="s">
        <v>111</v>
      </c>
      <c r="F293" s="4" t="s">
        <v>121</v>
      </c>
      <c r="G293" s="8">
        <v>8316</v>
      </c>
      <c r="H293" s="8" t="s">
        <v>138</v>
      </c>
      <c r="I293" s="3">
        <f>IF($H293="A VISTA", C293 + CADASTROS!$B$3, IF($H293="1+1", C293 + CADASTROS!$B$4, IF(H293="1+2", C293 + CADASTROS!$B$5, IF(H293="1+3", C293 + CADASTROS!$B$6, ""))))</f>
        <v>45159</v>
      </c>
      <c r="J293" s="8">
        <f t="shared" si="16"/>
        <v>4158</v>
      </c>
      <c r="K293" s="3">
        <f>IF($L293&lt;&gt;"", IF($H293="A VISTA", "", IF($H293="1+1", $C293 + CADASTROS!$C$4, IF($H293="1+2", $C293 + CADASTROS!$C$5, IF($H293="1+3", $C293 + CADASTROS!$E$4, "")))), "")</f>
        <v>45188</v>
      </c>
      <c r="L293" s="8">
        <f t="shared" si="17"/>
        <v>4158</v>
      </c>
      <c r="M293" s="3" t="str">
        <f>IF($N293&lt;&gt;"", IF($H293="A VISTA", "", IF($H293="1+1", $C293 + CADASTROS!$C$4, IF($H293="1+2", $C293 + CADASTROS!$D$5, IF($H293="1+3", $C293 + CADASTROS!$D$6, "")))), "")</f>
        <v/>
      </c>
      <c r="N293" s="8" t="str">
        <f t="shared" si="18"/>
        <v/>
      </c>
      <c r="O293" s="3" t="str">
        <f>IF($P293&lt;&gt;"", IF($H293="A VISTA", "", IF($H293="1+1", $C293 + CADASTROS!$C$4, IF($H293="1+2", $C293 + CADASTROS!$C$5, IF($H293="1+3", $C293 + CADASTROS!$E$6, "")))), "")</f>
        <v/>
      </c>
      <c r="P293" s="8" t="str">
        <f t="shared" si="19"/>
        <v/>
      </c>
    </row>
    <row r="294" spans="1:16">
      <c r="A294" s="2" t="s">
        <v>429</v>
      </c>
      <c r="B294" s="6" t="s">
        <v>15</v>
      </c>
      <c r="C294" s="7">
        <v>45207</v>
      </c>
      <c r="D294" s="7" t="s">
        <v>64</v>
      </c>
      <c r="E294" s="4" t="s">
        <v>112</v>
      </c>
      <c r="F294" s="4" t="s">
        <v>123</v>
      </c>
      <c r="G294" s="8">
        <v>3139</v>
      </c>
      <c r="H294" s="8" t="s">
        <v>126</v>
      </c>
      <c r="I294" s="3">
        <f>IF($H294="A VISTA", C294 + CADASTROS!$B$3, IF($H294="1+1", C294 + CADASTROS!$B$4, IF(H294="1+2", C294 + CADASTROS!$B$5, IF(H294="1+3", C294 + CADASTROS!$B$6, ""))))</f>
        <v>45208</v>
      </c>
      <c r="J294" s="8">
        <f t="shared" si="16"/>
        <v>3139</v>
      </c>
      <c r="K294" s="3" t="str">
        <f>IF($L294&lt;&gt;"", IF($H294="A VISTA", "", IF($H294="1+1", $C294 + CADASTROS!$C$4, IF($H294="1+2", $C294 + CADASTROS!$C$5, IF($H294="1+3", $C294 + CADASTROS!$E$4, "")))), "")</f>
        <v/>
      </c>
      <c r="L294" s="8" t="str">
        <f t="shared" si="17"/>
        <v/>
      </c>
      <c r="M294" s="3" t="str">
        <f>IF($N294&lt;&gt;"", IF($H294="A VISTA", "", IF($H294="1+1", $C294 + CADASTROS!$C$4, IF($H294="1+2", $C294 + CADASTROS!$D$5, IF($H294="1+3", $C294 + CADASTROS!$D$6, "")))), "")</f>
        <v/>
      </c>
      <c r="N294" s="8" t="str">
        <f t="shared" si="18"/>
        <v/>
      </c>
      <c r="O294" s="3" t="str">
        <f>IF($P294&lt;&gt;"", IF($H294="A VISTA", "", IF($H294="1+1", $C294 + CADASTROS!$C$4, IF($H294="1+2", $C294 + CADASTROS!$C$5, IF($H294="1+3", $C294 + CADASTROS!$E$6, "")))), "")</f>
        <v/>
      </c>
      <c r="P294" s="8" t="str">
        <f t="shared" si="19"/>
        <v/>
      </c>
    </row>
    <row r="295" spans="1:16">
      <c r="A295" s="2" t="s">
        <v>430</v>
      </c>
      <c r="B295" s="6" t="s">
        <v>14</v>
      </c>
      <c r="C295" s="7">
        <v>45274</v>
      </c>
      <c r="D295" s="7" t="s">
        <v>61</v>
      </c>
      <c r="E295" s="4" t="s">
        <v>110</v>
      </c>
      <c r="F295" s="4" t="s">
        <v>113</v>
      </c>
      <c r="G295" s="8">
        <v>2373</v>
      </c>
      <c r="H295" s="8" t="s">
        <v>126</v>
      </c>
      <c r="I295" s="3">
        <f>IF($H295="A VISTA", C295 + CADASTROS!$B$3, IF($H295="1+1", C295 + CADASTROS!$B$4, IF(H295="1+2", C295 + CADASTROS!$B$5, IF(H295="1+3", C295 + CADASTROS!$B$6, ""))))</f>
        <v>45275</v>
      </c>
      <c r="J295" s="8">
        <f t="shared" si="16"/>
        <v>2373</v>
      </c>
      <c r="K295" s="3" t="str">
        <f>IF($L295&lt;&gt;"", IF($H295="A VISTA", "", IF($H295="1+1", $C295 + CADASTROS!$C$4, IF($H295="1+2", $C295 + CADASTROS!$C$5, IF($H295="1+3", $C295 + CADASTROS!$E$4, "")))), "")</f>
        <v/>
      </c>
      <c r="L295" s="8" t="str">
        <f t="shared" si="17"/>
        <v/>
      </c>
      <c r="M295" s="3" t="str">
        <f>IF($N295&lt;&gt;"", IF($H295="A VISTA", "", IF($H295="1+1", $C295 + CADASTROS!$C$4, IF($H295="1+2", $C295 + CADASTROS!$D$5, IF($H295="1+3", $C295 + CADASTROS!$D$6, "")))), "")</f>
        <v/>
      </c>
      <c r="N295" s="8" t="str">
        <f t="shared" si="18"/>
        <v/>
      </c>
      <c r="O295" s="3" t="str">
        <f>IF($P295&lt;&gt;"", IF($H295="A VISTA", "", IF($H295="1+1", $C295 + CADASTROS!$C$4, IF($H295="1+2", $C295 + CADASTROS!$C$5, IF($H295="1+3", $C295 + CADASTROS!$E$6, "")))), "")</f>
        <v/>
      </c>
      <c r="P295" s="8" t="str">
        <f t="shared" si="19"/>
        <v/>
      </c>
    </row>
    <row r="296" spans="1:16">
      <c r="A296" s="2" t="s">
        <v>431</v>
      </c>
      <c r="B296" s="6" t="s">
        <v>28</v>
      </c>
      <c r="C296" s="7">
        <v>45114</v>
      </c>
      <c r="D296" s="7" t="s">
        <v>77</v>
      </c>
      <c r="E296" s="4" t="s">
        <v>110</v>
      </c>
      <c r="F296" s="4" t="s">
        <v>114</v>
      </c>
      <c r="G296" s="8">
        <v>465</v>
      </c>
      <c r="H296" s="8" t="s">
        <v>136</v>
      </c>
      <c r="I296" s="3">
        <f>IF($H296="A VISTA", C296 + CADASTROS!$B$3, IF($H296="1+1", C296 + CADASTROS!$B$4, IF(H296="1+2", C296 + CADASTROS!$B$5, IF(H296="1+3", C296 + CADASTROS!$B$6, ""))))</f>
        <v>45115</v>
      </c>
      <c r="J296" s="8">
        <f t="shared" si="16"/>
        <v>116.25</v>
      </c>
      <c r="K296" s="3">
        <f>IF($L296&lt;&gt;"", IF($H296="A VISTA", "", IF($H296="1+1", $C296 + CADASTROS!$C$4, IF($H296="1+2", $C296 + CADASTROS!$C$5, IF($H296="1+3", $C296 + CADASTROS!$E$4, "")))), "")</f>
        <v>45114</v>
      </c>
      <c r="L296" s="8">
        <f t="shared" si="17"/>
        <v>116.25</v>
      </c>
      <c r="M296" s="3">
        <f>IF($N296&lt;&gt;"", IF($H296="A VISTA", "", IF($H296="1+1", $C296 + CADASTROS!$C$4, IF($H296="1+2", $C296 + CADASTROS!$D$5, IF($H296="1+3", $C296 + CADASTROS!$D$6, "")))), "")</f>
        <v>45159</v>
      </c>
      <c r="N296" s="8">
        <f t="shared" si="18"/>
        <v>116.25</v>
      </c>
      <c r="O296" s="3">
        <f>IF($P296&lt;&gt;"", IF($H296="A VISTA", "", IF($H296="1+1", $C296 + CADASTROS!$C$4, IF($H296="1+2", $C296 + CADASTROS!$C$5, IF($H296="1+3", $C296 + CADASTROS!$E$6, "")))), "")</f>
        <v>45174</v>
      </c>
      <c r="P296" s="8">
        <f t="shared" si="19"/>
        <v>116.25</v>
      </c>
    </row>
    <row r="297" spans="1:16">
      <c r="A297" s="2" t="s">
        <v>432</v>
      </c>
      <c r="B297" s="6" t="s">
        <v>25</v>
      </c>
      <c r="C297" s="7">
        <v>45347</v>
      </c>
      <c r="D297" s="7" t="s">
        <v>74</v>
      </c>
      <c r="E297" s="4" t="s">
        <v>111</v>
      </c>
      <c r="F297" s="4" t="s">
        <v>120</v>
      </c>
      <c r="G297" s="8">
        <v>3828</v>
      </c>
      <c r="H297" s="8" t="s">
        <v>136</v>
      </c>
      <c r="I297" s="3">
        <f>IF($H297="A VISTA", C297 + CADASTROS!$B$3, IF($H297="1+1", C297 + CADASTROS!$B$4, IF(H297="1+2", C297 + CADASTROS!$B$5, IF(H297="1+3", C297 + CADASTROS!$B$6, ""))))</f>
        <v>45348</v>
      </c>
      <c r="J297" s="8">
        <f t="shared" si="16"/>
        <v>957</v>
      </c>
      <c r="K297" s="3">
        <f>IF($L297&lt;&gt;"", IF($H297="A VISTA", "", IF($H297="1+1", $C297 + CADASTROS!$C$4, IF($H297="1+2", $C297 + CADASTROS!$C$5, IF($H297="1+3", $C297 + CADASTROS!$E$4, "")))), "")</f>
        <v>45347</v>
      </c>
      <c r="L297" s="8">
        <f t="shared" si="17"/>
        <v>957</v>
      </c>
      <c r="M297" s="3">
        <f>IF($N297&lt;&gt;"", IF($H297="A VISTA", "", IF($H297="1+1", $C297 + CADASTROS!$C$4, IF($H297="1+2", $C297 + CADASTROS!$D$5, IF($H297="1+3", $C297 + CADASTROS!$D$6, "")))), "")</f>
        <v>45392</v>
      </c>
      <c r="N297" s="8">
        <f t="shared" si="18"/>
        <v>957</v>
      </c>
      <c r="O297" s="3">
        <f>IF($P297&lt;&gt;"", IF($H297="A VISTA", "", IF($H297="1+1", $C297 + CADASTROS!$C$4, IF($H297="1+2", $C297 + CADASTROS!$C$5, IF($H297="1+3", $C297 + CADASTROS!$E$6, "")))), "")</f>
        <v>45407</v>
      </c>
      <c r="P297" s="8">
        <f t="shared" si="19"/>
        <v>957</v>
      </c>
    </row>
    <row r="298" spans="1:16">
      <c r="A298" s="2" t="s">
        <v>433</v>
      </c>
      <c r="B298" s="6" t="s">
        <v>47</v>
      </c>
      <c r="C298" s="7">
        <v>45337</v>
      </c>
      <c r="D298" s="7" t="s">
        <v>96</v>
      </c>
      <c r="E298" s="4" t="s">
        <v>111</v>
      </c>
      <c r="F298" s="4" t="s">
        <v>120</v>
      </c>
      <c r="G298" s="8">
        <v>3075</v>
      </c>
      <c r="H298" s="8" t="s">
        <v>126</v>
      </c>
      <c r="I298" s="3">
        <f>IF($H298="A VISTA", C298 + CADASTROS!$B$3, IF($H298="1+1", C298 + CADASTROS!$B$4, IF(H298="1+2", C298 + CADASTROS!$B$5, IF(H298="1+3", C298 + CADASTROS!$B$6, ""))))</f>
        <v>45338</v>
      </c>
      <c r="J298" s="8">
        <f t="shared" si="16"/>
        <v>3075</v>
      </c>
      <c r="K298" s="3" t="str">
        <f>IF($L298&lt;&gt;"", IF($H298="A VISTA", "", IF($H298="1+1", $C298 + CADASTROS!$C$4, IF($H298="1+2", $C298 + CADASTROS!$C$5, IF($H298="1+3", $C298 + CADASTROS!$E$4, "")))), "")</f>
        <v/>
      </c>
      <c r="L298" s="8" t="str">
        <f t="shared" si="17"/>
        <v/>
      </c>
      <c r="M298" s="3" t="str">
        <f>IF($N298&lt;&gt;"", IF($H298="A VISTA", "", IF($H298="1+1", $C298 + CADASTROS!$C$4, IF($H298="1+2", $C298 + CADASTROS!$D$5, IF($H298="1+3", $C298 + CADASTROS!$D$6, "")))), "")</f>
        <v/>
      </c>
      <c r="N298" s="8" t="str">
        <f t="shared" si="18"/>
        <v/>
      </c>
      <c r="O298" s="3" t="str">
        <f>IF($P298&lt;&gt;"", IF($H298="A VISTA", "", IF($H298="1+1", $C298 + CADASTROS!$C$4, IF($H298="1+2", $C298 + CADASTROS!$C$5, IF($H298="1+3", $C298 + CADASTROS!$E$6, "")))), "")</f>
        <v/>
      </c>
      <c r="P298" s="8" t="str">
        <f t="shared" si="19"/>
        <v/>
      </c>
    </row>
    <row r="299" spans="1:16">
      <c r="A299" s="2" t="s">
        <v>434</v>
      </c>
      <c r="B299" s="6" t="s">
        <v>35</v>
      </c>
      <c r="C299" s="7">
        <v>45465</v>
      </c>
      <c r="D299" s="7" t="s">
        <v>84</v>
      </c>
      <c r="E299" s="4" t="s">
        <v>112</v>
      </c>
      <c r="F299" s="4" t="s">
        <v>122</v>
      </c>
      <c r="G299" s="8">
        <v>9709</v>
      </c>
      <c r="H299" s="8" t="s">
        <v>126</v>
      </c>
      <c r="I299" s="3">
        <f>IF($H299="A VISTA", C299 + CADASTROS!$B$3, IF($H299="1+1", C299 + CADASTROS!$B$4, IF(H299="1+2", C299 + CADASTROS!$B$5, IF(H299="1+3", C299 + CADASTROS!$B$6, ""))))</f>
        <v>45466</v>
      </c>
      <c r="J299" s="8">
        <f t="shared" si="16"/>
        <v>9709</v>
      </c>
      <c r="K299" s="3" t="str">
        <f>IF($L299&lt;&gt;"", IF($H299="A VISTA", "", IF($H299="1+1", $C299 + CADASTROS!$C$4, IF($H299="1+2", $C299 + CADASTROS!$C$5, IF($H299="1+3", $C299 + CADASTROS!$E$4, "")))), "")</f>
        <v/>
      </c>
      <c r="L299" s="8" t="str">
        <f t="shared" si="17"/>
        <v/>
      </c>
      <c r="M299" s="3" t="str">
        <f>IF($N299&lt;&gt;"", IF($H299="A VISTA", "", IF($H299="1+1", $C299 + CADASTROS!$C$4, IF($H299="1+2", $C299 + CADASTROS!$D$5, IF($H299="1+3", $C299 + CADASTROS!$D$6, "")))), "")</f>
        <v/>
      </c>
      <c r="N299" s="8" t="str">
        <f t="shared" si="18"/>
        <v/>
      </c>
      <c r="O299" s="3" t="str">
        <f>IF($P299&lt;&gt;"", IF($H299="A VISTA", "", IF($H299="1+1", $C299 + CADASTROS!$C$4, IF($H299="1+2", $C299 + CADASTROS!$C$5, IF($H299="1+3", $C299 + CADASTROS!$E$6, "")))), "")</f>
        <v/>
      </c>
      <c r="P299" s="8" t="str">
        <f t="shared" si="19"/>
        <v/>
      </c>
    </row>
    <row r="300" spans="1:16">
      <c r="A300" s="2" t="s">
        <v>435</v>
      </c>
      <c r="B300" s="6" t="s">
        <v>58</v>
      </c>
      <c r="C300" s="7">
        <v>45142</v>
      </c>
      <c r="D300" s="7" t="s">
        <v>107</v>
      </c>
      <c r="E300" s="4" t="s">
        <v>111</v>
      </c>
      <c r="F300" s="4" t="s">
        <v>120</v>
      </c>
      <c r="G300" s="8">
        <v>6635</v>
      </c>
      <c r="H300" s="8" t="s">
        <v>136</v>
      </c>
      <c r="I300" s="3">
        <f>IF($H300="A VISTA", C300 + CADASTROS!$B$3, IF($H300="1+1", C300 + CADASTROS!$B$4, IF(H300="1+2", C300 + CADASTROS!$B$5, IF(H300="1+3", C300 + CADASTROS!$B$6, ""))))</f>
        <v>45143</v>
      </c>
      <c r="J300" s="8">
        <f t="shared" si="16"/>
        <v>1658.75</v>
      </c>
      <c r="K300" s="3">
        <f>IF($L300&lt;&gt;"", IF($H300="A VISTA", "", IF($H300="1+1", $C300 + CADASTROS!$C$4, IF($H300="1+2", $C300 + CADASTROS!$C$5, IF($H300="1+3", $C300 + CADASTROS!$E$4, "")))), "")</f>
        <v>45142</v>
      </c>
      <c r="L300" s="8">
        <f t="shared" si="17"/>
        <v>1658.75</v>
      </c>
      <c r="M300" s="3">
        <f>IF($N300&lt;&gt;"", IF($H300="A VISTA", "", IF($H300="1+1", $C300 + CADASTROS!$C$4, IF($H300="1+2", $C300 + CADASTROS!$D$5, IF($H300="1+3", $C300 + CADASTROS!$D$6, "")))), "")</f>
        <v>45187</v>
      </c>
      <c r="N300" s="8">
        <f t="shared" si="18"/>
        <v>1658.75</v>
      </c>
      <c r="O300" s="3">
        <f>IF($P300&lt;&gt;"", IF($H300="A VISTA", "", IF($H300="1+1", $C300 + CADASTROS!$C$4, IF($H300="1+2", $C300 + CADASTROS!$C$5, IF($H300="1+3", $C300 + CADASTROS!$E$6, "")))), "")</f>
        <v>45202</v>
      </c>
      <c r="P300" s="8">
        <f t="shared" si="19"/>
        <v>1658.75</v>
      </c>
    </row>
    <row r="301" spans="1:16">
      <c r="A301" s="2" t="s">
        <v>436</v>
      </c>
      <c r="B301" s="6" t="s">
        <v>17</v>
      </c>
      <c r="C301" s="7">
        <v>45204</v>
      </c>
      <c r="D301" s="7" t="s">
        <v>66</v>
      </c>
      <c r="E301" s="4" t="s">
        <v>110</v>
      </c>
      <c r="F301" s="4" t="s">
        <v>114</v>
      </c>
      <c r="G301" s="8">
        <v>3765</v>
      </c>
      <c r="H301" s="8" t="s">
        <v>137</v>
      </c>
      <c r="I301" s="3">
        <f>IF($H301="A VISTA", C301 + CADASTROS!$B$3, IF($H301="1+1", C301 + CADASTROS!$B$4, IF(H301="1+2", C301 + CADASTROS!$B$5, IF(H301="1+3", C301 + CADASTROS!$B$6, ""))))</f>
        <v>45205</v>
      </c>
      <c r="J301" s="8">
        <f t="shared" si="16"/>
        <v>1255</v>
      </c>
      <c r="K301" s="3">
        <f>IF($L301&lt;&gt;"", IF($H301="A VISTA", "", IF($H301="1+1", $C301 + CADASTROS!$C$4, IF($H301="1+2", $C301 + CADASTROS!$C$5, IF($H301="1+3", $C301 + CADASTROS!$E$4, "")))), "")</f>
        <v>45234</v>
      </c>
      <c r="L301" s="8">
        <f t="shared" si="17"/>
        <v>1255</v>
      </c>
      <c r="M301" s="3">
        <f>IF($N301&lt;&gt;"", IF($H301="A VISTA", "", IF($H301="1+1", $C301 + CADASTROS!$C$4, IF($H301="1+2", $C301 + CADASTROS!$D$5, IF($H301="1+3", $C301 + CADASTROS!$D$6, "")))), "")</f>
        <v>45249</v>
      </c>
      <c r="N301" s="8">
        <f t="shared" si="18"/>
        <v>1255</v>
      </c>
      <c r="O301" s="3" t="str">
        <f>IF($P301&lt;&gt;"", IF($H301="A VISTA", "", IF($H301="1+1", $C301 + CADASTROS!$C$4, IF($H301="1+2", $C301 + CADASTROS!$C$5, IF($H301="1+3", $C301 + CADASTROS!$E$6, "")))), "")</f>
        <v/>
      </c>
      <c r="P301" s="8" t="str">
        <f t="shared" si="19"/>
        <v/>
      </c>
    </row>
    <row r="302" spans="1:16">
      <c r="A302" s="2" t="s">
        <v>437</v>
      </c>
      <c r="B302" s="6" t="s">
        <v>31</v>
      </c>
      <c r="C302" s="7">
        <v>45339</v>
      </c>
      <c r="D302" s="7" t="s">
        <v>80</v>
      </c>
      <c r="E302" s="4" t="s">
        <v>111</v>
      </c>
      <c r="F302" s="4" t="s">
        <v>117</v>
      </c>
      <c r="G302" s="8">
        <v>4503</v>
      </c>
      <c r="H302" s="8" t="s">
        <v>126</v>
      </c>
      <c r="I302" s="3">
        <f>IF($H302="A VISTA", C302 + CADASTROS!$B$3, IF($H302="1+1", C302 + CADASTROS!$B$4, IF(H302="1+2", C302 + CADASTROS!$B$5, IF(H302="1+3", C302 + CADASTROS!$B$6, ""))))</f>
        <v>45340</v>
      </c>
      <c r="J302" s="8">
        <f t="shared" si="16"/>
        <v>4503</v>
      </c>
      <c r="K302" s="3" t="str">
        <f>IF($L302&lt;&gt;"", IF($H302="A VISTA", "", IF($H302="1+1", $C302 + CADASTROS!$C$4, IF($H302="1+2", $C302 + CADASTROS!$C$5, IF($H302="1+3", $C302 + CADASTROS!$E$4, "")))), "")</f>
        <v/>
      </c>
      <c r="L302" s="8" t="str">
        <f t="shared" si="17"/>
        <v/>
      </c>
      <c r="M302" s="3" t="str">
        <f>IF($N302&lt;&gt;"", IF($H302="A VISTA", "", IF($H302="1+1", $C302 + CADASTROS!$C$4, IF($H302="1+2", $C302 + CADASTROS!$D$5, IF($H302="1+3", $C302 + CADASTROS!$D$6, "")))), "")</f>
        <v/>
      </c>
      <c r="N302" s="8" t="str">
        <f t="shared" si="18"/>
        <v/>
      </c>
      <c r="O302" s="3" t="str">
        <f>IF($P302&lt;&gt;"", IF($H302="A VISTA", "", IF($H302="1+1", $C302 + CADASTROS!$C$4, IF($H302="1+2", $C302 + CADASTROS!$C$5, IF($H302="1+3", $C302 + CADASTROS!$E$6, "")))), "")</f>
        <v/>
      </c>
      <c r="P302" s="8" t="str">
        <f t="shared" si="19"/>
        <v/>
      </c>
    </row>
    <row r="303" spans="1:16">
      <c r="A303" s="2" t="s">
        <v>438</v>
      </c>
      <c r="B303" s="6" t="s">
        <v>55</v>
      </c>
      <c r="C303" s="7">
        <v>45448</v>
      </c>
      <c r="D303" s="7" t="s">
        <v>104</v>
      </c>
      <c r="E303" s="4" t="s">
        <v>111</v>
      </c>
      <c r="F303" s="4" t="s">
        <v>119</v>
      </c>
      <c r="G303" s="8">
        <v>9392</v>
      </c>
      <c r="H303" s="8" t="s">
        <v>138</v>
      </c>
      <c r="I303" s="3">
        <f>IF($H303="A VISTA", C303 + CADASTROS!$B$3, IF($H303="1+1", C303 + CADASTROS!$B$4, IF(H303="1+2", C303 + CADASTROS!$B$5, IF(H303="1+3", C303 + CADASTROS!$B$6, ""))))</f>
        <v>45449</v>
      </c>
      <c r="J303" s="8">
        <f t="shared" si="16"/>
        <v>4696</v>
      </c>
      <c r="K303" s="3">
        <f>IF($L303&lt;&gt;"", IF($H303="A VISTA", "", IF($H303="1+1", $C303 + CADASTROS!$C$4, IF($H303="1+2", $C303 + CADASTROS!$C$5, IF($H303="1+3", $C303 + CADASTROS!$E$4, "")))), "")</f>
        <v>45478</v>
      </c>
      <c r="L303" s="8">
        <f t="shared" si="17"/>
        <v>4696</v>
      </c>
      <c r="M303" s="3" t="str">
        <f>IF($N303&lt;&gt;"", IF($H303="A VISTA", "", IF($H303="1+1", $C303 + CADASTROS!$C$4, IF($H303="1+2", $C303 + CADASTROS!$D$5, IF($H303="1+3", $C303 + CADASTROS!$D$6, "")))), "")</f>
        <v/>
      </c>
      <c r="N303" s="8" t="str">
        <f t="shared" si="18"/>
        <v/>
      </c>
      <c r="O303" s="3" t="str">
        <f>IF($P303&lt;&gt;"", IF($H303="A VISTA", "", IF($H303="1+1", $C303 + CADASTROS!$C$4, IF($H303="1+2", $C303 + CADASTROS!$C$5, IF($H303="1+3", $C303 + CADASTROS!$E$6, "")))), "")</f>
        <v/>
      </c>
      <c r="P303" s="8" t="str">
        <f t="shared" si="19"/>
        <v/>
      </c>
    </row>
    <row r="304" spans="1:16">
      <c r="A304" s="2" t="s">
        <v>439</v>
      </c>
      <c r="B304" s="6" t="s">
        <v>53</v>
      </c>
      <c r="C304" s="7">
        <v>45425</v>
      </c>
      <c r="D304" s="7" t="s">
        <v>102</v>
      </c>
      <c r="E304" s="4" t="s">
        <v>111</v>
      </c>
      <c r="F304" s="4" t="s">
        <v>117</v>
      </c>
      <c r="G304" s="8">
        <v>9896</v>
      </c>
      <c r="H304" s="8" t="s">
        <v>126</v>
      </c>
      <c r="I304" s="3">
        <f>IF($H304="A VISTA", C304 + CADASTROS!$B$3, IF($H304="1+1", C304 + CADASTROS!$B$4, IF(H304="1+2", C304 + CADASTROS!$B$5, IF(H304="1+3", C304 + CADASTROS!$B$6, ""))))</f>
        <v>45426</v>
      </c>
      <c r="J304" s="8">
        <f t="shared" si="16"/>
        <v>9896</v>
      </c>
      <c r="K304" s="3" t="str">
        <f>IF($L304&lt;&gt;"", IF($H304="A VISTA", "", IF($H304="1+1", $C304 + CADASTROS!$C$4, IF($H304="1+2", $C304 + CADASTROS!$C$5, IF($H304="1+3", $C304 + CADASTROS!$E$4, "")))), "")</f>
        <v/>
      </c>
      <c r="L304" s="8" t="str">
        <f t="shared" si="17"/>
        <v/>
      </c>
      <c r="M304" s="3" t="str">
        <f>IF($N304&lt;&gt;"", IF($H304="A VISTA", "", IF($H304="1+1", $C304 + CADASTROS!$C$4, IF($H304="1+2", $C304 + CADASTROS!$D$5, IF($H304="1+3", $C304 + CADASTROS!$D$6, "")))), "")</f>
        <v/>
      </c>
      <c r="N304" s="8" t="str">
        <f t="shared" si="18"/>
        <v/>
      </c>
      <c r="O304" s="3" t="str">
        <f>IF($P304&lt;&gt;"", IF($H304="A VISTA", "", IF($H304="1+1", $C304 + CADASTROS!$C$4, IF($H304="1+2", $C304 + CADASTROS!$C$5, IF($H304="1+3", $C304 + CADASTROS!$E$6, "")))), "")</f>
        <v/>
      </c>
      <c r="P304" s="8" t="str">
        <f t="shared" si="19"/>
        <v/>
      </c>
    </row>
    <row r="305" spans="1:16">
      <c r="A305" s="2" t="s">
        <v>440</v>
      </c>
      <c r="B305" s="6" t="s">
        <v>60</v>
      </c>
      <c r="C305" s="7">
        <v>45394</v>
      </c>
      <c r="D305" s="7" t="s">
        <v>109</v>
      </c>
      <c r="E305" s="4" t="s">
        <v>111</v>
      </c>
      <c r="F305" s="4" t="s">
        <v>118</v>
      </c>
      <c r="G305" s="8">
        <v>1414</v>
      </c>
      <c r="H305" s="8" t="s">
        <v>126</v>
      </c>
      <c r="I305" s="3">
        <f>IF($H305="A VISTA", C305 + CADASTROS!$B$3, IF($H305="1+1", C305 + CADASTROS!$B$4, IF(H305="1+2", C305 + CADASTROS!$B$5, IF(H305="1+3", C305 + CADASTROS!$B$6, ""))))</f>
        <v>45395</v>
      </c>
      <c r="J305" s="8">
        <f t="shared" si="16"/>
        <v>1414</v>
      </c>
      <c r="K305" s="3" t="str">
        <f>IF($L305&lt;&gt;"", IF($H305="A VISTA", "", IF($H305="1+1", $C305 + CADASTROS!$C$4, IF($H305="1+2", $C305 + CADASTROS!$C$5, IF($H305="1+3", $C305 + CADASTROS!$E$4, "")))), "")</f>
        <v/>
      </c>
      <c r="L305" s="8" t="str">
        <f t="shared" si="17"/>
        <v/>
      </c>
      <c r="M305" s="3" t="str">
        <f>IF($N305&lt;&gt;"", IF($H305="A VISTA", "", IF($H305="1+1", $C305 + CADASTROS!$C$4, IF($H305="1+2", $C305 + CADASTROS!$D$5, IF($H305="1+3", $C305 + CADASTROS!$D$6, "")))), "")</f>
        <v/>
      </c>
      <c r="N305" s="8" t="str">
        <f t="shared" si="18"/>
        <v/>
      </c>
      <c r="O305" s="3" t="str">
        <f>IF($P305&lt;&gt;"", IF($H305="A VISTA", "", IF($H305="1+1", $C305 + CADASTROS!$C$4, IF($H305="1+2", $C305 + CADASTROS!$C$5, IF($H305="1+3", $C305 + CADASTROS!$E$6, "")))), "")</f>
        <v/>
      </c>
      <c r="P305" s="8" t="str">
        <f t="shared" si="19"/>
        <v/>
      </c>
    </row>
    <row r="306" spans="1:16">
      <c r="A306" s="2" t="s">
        <v>441</v>
      </c>
      <c r="B306" s="6" t="s">
        <v>40</v>
      </c>
      <c r="C306" s="7">
        <v>45427</v>
      </c>
      <c r="D306" s="7" t="s">
        <v>89</v>
      </c>
      <c r="E306" s="4" t="s">
        <v>111</v>
      </c>
      <c r="F306" s="4" t="s">
        <v>121</v>
      </c>
      <c r="G306" s="8">
        <v>588</v>
      </c>
      <c r="H306" s="8" t="s">
        <v>138</v>
      </c>
      <c r="I306" s="3">
        <f>IF($H306="A VISTA", C306 + CADASTROS!$B$3, IF($H306="1+1", C306 + CADASTROS!$B$4, IF(H306="1+2", C306 + CADASTROS!$B$5, IF(H306="1+3", C306 + CADASTROS!$B$6, ""))))</f>
        <v>45428</v>
      </c>
      <c r="J306" s="8">
        <f t="shared" si="16"/>
        <v>294</v>
      </c>
      <c r="K306" s="3">
        <f>IF($L306&lt;&gt;"", IF($H306="A VISTA", "", IF($H306="1+1", $C306 + CADASTROS!$C$4, IF($H306="1+2", $C306 + CADASTROS!$C$5, IF($H306="1+3", $C306 + CADASTROS!$E$4, "")))), "")</f>
        <v>45457</v>
      </c>
      <c r="L306" s="8">
        <f t="shared" si="17"/>
        <v>294</v>
      </c>
      <c r="M306" s="3" t="str">
        <f>IF($N306&lt;&gt;"", IF($H306="A VISTA", "", IF($H306="1+1", $C306 + CADASTROS!$C$4, IF($H306="1+2", $C306 + CADASTROS!$D$5, IF($H306="1+3", $C306 + CADASTROS!$D$6, "")))), "")</f>
        <v/>
      </c>
      <c r="N306" s="8" t="str">
        <f t="shared" si="18"/>
        <v/>
      </c>
      <c r="O306" s="3" t="str">
        <f>IF($P306&lt;&gt;"", IF($H306="A VISTA", "", IF($H306="1+1", $C306 + CADASTROS!$C$4, IF($H306="1+2", $C306 + CADASTROS!$C$5, IF($H306="1+3", $C306 + CADASTROS!$E$6, "")))), "")</f>
        <v/>
      </c>
      <c r="P306" s="8" t="str">
        <f t="shared" si="19"/>
        <v/>
      </c>
    </row>
    <row r="307" spans="1:16">
      <c r="A307" s="2" t="s">
        <v>442</v>
      </c>
      <c r="B307" s="6" t="s">
        <v>17</v>
      </c>
      <c r="C307" s="7">
        <v>45370</v>
      </c>
      <c r="D307" s="7" t="s">
        <v>66</v>
      </c>
      <c r="E307" s="4" t="s">
        <v>110</v>
      </c>
      <c r="F307" s="4" t="s">
        <v>114</v>
      </c>
      <c r="G307" s="8">
        <v>1196</v>
      </c>
      <c r="H307" s="8" t="s">
        <v>138</v>
      </c>
      <c r="I307" s="3">
        <f>IF($H307="A VISTA", C307 + CADASTROS!$B$3, IF($H307="1+1", C307 + CADASTROS!$B$4, IF(H307="1+2", C307 + CADASTROS!$B$5, IF(H307="1+3", C307 + CADASTROS!$B$6, ""))))</f>
        <v>45371</v>
      </c>
      <c r="J307" s="8">
        <f t="shared" si="16"/>
        <v>598</v>
      </c>
      <c r="K307" s="3">
        <f>IF($L307&lt;&gt;"", IF($H307="A VISTA", "", IF($H307="1+1", $C307 + CADASTROS!$C$4, IF($H307="1+2", $C307 + CADASTROS!$C$5, IF($H307="1+3", $C307 + CADASTROS!$E$4, "")))), "")</f>
        <v>45400</v>
      </c>
      <c r="L307" s="8">
        <f t="shared" si="17"/>
        <v>598</v>
      </c>
      <c r="M307" s="3" t="str">
        <f>IF($N307&lt;&gt;"", IF($H307="A VISTA", "", IF($H307="1+1", $C307 + CADASTROS!$C$4, IF($H307="1+2", $C307 + CADASTROS!$D$5, IF($H307="1+3", $C307 + CADASTROS!$D$6, "")))), "")</f>
        <v/>
      </c>
      <c r="N307" s="8" t="str">
        <f t="shared" si="18"/>
        <v/>
      </c>
      <c r="O307" s="3" t="str">
        <f>IF($P307&lt;&gt;"", IF($H307="A VISTA", "", IF($H307="1+1", $C307 + CADASTROS!$C$4, IF($H307="1+2", $C307 + CADASTROS!$C$5, IF($H307="1+3", $C307 + CADASTROS!$E$6, "")))), "")</f>
        <v/>
      </c>
      <c r="P307" s="8" t="str">
        <f t="shared" si="19"/>
        <v/>
      </c>
    </row>
    <row r="308" spans="1:16">
      <c r="A308" s="2" t="s">
        <v>443</v>
      </c>
      <c r="B308" s="6" t="s">
        <v>20</v>
      </c>
      <c r="C308" s="7">
        <v>45041</v>
      </c>
      <c r="D308" s="7" t="s">
        <v>69</v>
      </c>
      <c r="E308" s="4" t="s">
        <v>111</v>
      </c>
      <c r="F308" s="4" t="s">
        <v>117</v>
      </c>
      <c r="G308" s="8">
        <v>3763</v>
      </c>
      <c r="H308" s="8" t="s">
        <v>138</v>
      </c>
      <c r="I308" s="3">
        <f>IF($H308="A VISTA", C308 + CADASTROS!$B$3, IF($H308="1+1", C308 + CADASTROS!$B$4, IF(H308="1+2", C308 + CADASTROS!$B$5, IF(H308="1+3", C308 + CADASTROS!$B$6, ""))))</f>
        <v>45042</v>
      </c>
      <c r="J308" s="8">
        <f t="shared" si="16"/>
        <v>1881.5</v>
      </c>
      <c r="K308" s="3">
        <f>IF($L308&lt;&gt;"", IF($H308="A VISTA", "", IF($H308="1+1", $C308 + CADASTROS!$C$4, IF($H308="1+2", $C308 + CADASTROS!$C$5, IF($H308="1+3", $C308 + CADASTROS!$E$4, "")))), "")</f>
        <v>45071</v>
      </c>
      <c r="L308" s="8">
        <f t="shared" si="17"/>
        <v>1881.5</v>
      </c>
      <c r="M308" s="3" t="str">
        <f>IF($N308&lt;&gt;"", IF($H308="A VISTA", "", IF($H308="1+1", $C308 + CADASTROS!$C$4, IF($H308="1+2", $C308 + CADASTROS!$D$5, IF($H308="1+3", $C308 + CADASTROS!$D$6, "")))), "")</f>
        <v/>
      </c>
      <c r="N308" s="8" t="str">
        <f t="shared" si="18"/>
        <v/>
      </c>
      <c r="O308" s="3" t="str">
        <f>IF($P308&lt;&gt;"", IF($H308="A VISTA", "", IF($H308="1+1", $C308 + CADASTROS!$C$4, IF($H308="1+2", $C308 + CADASTROS!$C$5, IF($H308="1+3", $C308 + CADASTROS!$E$6, "")))), "")</f>
        <v/>
      </c>
      <c r="P308" s="8" t="str">
        <f t="shared" si="19"/>
        <v/>
      </c>
    </row>
    <row r="309" spans="1:16">
      <c r="A309" s="2" t="s">
        <v>444</v>
      </c>
      <c r="B309" s="6" t="s">
        <v>23</v>
      </c>
      <c r="C309" s="7">
        <v>45218</v>
      </c>
      <c r="D309" s="7" t="s">
        <v>72</v>
      </c>
      <c r="E309" s="4" t="s">
        <v>110</v>
      </c>
      <c r="F309" s="4" t="s">
        <v>113</v>
      </c>
      <c r="G309" s="8">
        <v>3158</v>
      </c>
      <c r="H309" s="8" t="s">
        <v>136</v>
      </c>
      <c r="I309" s="3">
        <f>IF($H309="A VISTA", C309 + CADASTROS!$B$3, IF($H309="1+1", C309 + CADASTROS!$B$4, IF(H309="1+2", C309 + CADASTROS!$B$5, IF(H309="1+3", C309 + CADASTROS!$B$6, ""))))</f>
        <v>45219</v>
      </c>
      <c r="J309" s="8">
        <f t="shared" si="16"/>
        <v>789.5</v>
      </c>
      <c r="K309" s="3">
        <f>IF($L309&lt;&gt;"", IF($H309="A VISTA", "", IF($H309="1+1", $C309 + CADASTROS!$C$4, IF($H309="1+2", $C309 + CADASTROS!$C$5, IF($H309="1+3", $C309 + CADASTROS!$E$4, "")))), "")</f>
        <v>45218</v>
      </c>
      <c r="L309" s="8">
        <f t="shared" si="17"/>
        <v>789.5</v>
      </c>
      <c r="M309" s="3">
        <f>IF($N309&lt;&gt;"", IF($H309="A VISTA", "", IF($H309="1+1", $C309 + CADASTROS!$C$4, IF($H309="1+2", $C309 + CADASTROS!$D$5, IF($H309="1+3", $C309 + CADASTROS!$D$6, "")))), "")</f>
        <v>45263</v>
      </c>
      <c r="N309" s="8">
        <f t="shared" si="18"/>
        <v>789.5</v>
      </c>
      <c r="O309" s="3">
        <f>IF($P309&lt;&gt;"", IF($H309="A VISTA", "", IF($H309="1+1", $C309 + CADASTROS!$C$4, IF($H309="1+2", $C309 + CADASTROS!$C$5, IF($H309="1+3", $C309 + CADASTROS!$E$6, "")))), "")</f>
        <v>45278</v>
      </c>
      <c r="P309" s="8">
        <f t="shared" si="19"/>
        <v>789.5</v>
      </c>
    </row>
    <row r="310" spans="1:16">
      <c r="A310" s="2" t="s">
        <v>445</v>
      </c>
      <c r="B310" s="6" t="s">
        <v>45</v>
      </c>
      <c r="C310" s="7">
        <v>45333</v>
      </c>
      <c r="D310" s="7" t="s">
        <v>94</v>
      </c>
      <c r="E310" s="4" t="s">
        <v>110</v>
      </c>
      <c r="F310" s="4" t="s">
        <v>113</v>
      </c>
      <c r="G310" s="8">
        <v>805</v>
      </c>
      <c r="H310" s="8" t="s">
        <v>137</v>
      </c>
      <c r="I310" s="3">
        <f>IF($H310="A VISTA", C310 + CADASTROS!$B$3, IF($H310="1+1", C310 + CADASTROS!$B$4, IF(H310="1+2", C310 + CADASTROS!$B$5, IF(H310="1+3", C310 + CADASTROS!$B$6, ""))))</f>
        <v>45334</v>
      </c>
      <c r="J310" s="8">
        <f t="shared" si="16"/>
        <v>268.33333333333331</v>
      </c>
      <c r="K310" s="3">
        <f>IF($L310&lt;&gt;"", IF($H310="A VISTA", "", IF($H310="1+1", $C310 + CADASTROS!$C$4, IF($H310="1+2", $C310 + CADASTROS!$C$5, IF($H310="1+3", $C310 + CADASTROS!$E$4, "")))), "")</f>
        <v>45363</v>
      </c>
      <c r="L310" s="8">
        <f t="shared" si="17"/>
        <v>268.33333333333331</v>
      </c>
      <c r="M310" s="3">
        <f>IF($N310&lt;&gt;"", IF($H310="A VISTA", "", IF($H310="1+1", $C310 + CADASTROS!$C$4, IF($H310="1+2", $C310 + CADASTROS!$D$5, IF($H310="1+3", $C310 + CADASTROS!$D$6, "")))), "")</f>
        <v>45378</v>
      </c>
      <c r="N310" s="8">
        <f t="shared" si="18"/>
        <v>268.33333333333343</v>
      </c>
      <c r="O310" s="3" t="str">
        <f>IF($P310&lt;&gt;"", IF($H310="A VISTA", "", IF($H310="1+1", $C310 + CADASTROS!$C$4, IF($H310="1+2", $C310 + CADASTROS!$C$5, IF($H310="1+3", $C310 + CADASTROS!$E$6, "")))), "")</f>
        <v/>
      </c>
      <c r="P310" s="8" t="str">
        <f t="shared" si="19"/>
        <v/>
      </c>
    </row>
    <row r="311" spans="1:16">
      <c r="A311" s="2" t="s">
        <v>446</v>
      </c>
      <c r="B311" s="6" t="s">
        <v>19</v>
      </c>
      <c r="C311" s="7">
        <v>45444</v>
      </c>
      <c r="D311" s="7" t="s">
        <v>68</v>
      </c>
      <c r="E311" s="4" t="s">
        <v>111</v>
      </c>
      <c r="F311" s="4" t="s">
        <v>118</v>
      </c>
      <c r="G311" s="8">
        <v>6988</v>
      </c>
      <c r="H311" s="8" t="s">
        <v>138</v>
      </c>
      <c r="I311" s="3">
        <f>IF($H311="A VISTA", C311 + CADASTROS!$B$3, IF($H311="1+1", C311 + CADASTROS!$B$4, IF(H311="1+2", C311 + CADASTROS!$B$5, IF(H311="1+3", C311 + CADASTROS!$B$6, ""))))</f>
        <v>45445</v>
      </c>
      <c r="J311" s="8">
        <f t="shared" si="16"/>
        <v>3494</v>
      </c>
      <c r="K311" s="3">
        <f>IF($L311&lt;&gt;"", IF($H311="A VISTA", "", IF($H311="1+1", $C311 + CADASTROS!$C$4, IF($H311="1+2", $C311 + CADASTROS!$C$5, IF($H311="1+3", $C311 + CADASTROS!$E$4, "")))), "")</f>
        <v>45474</v>
      </c>
      <c r="L311" s="8">
        <f t="shared" si="17"/>
        <v>3494</v>
      </c>
      <c r="M311" s="3" t="str">
        <f>IF($N311&lt;&gt;"", IF($H311="A VISTA", "", IF($H311="1+1", $C311 + CADASTROS!$C$4, IF($H311="1+2", $C311 + CADASTROS!$D$5, IF($H311="1+3", $C311 + CADASTROS!$D$6, "")))), "")</f>
        <v/>
      </c>
      <c r="N311" s="8" t="str">
        <f t="shared" si="18"/>
        <v/>
      </c>
      <c r="O311" s="3" t="str">
        <f>IF($P311&lt;&gt;"", IF($H311="A VISTA", "", IF($H311="1+1", $C311 + CADASTROS!$C$4, IF($H311="1+2", $C311 + CADASTROS!$C$5, IF($H311="1+3", $C311 + CADASTROS!$E$6, "")))), "")</f>
        <v/>
      </c>
      <c r="P311" s="8" t="str">
        <f t="shared" si="19"/>
        <v/>
      </c>
    </row>
    <row r="312" spans="1:16">
      <c r="A312" s="2" t="s">
        <v>447</v>
      </c>
      <c r="B312" s="6" t="s">
        <v>59</v>
      </c>
      <c r="C312" s="7">
        <v>45188</v>
      </c>
      <c r="D312" s="7" t="s">
        <v>108</v>
      </c>
      <c r="E312" s="4" t="s">
        <v>111</v>
      </c>
      <c r="F312" s="4" t="s">
        <v>121</v>
      </c>
      <c r="G312" s="8">
        <v>826</v>
      </c>
      <c r="H312" s="8" t="s">
        <v>137</v>
      </c>
      <c r="I312" s="3">
        <f>IF($H312="A VISTA", C312 + CADASTROS!$B$3, IF($H312="1+1", C312 + CADASTROS!$B$4, IF(H312="1+2", C312 + CADASTROS!$B$5, IF(H312="1+3", C312 + CADASTROS!$B$6, ""))))</f>
        <v>45189</v>
      </c>
      <c r="J312" s="8">
        <f t="shared" si="16"/>
        <v>275.33333333333331</v>
      </c>
      <c r="K312" s="3">
        <f>IF($L312&lt;&gt;"", IF($H312="A VISTA", "", IF($H312="1+1", $C312 + CADASTROS!$C$4, IF($H312="1+2", $C312 + CADASTROS!$C$5, IF($H312="1+3", $C312 + CADASTROS!$E$4, "")))), "")</f>
        <v>45218</v>
      </c>
      <c r="L312" s="8">
        <f t="shared" si="17"/>
        <v>275.33333333333331</v>
      </c>
      <c r="M312" s="3">
        <f>IF($N312&lt;&gt;"", IF($H312="A VISTA", "", IF($H312="1+1", $C312 + CADASTROS!$C$4, IF($H312="1+2", $C312 + CADASTROS!$D$5, IF($H312="1+3", $C312 + CADASTROS!$D$6, "")))), "")</f>
        <v>45233</v>
      </c>
      <c r="N312" s="8">
        <f t="shared" si="18"/>
        <v>275.33333333333343</v>
      </c>
      <c r="O312" s="3" t="str">
        <f>IF($P312&lt;&gt;"", IF($H312="A VISTA", "", IF($H312="1+1", $C312 + CADASTROS!$C$4, IF($H312="1+2", $C312 + CADASTROS!$C$5, IF($H312="1+3", $C312 + CADASTROS!$E$6, "")))), "")</f>
        <v/>
      </c>
      <c r="P312" s="8" t="str">
        <f t="shared" si="19"/>
        <v/>
      </c>
    </row>
    <row r="313" spans="1:16">
      <c r="A313" s="2" t="s">
        <v>448</v>
      </c>
      <c r="B313" s="6" t="s">
        <v>23</v>
      </c>
      <c r="C313" s="7">
        <v>45410</v>
      </c>
      <c r="D313" s="7" t="s">
        <v>72</v>
      </c>
      <c r="E313" s="4" t="s">
        <v>110</v>
      </c>
      <c r="F313" s="4" t="s">
        <v>113</v>
      </c>
      <c r="G313" s="8">
        <v>9423</v>
      </c>
      <c r="H313" s="8" t="s">
        <v>138</v>
      </c>
      <c r="I313" s="3">
        <f>IF($H313="A VISTA", C313 + CADASTROS!$B$3, IF($H313="1+1", C313 + CADASTROS!$B$4, IF(H313="1+2", C313 + CADASTROS!$B$5, IF(H313="1+3", C313 + CADASTROS!$B$6, ""))))</f>
        <v>45411</v>
      </c>
      <c r="J313" s="8">
        <f t="shared" si="16"/>
        <v>4711.5</v>
      </c>
      <c r="K313" s="3">
        <f>IF($L313&lt;&gt;"", IF($H313="A VISTA", "", IF($H313="1+1", $C313 + CADASTROS!$C$4, IF($H313="1+2", $C313 + CADASTROS!$C$5, IF($H313="1+3", $C313 + CADASTROS!$E$4, "")))), "")</f>
        <v>45440</v>
      </c>
      <c r="L313" s="8">
        <f t="shared" si="17"/>
        <v>4711.5</v>
      </c>
      <c r="M313" s="3" t="str">
        <f>IF($N313&lt;&gt;"", IF($H313="A VISTA", "", IF($H313="1+1", $C313 + CADASTROS!$C$4, IF($H313="1+2", $C313 + CADASTROS!$D$5, IF($H313="1+3", $C313 + CADASTROS!$D$6, "")))), "")</f>
        <v/>
      </c>
      <c r="N313" s="8" t="str">
        <f t="shared" si="18"/>
        <v/>
      </c>
      <c r="O313" s="3" t="str">
        <f>IF($P313&lt;&gt;"", IF($H313="A VISTA", "", IF($H313="1+1", $C313 + CADASTROS!$C$4, IF($H313="1+2", $C313 + CADASTROS!$C$5, IF($H313="1+3", $C313 + CADASTROS!$E$6, "")))), "")</f>
        <v/>
      </c>
      <c r="P313" s="8" t="str">
        <f t="shared" si="19"/>
        <v/>
      </c>
    </row>
    <row r="314" spans="1:16">
      <c r="A314" s="2" t="s">
        <v>449</v>
      </c>
      <c r="B314" s="6" t="s">
        <v>27</v>
      </c>
      <c r="C314" s="7">
        <v>45543</v>
      </c>
      <c r="D314" s="7" t="s">
        <v>76</v>
      </c>
      <c r="E314" s="4" t="s">
        <v>110</v>
      </c>
      <c r="F314" s="4" t="s">
        <v>125</v>
      </c>
      <c r="G314" s="8">
        <v>568</v>
      </c>
      <c r="H314" s="8" t="s">
        <v>137</v>
      </c>
      <c r="I314" s="3">
        <f>IF($H314="A VISTA", C314 + CADASTROS!$B$3, IF($H314="1+1", C314 + CADASTROS!$B$4, IF(H314="1+2", C314 + CADASTROS!$B$5, IF(H314="1+3", C314 + CADASTROS!$B$6, ""))))</f>
        <v>45544</v>
      </c>
      <c r="J314" s="8">
        <f t="shared" si="16"/>
        <v>189.33333333333334</v>
      </c>
      <c r="K314" s="3">
        <f>IF($L314&lt;&gt;"", IF($H314="A VISTA", "", IF($H314="1+1", $C314 + CADASTROS!$C$4, IF($H314="1+2", $C314 + CADASTROS!$C$5, IF($H314="1+3", $C314 + CADASTROS!$E$4, "")))), "")</f>
        <v>45573</v>
      </c>
      <c r="L314" s="8">
        <f t="shared" si="17"/>
        <v>189.33333333333334</v>
      </c>
      <c r="M314" s="3">
        <f>IF($N314&lt;&gt;"", IF($H314="A VISTA", "", IF($H314="1+1", $C314 + CADASTROS!$C$4, IF($H314="1+2", $C314 + CADASTROS!$D$5, IF($H314="1+3", $C314 + CADASTROS!$D$6, "")))), "")</f>
        <v>45588</v>
      </c>
      <c r="N314" s="8">
        <f t="shared" si="18"/>
        <v>189.33333333333329</v>
      </c>
      <c r="O314" s="3" t="str">
        <f>IF($P314&lt;&gt;"", IF($H314="A VISTA", "", IF($H314="1+1", $C314 + CADASTROS!$C$4, IF($H314="1+2", $C314 + CADASTROS!$C$5, IF($H314="1+3", $C314 + CADASTROS!$E$6, "")))), "")</f>
        <v/>
      </c>
      <c r="P314" s="8" t="str">
        <f t="shared" si="19"/>
        <v/>
      </c>
    </row>
    <row r="315" spans="1:16">
      <c r="A315" s="2" t="s">
        <v>450</v>
      </c>
      <c r="B315" s="6" t="s">
        <v>15</v>
      </c>
      <c r="C315" s="7">
        <v>45329</v>
      </c>
      <c r="D315" s="7" t="s">
        <v>64</v>
      </c>
      <c r="E315" s="4" t="s">
        <v>112</v>
      </c>
      <c r="F315" s="4" t="s">
        <v>123</v>
      </c>
      <c r="G315" s="8">
        <v>684</v>
      </c>
      <c r="H315" s="8" t="s">
        <v>126</v>
      </c>
      <c r="I315" s="3">
        <f>IF($H315="A VISTA", C315 + CADASTROS!$B$3, IF($H315="1+1", C315 + CADASTROS!$B$4, IF(H315="1+2", C315 + CADASTROS!$B$5, IF(H315="1+3", C315 + CADASTROS!$B$6, ""))))</f>
        <v>45330</v>
      </c>
      <c r="J315" s="8">
        <f t="shared" si="16"/>
        <v>684</v>
      </c>
      <c r="K315" s="3" t="str">
        <f>IF($L315&lt;&gt;"", IF($H315="A VISTA", "", IF($H315="1+1", $C315 + CADASTROS!$C$4, IF($H315="1+2", $C315 + CADASTROS!$C$5, IF($H315="1+3", $C315 + CADASTROS!$E$4, "")))), "")</f>
        <v/>
      </c>
      <c r="L315" s="8" t="str">
        <f t="shared" si="17"/>
        <v/>
      </c>
      <c r="M315" s="3" t="str">
        <f>IF($N315&lt;&gt;"", IF($H315="A VISTA", "", IF($H315="1+1", $C315 + CADASTROS!$C$4, IF($H315="1+2", $C315 + CADASTROS!$D$5, IF($H315="1+3", $C315 + CADASTROS!$D$6, "")))), "")</f>
        <v/>
      </c>
      <c r="N315" s="8" t="str">
        <f t="shared" si="18"/>
        <v/>
      </c>
      <c r="O315" s="3" t="str">
        <f>IF($P315&lt;&gt;"", IF($H315="A VISTA", "", IF($H315="1+1", $C315 + CADASTROS!$C$4, IF($H315="1+2", $C315 + CADASTROS!$C$5, IF($H315="1+3", $C315 + CADASTROS!$E$6, "")))), "")</f>
        <v/>
      </c>
      <c r="P315" s="8" t="str">
        <f t="shared" si="19"/>
        <v/>
      </c>
    </row>
    <row r="316" spans="1:16">
      <c r="A316" s="2" t="s">
        <v>451</v>
      </c>
      <c r="B316" s="6" t="s">
        <v>39</v>
      </c>
      <c r="C316" s="7">
        <v>45504</v>
      </c>
      <c r="D316" s="7" t="s">
        <v>88</v>
      </c>
      <c r="E316" s="4" t="s">
        <v>110</v>
      </c>
      <c r="F316" s="4" t="s">
        <v>114</v>
      </c>
      <c r="G316" s="8">
        <v>7836</v>
      </c>
      <c r="H316" s="8" t="s">
        <v>126</v>
      </c>
      <c r="I316" s="3">
        <f>IF($H316="A VISTA", C316 + CADASTROS!$B$3, IF($H316="1+1", C316 + CADASTROS!$B$4, IF(H316="1+2", C316 + CADASTROS!$B$5, IF(H316="1+3", C316 + CADASTROS!$B$6, ""))))</f>
        <v>45505</v>
      </c>
      <c r="J316" s="8">
        <f t="shared" si="16"/>
        <v>7836</v>
      </c>
      <c r="K316" s="3" t="str">
        <f>IF($L316&lt;&gt;"", IF($H316="A VISTA", "", IF($H316="1+1", $C316 + CADASTROS!$C$4, IF($H316="1+2", $C316 + CADASTROS!$C$5, IF($H316="1+3", $C316 + CADASTROS!$E$4, "")))), "")</f>
        <v/>
      </c>
      <c r="L316" s="8" t="str">
        <f t="shared" si="17"/>
        <v/>
      </c>
      <c r="M316" s="3" t="str">
        <f>IF($N316&lt;&gt;"", IF($H316="A VISTA", "", IF($H316="1+1", $C316 + CADASTROS!$C$4, IF($H316="1+2", $C316 + CADASTROS!$D$5, IF($H316="1+3", $C316 + CADASTROS!$D$6, "")))), "")</f>
        <v/>
      </c>
      <c r="N316" s="8" t="str">
        <f t="shared" si="18"/>
        <v/>
      </c>
      <c r="O316" s="3" t="str">
        <f>IF($P316&lt;&gt;"", IF($H316="A VISTA", "", IF($H316="1+1", $C316 + CADASTROS!$C$4, IF($H316="1+2", $C316 + CADASTROS!$C$5, IF($H316="1+3", $C316 + CADASTROS!$E$6, "")))), "")</f>
        <v/>
      </c>
      <c r="P316" s="8" t="str">
        <f t="shared" si="19"/>
        <v/>
      </c>
    </row>
    <row r="317" spans="1:16">
      <c r="A317" s="2" t="s">
        <v>452</v>
      </c>
      <c r="B317" s="6" t="s">
        <v>16</v>
      </c>
      <c r="C317" s="7">
        <v>45460</v>
      </c>
      <c r="D317" s="7" t="s">
        <v>65</v>
      </c>
      <c r="E317" s="4" t="s">
        <v>110</v>
      </c>
      <c r="F317" s="4" t="s">
        <v>125</v>
      </c>
      <c r="G317" s="8">
        <v>2027</v>
      </c>
      <c r="H317" s="8" t="s">
        <v>126</v>
      </c>
      <c r="I317" s="3">
        <f>IF($H317="A VISTA", C317 + CADASTROS!$B$3, IF($H317="1+1", C317 + CADASTROS!$B$4, IF(H317="1+2", C317 + CADASTROS!$B$5, IF(H317="1+3", C317 + CADASTROS!$B$6, ""))))</f>
        <v>45461</v>
      </c>
      <c r="J317" s="8">
        <f t="shared" si="16"/>
        <v>2027</v>
      </c>
      <c r="K317" s="3" t="str">
        <f>IF($L317&lt;&gt;"", IF($H317="A VISTA", "", IF($H317="1+1", $C317 + CADASTROS!$C$4, IF($H317="1+2", $C317 + CADASTROS!$C$5, IF($H317="1+3", $C317 + CADASTROS!$E$4, "")))), "")</f>
        <v/>
      </c>
      <c r="L317" s="8" t="str">
        <f t="shared" si="17"/>
        <v/>
      </c>
      <c r="M317" s="3" t="str">
        <f>IF($N317&lt;&gt;"", IF($H317="A VISTA", "", IF($H317="1+1", $C317 + CADASTROS!$C$4, IF($H317="1+2", $C317 + CADASTROS!$D$5, IF($H317="1+3", $C317 + CADASTROS!$D$6, "")))), "")</f>
        <v/>
      </c>
      <c r="N317" s="8" t="str">
        <f t="shared" si="18"/>
        <v/>
      </c>
      <c r="O317" s="3" t="str">
        <f>IF($P317&lt;&gt;"", IF($H317="A VISTA", "", IF($H317="1+1", $C317 + CADASTROS!$C$4, IF($H317="1+2", $C317 + CADASTROS!$C$5, IF($H317="1+3", $C317 + CADASTROS!$E$6, "")))), "")</f>
        <v/>
      </c>
      <c r="P317" s="8" t="str">
        <f t="shared" si="19"/>
        <v/>
      </c>
    </row>
    <row r="318" spans="1:16">
      <c r="A318" s="2" t="s">
        <v>453</v>
      </c>
      <c r="B318" s="6" t="s">
        <v>57</v>
      </c>
      <c r="C318" s="7">
        <v>45421</v>
      </c>
      <c r="D318" s="7" t="s">
        <v>106</v>
      </c>
      <c r="E318" s="4" t="s">
        <v>112</v>
      </c>
      <c r="F318" s="4" t="s">
        <v>122</v>
      </c>
      <c r="G318" s="8">
        <v>6089</v>
      </c>
      <c r="H318" s="8" t="s">
        <v>126</v>
      </c>
      <c r="I318" s="3">
        <f>IF($H318="A VISTA", C318 + CADASTROS!$B$3, IF($H318="1+1", C318 + CADASTROS!$B$4, IF(H318="1+2", C318 + CADASTROS!$B$5, IF(H318="1+3", C318 + CADASTROS!$B$6, ""))))</f>
        <v>45422</v>
      </c>
      <c r="J318" s="8">
        <f t="shared" si="16"/>
        <v>6089</v>
      </c>
      <c r="K318" s="3" t="str">
        <f>IF($L318&lt;&gt;"", IF($H318="A VISTA", "", IF($H318="1+1", $C318 + CADASTROS!$C$4, IF($H318="1+2", $C318 + CADASTROS!$C$5, IF($H318="1+3", $C318 + CADASTROS!$E$4, "")))), "")</f>
        <v/>
      </c>
      <c r="L318" s="8" t="str">
        <f t="shared" si="17"/>
        <v/>
      </c>
      <c r="M318" s="3" t="str">
        <f>IF($N318&lt;&gt;"", IF($H318="A VISTA", "", IF($H318="1+1", $C318 + CADASTROS!$C$4, IF($H318="1+2", $C318 + CADASTROS!$D$5, IF($H318="1+3", $C318 + CADASTROS!$D$6, "")))), "")</f>
        <v/>
      </c>
      <c r="N318" s="8" t="str">
        <f t="shared" si="18"/>
        <v/>
      </c>
      <c r="O318" s="3" t="str">
        <f>IF($P318&lt;&gt;"", IF($H318="A VISTA", "", IF($H318="1+1", $C318 + CADASTROS!$C$4, IF($H318="1+2", $C318 + CADASTROS!$C$5, IF($H318="1+3", $C318 + CADASTROS!$E$6, "")))), "")</f>
        <v/>
      </c>
      <c r="P318" s="8" t="str">
        <f t="shared" si="19"/>
        <v/>
      </c>
    </row>
    <row r="319" spans="1:16">
      <c r="A319" s="2" t="s">
        <v>454</v>
      </c>
      <c r="B319" s="6" t="s">
        <v>31</v>
      </c>
      <c r="C319" s="7">
        <v>45340</v>
      </c>
      <c r="D319" s="7" t="s">
        <v>80</v>
      </c>
      <c r="E319" s="4" t="s">
        <v>111</v>
      </c>
      <c r="F319" s="4" t="s">
        <v>117</v>
      </c>
      <c r="G319" s="8">
        <v>3771</v>
      </c>
      <c r="H319" s="8" t="s">
        <v>136</v>
      </c>
      <c r="I319" s="3">
        <f>IF($H319="A VISTA", C319 + CADASTROS!$B$3, IF($H319="1+1", C319 + CADASTROS!$B$4, IF(H319="1+2", C319 + CADASTROS!$B$5, IF(H319="1+3", C319 + CADASTROS!$B$6, ""))))</f>
        <v>45341</v>
      </c>
      <c r="J319" s="8">
        <f t="shared" si="16"/>
        <v>942.75</v>
      </c>
      <c r="K319" s="3">
        <f>IF($L319&lt;&gt;"", IF($H319="A VISTA", "", IF($H319="1+1", $C319 + CADASTROS!$C$4, IF($H319="1+2", $C319 + CADASTROS!$C$5, IF($H319="1+3", $C319 + CADASTROS!$E$4, "")))), "")</f>
        <v>45340</v>
      </c>
      <c r="L319" s="8">
        <f t="shared" si="17"/>
        <v>942.75</v>
      </c>
      <c r="M319" s="3">
        <f>IF($N319&lt;&gt;"", IF($H319="A VISTA", "", IF($H319="1+1", $C319 + CADASTROS!$C$4, IF($H319="1+2", $C319 + CADASTROS!$D$5, IF($H319="1+3", $C319 + CADASTROS!$D$6, "")))), "")</f>
        <v>45385</v>
      </c>
      <c r="N319" s="8">
        <f t="shared" si="18"/>
        <v>942.75</v>
      </c>
      <c r="O319" s="3">
        <f>IF($P319&lt;&gt;"", IF($H319="A VISTA", "", IF($H319="1+1", $C319 + CADASTROS!$C$4, IF($H319="1+2", $C319 + CADASTROS!$C$5, IF($H319="1+3", $C319 + CADASTROS!$E$6, "")))), "")</f>
        <v>45400</v>
      </c>
      <c r="P319" s="8">
        <f t="shared" si="19"/>
        <v>942.75</v>
      </c>
    </row>
    <row r="320" spans="1:16">
      <c r="A320" s="2" t="s">
        <v>455</v>
      </c>
      <c r="B320" s="6" t="s">
        <v>58</v>
      </c>
      <c r="C320" s="7">
        <v>45250</v>
      </c>
      <c r="D320" s="7" t="s">
        <v>107</v>
      </c>
      <c r="E320" s="4" t="s">
        <v>111</v>
      </c>
      <c r="F320" s="4" t="s">
        <v>120</v>
      </c>
      <c r="G320" s="8">
        <v>8695</v>
      </c>
      <c r="H320" s="8" t="s">
        <v>126</v>
      </c>
      <c r="I320" s="3">
        <f>IF($H320="A VISTA", C320 + CADASTROS!$B$3, IF($H320="1+1", C320 + CADASTROS!$B$4, IF(H320="1+2", C320 + CADASTROS!$B$5, IF(H320="1+3", C320 + CADASTROS!$B$6, ""))))</f>
        <v>45251</v>
      </c>
      <c r="J320" s="8">
        <f t="shared" si="16"/>
        <v>8695</v>
      </c>
      <c r="K320" s="3" t="str">
        <f>IF($L320&lt;&gt;"", IF($H320="A VISTA", "", IF($H320="1+1", $C320 + CADASTROS!$C$4, IF($H320="1+2", $C320 + CADASTROS!$C$5, IF($H320="1+3", $C320 + CADASTROS!$E$4, "")))), "")</f>
        <v/>
      </c>
      <c r="L320" s="8" t="str">
        <f t="shared" si="17"/>
        <v/>
      </c>
      <c r="M320" s="3" t="str">
        <f>IF($N320&lt;&gt;"", IF($H320="A VISTA", "", IF($H320="1+1", $C320 + CADASTROS!$C$4, IF($H320="1+2", $C320 + CADASTROS!$D$5, IF($H320="1+3", $C320 + CADASTROS!$D$6, "")))), "")</f>
        <v/>
      </c>
      <c r="N320" s="8" t="str">
        <f t="shared" si="18"/>
        <v/>
      </c>
      <c r="O320" s="3" t="str">
        <f>IF($P320&lt;&gt;"", IF($H320="A VISTA", "", IF($H320="1+1", $C320 + CADASTROS!$C$4, IF($H320="1+2", $C320 + CADASTROS!$C$5, IF($H320="1+3", $C320 + CADASTROS!$E$6, "")))), "")</f>
        <v/>
      </c>
      <c r="P320" s="8" t="str">
        <f t="shared" si="19"/>
        <v/>
      </c>
    </row>
    <row r="321" spans="1:16">
      <c r="A321" s="2" t="s">
        <v>456</v>
      </c>
      <c r="B321" s="6" t="s">
        <v>18</v>
      </c>
      <c r="C321" s="7">
        <v>45205</v>
      </c>
      <c r="D321" s="7" t="s">
        <v>67</v>
      </c>
      <c r="E321" s="4" t="s">
        <v>111</v>
      </c>
      <c r="F321" s="4" t="s">
        <v>121</v>
      </c>
      <c r="G321" s="8">
        <v>3941</v>
      </c>
      <c r="H321" s="8" t="s">
        <v>126</v>
      </c>
      <c r="I321" s="3">
        <f>IF($H321="A VISTA", C321 + CADASTROS!$B$3, IF($H321="1+1", C321 + CADASTROS!$B$4, IF(H321="1+2", C321 + CADASTROS!$B$5, IF(H321="1+3", C321 + CADASTROS!$B$6, ""))))</f>
        <v>45206</v>
      </c>
      <c r="J321" s="8">
        <f t="shared" si="16"/>
        <v>3941</v>
      </c>
      <c r="K321" s="3" t="str">
        <f>IF($L321&lt;&gt;"", IF($H321="A VISTA", "", IF($H321="1+1", $C321 + CADASTROS!$C$4, IF($H321="1+2", $C321 + CADASTROS!$C$5, IF($H321="1+3", $C321 + CADASTROS!$E$4, "")))), "")</f>
        <v/>
      </c>
      <c r="L321" s="8" t="str">
        <f t="shared" si="17"/>
        <v/>
      </c>
      <c r="M321" s="3" t="str">
        <f>IF($N321&lt;&gt;"", IF($H321="A VISTA", "", IF($H321="1+1", $C321 + CADASTROS!$C$4, IF($H321="1+2", $C321 + CADASTROS!$D$5, IF($H321="1+3", $C321 + CADASTROS!$D$6, "")))), "")</f>
        <v/>
      </c>
      <c r="N321" s="8" t="str">
        <f t="shared" si="18"/>
        <v/>
      </c>
      <c r="O321" s="3" t="str">
        <f>IF($P321&lt;&gt;"", IF($H321="A VISTA", "", IF($H321="1+1", $C321 + CADASTROS!$C$4, IF($H321="1+2", $C321 + CADASTROS!$C$5, IF($H321="1+3", $C321 + CADASTROS!$E$6, "")))), "")</f>
        <v/>
      </c>
      <c r="P321" s="8" t="str">
        <f t="shared" si="19"/>
        <v/>
      </c>
    </row>
    <row r="322" spans="1:16">
      <c r="A322" s="2" t="s">
        <v>457</v>
      </c>
      <c r="B322" s="6" t="s">
        <v>60</v>
      </c>
      <c r="C322" s="7">
        <v>45110</v>
      </c>
      <c r="D322" s="7" t="s">
        <v>109</v>
      </c>
      <c r="E322" s="4" t="s">
        <v>111</v>
      </c>
      <c r="F322" s="4" t="s">
        <v>118</v>
      </c>
      <c r="G322" s="8">
        <v>7529</v>
      </c>
      <c r="H322" s="8" t="s">
        <v>138</v>
      </c>
      <c r="I322" s="3">
        <f>IF($H322="A VISTA", C322 + CADASTROS!$B$3, IF($H322="1+1", C322 + CADASTROS!$B$4, IF(H322="1+2", C322 + CADASTROS!$B$5, IF(H322="1+3", C322 + CADASTROS!$B$6, ""))))</f>
        <v>45111</v>
      </c>
      <c r="J322" s="8">
        <f t="shared" si="16"/>
        <v>3764.5</v>
      </c>
      <c r="K322" s="3">
        <f>IF($L322&lt;&gt;"", IF($H322="A VISTA", "", IF($H322="1+1", $C322 + CADASTROS!$C$4, IF($H322="1+2", $C322 + CADASTROS!$C$5, IF($H322="1+3", $C322 + CADASTROS!$E$4, "")))), "")</f>
        <v>45140</v>
      </c>
      <c r="L322" s="8">
        <f t="shared" si="17"/>
        <v>3764.5</v>
      </c>
      <c r="M322" s="3" t="str">
        <f>IF($N322&lt;&gt;"", IF($H322="A VISTA", "", IF($H322="1+1", $C322 + CADASTROS!$C$4, IF($H322="1+2", $C322 + CADASTROS!$D$5, IF($H322="1+3", $C322 + CADASTROS!$D$6, "")))), "")</f>
        <v/>
      </c>
      <c r="N322" s="8" t="str">
        <f t="shared" si="18"/>
        <v/>
      </c>
      <c r="O322" s="3" t="str">
        <f>IF($P322&lt;&gt;"", IF($H322="A VISTA", "", IF($H322="1+1", $C322 + CADASTROS!$C$4, IF($H322="1+2", $C322 + CADASTROS!$C$5, IF($H322="1+3", $C322 + CADASTROS!$E$6, "")))), "")</f>
        <v/>
      </c>
      <c r="P322" s="8" t="str">
        <f t="shared" si="19"/>
        <v/>
      </c>
    </row>
    <row r="323" spans="1:16">
      <c r="A323" s="2" t="s">
        <v>458</v>
      </c>
      <c r="B323" s="6" t="s">
        <v>29</v>
      </c>
      <c r="C323" s="7">
        <v>45156</v>
      </c>
      <c r="D323" s="7" t="s">
        <v>78</v>
      </c>
      <c r="E323" s="4" t="s">
        <v>111</v>
      </c>
      <c r="F323" s="4" t="s">
        <v>121</v>
      </c>
      <c r="G323" s="8">
        <v>3809</v>
      </c>
      <c r="H323" s="8" t="s">
        <v>137</v>
      </c>
      <c r="I323" s="3">
        <f>IF($H323="A VISTA", C323 + CADASTROS!$B$3, IF($H323="1+1", C323 + CADASTROS!$B$4, IF(H323="1+2", C323 + CADASTROS!$B$5, IF(H323="1+3", C323 + CADASTROS!$B$6, ""))))</f>
        <v>45157</v>
      </c>
      <c r="J323" s="8">
        <f t="shared" ref="J323:J386" si="20">IF($H323="A VISTA", $G323, IF($H323="1+1", $G323/2, IF($H323="1+2", $G323/3, IF($H323="1+3", $G323/4, ""))))</f>
        <v>1269.6666666666667</v>
      </c>
      <c r="K323" s="3">
        <f>IF($L323&lt;&gt;"", IF($H323="A VISTA", "", IF($H323="1+1", $C323 + CADASTROS!$C$4, IF($H323="1+2", $C323 + CADASTROS!$C$5, IF($H323="1+3", $C323 + CADASTROS!$E$4, "")))), "")</f>
        <v>45186</v>
      </c>
      <c r="L323" s="8">
        <f t="shared" ref="L323:L386" si="21">IF($H323="A VISTA", "", IF($H323="1+1", $G323-$J323, IF($H323="1+2", $G323/3, IF($H323="1+3", ($G323-$J323)/3, ""))))</f>
        <v>1269.6666666666667</v>
      </c>
      <c r="M323" s="3">
        <f>IF($N323&lt;&gt;"", IF($H323="A VISTA", "", IF($H323="1+1", $C323 + CADASTROS!$C$4, IF($H323="1+2", $C323 + CADASTROS!$D$5, IF($H323="1+3", $C323 + CADASTROS!$D$6, "")))), "")</f>
        <v>45201</v>
      </c>
      <c r="N323" s="8">
        <f t="shared" ref="N323:N386" si="22">IF($H323="A VISTA","",IF($H323="1+2",$G323-$J323-$L323,IF($H323="1+3",($G323-$J323-$L323)/2,"")))</f>
        <v>1269.6666666666663</v>
      </c>
      <c r="O323" s="3" t="str">
        <f>IF($P323&lt;&gt;"", IF($H323="A VISTA", "", IF($H323="1+1", $C323 + CADASTROS!$C$4, IF($H323="1+2", $C323 + CADASTROS!$C$5, IF($H323="1+3", $C323 + CADASTROS!$E$6, "")))), "")</f>
        <v/>
      </c>
      <c r="P323" s="8" t="str">
        <f t="shared" ref="P323:P386" si="23">IF($H323="A VISTA", "", IF($H323="1+3", $G323-$J323-$L323-$N323, ""))</f>
        <v/>
      </c>
    </row>
    <row r="324" spans="1:16">
      <c r="A324" s="2" t="s">
        <v>459</v>
      </c>
      <c r="B324" s="6" t="s">
        <v>27</v>
      </c>
      <c r="C324" s="7">
        <v>45257</v>
      </c>
      <c r="D324" s="7" t="s">
        <v>76</v>
      </c>
      <c r="E324" s="4" t="s">
        <v>110</v>
      </c>
      <c r="F324" s="4" t="s">
        <v>125</v>
      </c>
      <c r="G324" s="8">
        <v>9961</v>
      </c>
      <c r="H324" s="8" t="s">
        <v>137</v>
      </c>
      <c r="I324" s="3">
        <f>IF($H324="A VISTA", C324 + CADASTROS!$B$3, IF($H324="1+1", C324 + CADASTROS!$B$4, IF(H324="1+2", C324 + CADASTROS!$B$5, IF(H324="1+3", C324 + CADASTROS!$B$6, ""))))</f>
        <v>45258</v>
      </c>
      <c r="J324" s="8">
        <f t="shared" si="20"/>
        <v>3320.3333333333335</v>
      </c>
      <c r="K324" s="3">
        <f>IF($L324&lt;&gt;"", IF($H324="A VISTA", "", IF($H324="1+1", $C324 + CADASTROS!$C$4, IF($H324="1+2", $C324 + CADASTROS!$C$5, IF($H324="1+3", $C324 + CADASTROS!$E$4, "")))), "")</f>
        <v>45287</v>
      </c>
      <c r="L324" s="8">
        <f t="shared" si="21"/>
        <v>3320.3333333333335</v>
      </c>
      <c r="M324" s="3">
        <f>IF($N324&lt;&gt;"", IF($H324="A VISTA", "", IF($H324="1+1", $C324 + CADASTROS!$C$4, IF($H324="1+2", $C324 + CADASTROS!$D$5, IF($H324="1+3", $C324 + CADASTROS!$D$6, "")))), "")</f>
        <v>45302</v>
      </c>
      <c r="N324" s="8">
        <f t="shared" si="22"/>
        <v>3320.3333333333326</v>
      </c>
      <c r="O324" s="3" t="str">
        <f>IF($P324&lt;&gt;"", IF($H324="A VISTA", "", IF($H324="1+1", $C324 + CADASTROS!$C$4, IF($H324="1+2", $C324 + CADASTROS!$C$5, IF($H324="1+3", $C324 + CADASTROS!$E$6, "")))), "")</f>
        <v/>
      </c>
      <c r="P324" s="8" t="str">
        <f t="shared" si="23"/>
        <v/>
      </c>
    </row>
    <row r="325" spans="1:16">
      <c r="A325" s="2" t="s">
        <v>460</v>
      </c>
      <c r="B325" s="6" t="s">
        <v>38</v>
      </c>
      <c r="C325" s="7">
        <v>45395</v>
      </c>
      <c r="D325" s="7" t="s">
        <v>87</v>
      </c>
      <c r="E325" s="4" t="s">
        <v>110</v>
      </c>
      <c r="F325" s="4" t="s">
        <v>125</v>
      </c>
      <c r="G325" s="8">
        <v>3972</v>
      </c>
      <c r="H325" s="8" t="s">
        <v>126</v>
      </c>
      <c r="I325" s="3">
        <f>IF($H325="A VISTA", C325 + CADASTROS!$B$3, IF($H325="1+1", C325 + CADASTROS!$B$4, IF(H325="1+2", C325 + CADASTROS!$B$5, IF(H325="1+3", C325 + CADASTROS!$B$6, ""))))</f>
        <v>45396</v>
      </c>
      <c r="J325" s="8">
        <f t="shared" si="20"/>
        <v>3972</v>
      </c>
      <c r="K325" s="3" t="str">
        <f>IF($L325&lt;&gt;"", IF($H325="A VISTA", "", IF($H325="1+1", $C325 + CADASTROS!$C$4, IF($H325="1+2", $C325 + CADASTROS!$C$5, IF($H325="1+3", $C325 + CADASTROS!$E$4, "")))), "")</f>
        <v/>
      </c>
      <c r="L325" s="8" t="str">
        <f t="shared" si="21"/>
        <v/>
      </c>
      <c r="M325" s="3" t="str">
        <f>IF($N325&lt;&gt;"", IF($H325="A VISTA", "", IF($H325="1+1", $C325 + CADASTROS!$C$4, IF($H325="1+2", $C325 + CADASTROS!$D$5, IF($H325="1+3", $C325 + CADASTROS!$D$6, "")))), "")</f>
        <v/>
      </c>
      <c r="N325" s="8" t="str">
        <f t="shared" si="22"/>
        <v/>
      </c>
      <c r="O325" s="3" t="str">
        <f>IF($P325&lt;&gt;"", IF($H325="A VISTA", "", IF($H325="1+1", $C325 + CADASTROS!$C$4, IF($H325="1+2", $C325 + CADASTROS!$C$5, IF($H325="1+3", $C325 + CADASTROS!$E$6, "")))), "")</f>
        <v/>
      </c>
      <c r="P325" s="8" t="str">
        <f t="shared" si="23"/>
        <v/>
      </c>
    </row>
    <row r="326" spans="1:16">
      <c r="A326" s="2" t="s">
        <v>461</v>
      </c>
      <c r="B326" s="6" t="s">
        <v>35</v>
      </c>
      <c r="C326" s="7">
        <v>45069</v>
      </c>
      <c r="D326" s="7" t="s">
        <v>84</v>
      </c>
      <c r="E326" s="4" t="s">
        <v>112</v>
      </c>
      <c r="F326" s="4" t="s">
        <v>122</v>
      </c>
      <c r="G326" s="8">
        <v>4058</v>
      </c>
      <c r="H326" s="8" t="s">
        <v>126</v>
      </c>
      <c r="I326" s="3">
        <f>IF($H326="A VISTA", C326 + CADASTROS!$B$3, IF($H326="1+1", C326 + CADASTROS!$B$4, IF(H326="1+2", C326 + CADASTROS!$B$5, IF(H326="1+3", C326 + CADASTROS!$B$6, ""))))</f>
        <v>45070</v>
      </c>
      <c r="J326" s="8">
        <f t="shared" si="20"/>
        <v>4058</v>
      </c>
      <c r="K326" s="3" t="str">
        <f>IF($L326&lt;&gt;"", IF($H326="A VISTA", "", IF($H326="1+1", $C326 + CADASTROS!$C$4, IF($H326="1+2", $C326 + CADASTROS!$C$5, IF($H326="1+3", $C326 + CADASTROS!$E$4, "")))), "")</f>
        <v/>
      </c>
      <c r="L326" s="8" t="str">
        <f t="shared" si="21"/>
        <v/>
      </c>
      <c r="M326" s="3" t="str">
        <f>IF($N326&lt;&gt;"", IF($H326="A VISTA", "", IF($H326="1+1", $C326 + CADASTROS!$C$4, IF($H326="1+2", $C326 + CADASTROS!$D$5, IF($H326="1+3", $C326 + CADASTROS!$D$6, "")))), "")</f>
        <v/>
      </c>
      <c r="N326" s="8" t="str">
        <f t="shared" si="22"/>
        <v/>
      </c>
      <c r="O326" s="3" t="str">
        <f>IF($P326&lt;&gt;"", IF($H326="A VISTA", "", IF($H326="1+1", $C326 + CADASTROS!$C$4, IF($H326="1+2", $C326 + CADASTROS!$C$5, IF($H326="1+3", $C326 + CADASTROS!$E$6, "")))), "")</f>
        <v/>
      </c>
      <c r="P326" s="8" t="str">
        <f t="shared" si="23"/>
        <v/>
      </c>
    </row>
    <row r="327" spans="1:16">
      <c r="A327" s="2" t="s">
        <v>462</v>
      </c>
      <c r="B327" s="6" t="s">
        <v>21</v>
      </c>
      <c r="C327" s="7">
        <v>45233</v>
      </c>
      <c r="D327" s="7" t="s">
        <v>70</v>
      </c>
      <c r="E327" s="4" t="s">
        <v>110</v>
      </c>
      <c r="F327" s="4" t="s">
        <v>124</v>
      </c>
      <c r="G327" s="8">
        <v>6809</v>
      </c>
      <c r="H327" s="8" t="s">
        <v>137</v>
      </c>
      <c r="I327" s="3">
        <f>IF($H327="A VISTA", C327 + CADASTROS!$B$3, IF($H327="1+1", C327 + CADASTROS!$B$4, IF(H327="1+2", C327 + CADASTROS!$B$5, IF(H327="1+3", C327 + CADASTROS!$B$6, ""))))</f>
        <v>45234</v>
      </c>
      <c r="J327" s="8">
        <f t="shared" si="20"/>
        <v>2269.6666666666665</v>
      </c>
      <c r="K327" s="3">
        <f>IF($L327&lt;&gt;"", IF($H327="A VISTA", "", IF($H327="1+1", $C327 + CADASTROS!$C$4, IF($H327="1+2", $C327 + CADASTROS!$C$5, IF($H327="1+3", $C327 + CADASTROS!$E$4, "")))), "")</f>
        <v>45263</v>
      </c>
      <c r="L327" s="8">
        <f t="shared" si="21"/>
        <v>2269.6666666666665</v>
      </c>
      <c r="M327" s="3">
        <f>IF($N327&lt;&gt;"", IF($H327="A VISTA", "", IF($H327="1+1", $C327 + CADASTROS!$C$4, IF($H327="1+2", $C327 + CADASTROS!$D$5, IF($H327="1+3", $C327 + CADASTROS!$D$6, "")))), "")</f>
        <v>45278</v>
      </c>
      <c r="N327" s="8">
        <f t="shared" si="22"/>
        <v>2269.6666666666674</v>
      </c>
      <c r="O327" s="3" t="str">
        <f>IF($P327&lt;&gt;"", IF($H327="A VISTA", "", IF($H327="1+1", $C327 + CADASTROS!$C$4, IF($H327="1+2", $C327 + CADASTROS!$C$5, IF($H327="1+3", $C327 + CADASTROS!$E$6, "")))), "")</f>
        <v/>
      </c>
      <c r="P327" s="8" t="str">
        <f t="shared" si="23"/>
        <v/>
      </c>
    </row>
    <row r="328" spans="1:16">
      <c r="A328" s="2" t="s">
        <v>463</v>
      </c>
      <c r="B328" s="6" t="s">
        <v>17</v>
      </c>
      <c r="C328" s="7">
        <v>45079</v>
      </c>
      <c r="D328" s="7" t="s">
        <v>66</v>
      </c>
      <c r="E328" s="4" t="s">
        <v>110</v>
      </c>
      <c r="F328" s="4" t="s">
        <v>114</v>
      </c>
      <c r="G328" s="8">
        <v>4005</v>
      </c>
      <c r="H328" s="8" t="s">
        <v>126</v>
      </c>
      <c r="I328" s="3">
        <f>IF($H328="A VISTA", C328 + CADASTROS!$B$3, IF($H328="1+1", C328 + CADASTROS!$B$4, IF(H328="1+2", C328 + CADASTROS!$B$5, IF(H328="1+3", C328 + CADASTROS!$B$6, ""))))</f>
        <v>45080</v>
      </c>
      <c r="J328" s="8">
        <f t="shared" si="20"/>
        <v>4005</v>
      </c>
      <c r="K328" s="3" t="str">
        <f>IF($L328&lt;&gt;"", IF($H328="A VISTA", "", IF($H328="1+1", $C328 + CADASTROS!$C$4, IF($H328="1+2", $C328 + CADASTROS!$C$5, IF($H328="1+3", $C328 + CADASTROS!$E$4, "")))), "")</f>
        <v/>
      </c>
      <c r="L328" s="8" t="str">
        <f t="shared" si="21"/>
        <v/>
      </c>
      <c r="M328" s="3" t="str">
        <f>IF($N328&lt;&gt;"", IF($H328="A VISTA", "", IF($H328="1+1", $C328 + CADASTROS!$C$4, IF($H328="1+2", $C328 + CADASTROS!$D$5, IF($H328="1+3", $C328 + CADASTROS!$D$6, "")))), "")</f>
        <v/>
      </c>
      <c r="N328" s="8" t="str">
        <f t="shared" si="22"/>
        <v/>
      </c>
      <c r="O328" s="3" t="str">
        <f>IF($P328&lt;&gt;"", IF($H328="A VISTA", "", IF($H328="1+1", $C328 + CADASTROS!$C$4, IF($H328="1+2", $C328 + CADASTROS!$C$5, IF($H328="1+3", $C328 + CADASTROS!$E$6, "")))), "")</f>
        <v/>
      </c>
      <c r="P328" s="8" t="str">
        <f t="shared" si="23"/>
        <v/>
      </c>
    </row>
    <row r="329" spans="1:16">
      <c r="A329" s="2" t="s">
        <v>464</v>
      </c>
      <c r="B329" s="6" t="s">
        <v>30</v>
      </c>
      <c r="C329" s="7">
        <v>45347</v>
      </c>
      <c r="D329" s="7" t="s">
        <v>79</v>
      </c>
      <c r="E329" s="4" t="s">
        <v>111</v>
      </c>
      <c r="F329" s="4" t="s">
        <v>118</v>
      </c>
      <c r="G329" s="8">
        <v>7997</v>
      </c>
      <c r="H329" s="8" t="s">
        <v>137</v>
      </c>
      <c r="I329" s="3">
        <f>IF($H329="A VISTA", C329 + CADASTROS!$B$3, IF($H329="1+1", C329 + CADASTROS!$B$4, IF(H329="1+2", C329 + CADASTROS!$B$5, IF(H329="1+3", C329 + CADASTROS!$B$6, ""))))</f>
        <v>45348</v>
      </c>
      <c r="J329" s="8">
        <f t="shared" si="20"/>
        <v>2665.6666666666665</v>
      </c>
      <c r="K329" s="3">
        <f>IF($L329&lt;&gt;"", IF($H329="A VISTA", "", IF($H329="1+1", $C329 + CADASTROS!$C$4, IF($H329="1+2", $C329 + CADASTROS!$C$5, IF($H329="1+3", $C329 + CADASTROS!$E$4, "")))), "")</f>
        <v>45377</v>
      </c>
      <c r="L329" s="8">
        <f t="shared" si="21"/>
        <v>2665.6666666666665</v>
      </c>
      <c r="M329" s="3">
        <f>IF($N329&lt;&gt;"", IF($H329="A VISTA", "", IF($H329="1+1", $C329 + CADASTROS!$C$4, IF($H329="1+2", $C329 + CADASTROS!$D$5, IF($H329="1+3", $C329 + CADASTROS!$D$6, "")))), "")</f>
        <v>45392</v>
      </c>
      <c r="N329" s="8">
        <f t="shared" si="22"/>
        <v>2665.6666666666674</v>
      </c>
      <c r="O329" s="3" t="str">
        <f>IF($P329&lt;&gt;"", IF($H329="A VISTA", "", IF($H329="1+1", $C329 + CADASTROS!$C$4, IF($H329="1+2", $C329 + CADASTROS!$C$5, IF($H329="1+3", $C329 + CADASTROS!$E$6, "")))), "")</f>
        <v/>
      </c>
      <c r="P329" s="8" t="str">
        <f t="shared" si="23"/>
        <v/>
      </c>
    </row>
    <row r="330" spans="1:16">
      <c r="A330" s="2" t="s">
        <v>465</v>
      </c>
      <c r="B330" s="6" t="s">
        <v>53</v>
      </c>
      <c r="C330" s="7">
        <v>45263</v>
      </c>
      <c r="D330" s="7" t="s">
        <v>102</v>
      </c>
      <c r="E330" s="4" t="s">
        <v>111</v>
      </c>
      <c r="F330" s="4" t="s">
        <v>117</v>
      </c>
      <c r="G330" s="8">
        <v>3814</v>
      </c>
      <c r="H330" s="8" t="s">
        <v>137</v>
      </c>
      <c r="I330" s="3">
        <f>IF($H330="A VISTA", C330 + CADASTROS!$B$3, IF($H330="1+1", C330 + CADASTROS!$B$4, IF(H330="1+2", C330 + CADASTROS!$B$5, IF(H330="1+3", C330 + CADASTROS!$B$6, ""))))</f>
        <v>45264</v>
      </c>
      <c r="J330" s="8">
        <f t="shared" si="20"/>
        <v>1271.3333333333333</v>
      </c>
      <c r="K330" s="3">
        <f>IF($L330&lt;&gt;"", IF($H330="A VISTA", "", IF($H330="1+1", $C330 + CADASTROS!$C$4, IF($H330="1+2", $C330 + CADASTROS!$C$5, IF($H330="1+3", $C330 + CADASTROS!$E$4, "")))), "")</f>
        <v>45293</v>
      </c>
      <c r="L330" s="8">
        <f t="shared" si="21"/>
        <v>1271.3333333333333</v>
      </c>
      <c r="M330" s="3">
        <f>IF($N330&lt;&gt;"", IF($H330="A VISTA", "", IF($H330="1+1", $C330 + CADASTROS!$C$4, IF($H330="1+2", $C330 + CADASTROS!$D$5, IF($H330="1+3", $C330 + CADASTROS!$D$6, "")))), "")</f>
        <v>45308</v>
      </c>
      <c r="N330" s="8">
        <f t="shared" si="22"/>
        <v>1271.3333333333337</v>
      </c>
      <c r="O330" s="3" t="str">
        <f>IF($P330&lt;&gt;"", IF($H330="A VISTA", "", IF($H330="1+1", $C330 + CADASTROS!$C$4, IF($H330="1+2", $C330 + CADASTROS!$C$5, IF($H330="1+3", $C330 + CADASTROS!$E$6, "")))), "")</f>
        <v/>
      </c>
      <c r="P330" s="8" t="str">
        <f t="shared" si="23"/>
        <v/>
      </c>
    </row>
    <row r="331" spans="1:16">
      <c r="A331" s="2" t="s">
        <v>466</v>
      </c>
      <c r="B331" s="6" t="s">
        <v>26</v>
      </c>
      <c r="C331" s="7">
        <v>45168</v>
      </c>
      <c r="D331" s="7" t="s">
        <v>75</v>
      </c>
      <c r="E331" s="4" t="s">
        <v>112</v>
      </c>
      <c r="F331" s="4" t="s">
        <v>123</v>
      </c>
      <c r="G331" s="8">
        <v>8017</v>
      </c>
      <c r="H331" s="8" t="s">
        <v>126</v>
      </c>
      <c r="I331" s="3">
        <f>IF($H331="A VISTA", C331 + CADASTROS!$B$3, IF($H331="1+1", C331 + CADASTROS!$B$4, IF(H331="1+2", C331 + CADASTROS!$B$5, IF(H331="1+3", C331 + CADASTROS!$B$6, ""))))</f>
        <v>45169</v>
      </c>
      <c r="J331" s="8">
        <f t="shared" si="20"/>
        <v>8017</v>
      </c>
      <c r="K331" s="3" t="str">
        <f>IF($L331&lt;&gt;"", IF($H331="A VISTA", "", IF($H331="1+1", $C331 + CADASTROS!$C$4, IF($H331="1+2", $C331 + CADASTROS!$C$5, IF($H331="1+3", $C331 + CADASTROS!$E$4, "")))), "")</f>
        <v/>
      </c>
      <c r="L331" s="8" t="str">
        <f t="shared" si="21"/>
        <v/>
      </c>
      <c r="M331" s="3" t="str">
        <f>IF($N331&lt;&gt;"", IF($H331="A VISTA", "", IF($H331="1+1", $C331 + CADASTROS!$C$4, IF($H331="1+2", $C331 + CADASTROS!$D$5, IF($H331="1+3", $C331 + CADASTROS!$D$6, "")))), "")</f>
        <v/>
      </c>
      <c r="N331" s="8" t="str">
        <f t="shared" si="22"/>
        <v/>
      </c>
      <c r="O331" s="3" t="str">
        <f>IF($P331&lt;&gt;"", IF($H331="A VISTA", "", IF($H331="1+1", $C331 + CADASTROS!$C$4, IF($H331="1+2", $C331 + CADASTROS!$C$5, IF($H331="1+3", $C331 + CADASTROS!$E$6, "")))), "")</f>
        <v/>
      </c>
      <c r="P331" s="8" t="str">
        <f t="shared" si="23"/>
        <v/>
      </c>
    </row>
    <row r="332" spans="1:16">
      <c r="A332" s="2" t="s">
        <v>467</v>
      </c>
      <c r="B332" s="6" t="s">
        <v>21</v>
      </c>
      <c r="C332" s="7">
        <v>45250</v>
      </c>
      <c r="D332" s="7" t="s">
        <v>70</v>
      </c>
      <c r="E332" s="4" t="s">
        <v>110</v>
      </c>
      <c r="F332" s="4" t="s">
        <v>124</v>
      </c>
      <c r="G332" s="8">
        <v>7719</v>
      </c>
      <c r="H332" s="8" t="s">
        <v>138</v>
      </c>
      <c r="I332" s="3">
        <f>IF($H332="A VISTA", C332 + CADASTROS!$B$3, IF($H332="1+1", C332 + CADASTROS!$B$4, IF(H332="1+2", C332 + CADASTROS!$B$5, IF(H332="1+3", C332 + CADASTROS!$B$6, ""))))</f>
        <v>45251</v>
      </c>
      <c r="J332" s="8">
        <f t="shared" si="20"/>
        <v>3859.5</v>
      </c>
      <c r="K332" s="3">
        <f>IF($L332&lt;&gt;"", IF($H332="A VISTA", "", IF($H332="1+1", $C332 + CADASTROS!$C$4, IF($H332="1+2", $C332 + CADASTROS!$C$5, IF($H332="1+3", $C332 + CADASTROS!$E$4, "")))), "")</f>
        <v>45280</v>
      </c>
      <c r="L332" s="8">
        <f t="shared" si="21"/>
        <v>3859.5</v>
      </c>
      <c r="M332" s="3" t="str">
        <f>IF($N332&lt;&gt;"", IF($H332="A VISTA", "", IF($H332="1+1", $C332 + CADASTROS!$C$4, IF($H332="1+2", $C332 + CADASTROS!$D$5, IF($H332="1+3", $C332 + CADASTROS!$D$6, "")))), "")</f>
        <v/>
      </c>
      <c r="N332" s="8" t="str">
        <f t="shared" si="22"/>
        <v/>
      </c>
      <c r="O332" s="3" t="str">
        <f>IF($P332&lt;&gt;"", IF($H332="A VISTA", "", IF($H332="1+1", $C332 + CADASTROS!$C$4, IF($H332="1+2", $C332 + CADASTROS!$C$5, IF($H332="1+3", $C332 + CADASTROS!$E$6, "")))), "")</f>
        <v/>
      </c>
      <c r="P332" s="8" t="str">
        <f t="shared" si="23"/>
        <v/>
      </c>
    </row>
    <row r="333" spans="1:16">
      <c r="A333" s="2" t="s">
        <v>468</v>
      </c>
      <c r="B333" s="6" t="s">
        <v>54</v>
      </c>
      <c r="C333" s="7">
        <v>45175</v>
      </c>
      <c r="D333" s="7" t="s">
        <v>103</v>
      </c>
      <c r="E333" s="4" t="s">
        <v>110</v>
      </c>
      <c r="F333" s="4" t="s">
        <v>124</v>
      </c>
      <c r="G333" s="8">
        <v>8837</v>
      </c>
      <c r="H333" s="8" t="s">
        <v>126</v>
      </c>
      <c r="I333" s="3">
        <f>IF($H333="A VISTA", C333 + CADASTROS!$B$3, IF($H333="1+1", C333 + CADASTROS!$B$4, IF(H333="1+2", C333 + CADASTROS!$B$5, IF(H333="1+3", C333 + CADASTROS!$B$6, ""))))</f>
        <v>45176</v>
      </c>
      <c r="J333" s="8">
        <f t="shared" si="20"/>
        <v>8837</v>
      </c>
      <c r="K333" s="3" t="str">
        <f>IF($L333&lt;&gt;"", IF($H333="A VISTA", "", IF($H333="1+1", $C333 + CADASTROS!$C$4, IF($H333="1+2", $C333 + CADASTROS!$C$5, IF($H333="1+3", $C333 + CADASTROS!$E$4, "")))), "")</f>
        <v/>
      </c>
      <c r="L333" s="8" t="str">
        <f t="shared" si="21"/>
        <v/>
      </c>
      <c r="M333" s="3" t="str">
        <f>IF($N333&lt;&gt;"", IF($H333="A VISTA", "", IF($H333="1+1", $C333 + CADASTROS!$C$4, IF($H333="1+2", $C333 + CADASTROS!$D$5, IF($H333="1+3", $C333 + CADASTROS!$D$6, "")))), "")</f>
        <v/>
      </c>
      <c r="N333" s="8" t="str">
        <f t="shared" si="22"/>
        <v/>
      </c>
      <c r="O333" s="3" t="str">
        <f>IF($P333&lt;&gt;"", IF($H333="A VISTA", "", IF($H333="1+1", $C333 + CADASTROS!$C$4, IF($H333="1+2", $C333 + CADASTROS!$C$5, IF($H333="1+3", $C333 + CADASTROS!$E$6, "")))), "")</f>
        <v/>
      </c>
      <c r="P333" s="8" t="str">
        <f t="shared" si="23"/>
        <v/>
      </c>
    </row>
    <row r="334" spans="1:16">
      <c r="A334" s="2" t="s">
        <v>469</v>
      </c>
      <c r="B334" s="6" t="s">
        <v>35</v>
      </c>
      <c r="C334" s="7">
        <v>45114</v>
      </c>
      <c r="D334" s="7" t="s">
        <v>84</v>
      </c>
      <c r="E334" s="4" t="s">
        <v>112</v>
      </c>
      <c r="F334" s="4" t="s">
        <v>122</v>
      </c>
      <c r="G334" s="8">
        <v>3117</v>
      </c>
      <c r="H334" s="8" t="s">
        <v>126</v>
      </c>
      <c r="I334" s="3">
        <f>IF($H334="A VISTA", C334 + CADASTROS!$B$3, IF($H334="1+1", C334 + CADASTROS!$B$4, IF(H334="1+2", C334 + CADASTROS!$B$5, IF(H334="1+3", C334 + CADASTROS!$B$6, ""))))</f>
        <v>45115</v>
      </c>
      <c r="J334" s="8">
        <f t="shared" si="20"/>
        <v>3117</v>
      </c>
      <c r="K334" s="3" t="str">
        <f>IF($L334&lt;&gt;"", IF($H334="A VISTA", "", IF($H334="1+1", $C334 + CADASTROS!$C$4, IF($H334="1+2", $C334 + CADASTROS!$C$5, IF($H334="1+3", $C334 + CADASTROS!$E$4, "")))), "")</f>
        <v/>
      </c>
      <c r="L334" s="8" t="str">
        <f t="shared" si="21"/>
        <v/>
      </c>
      <c r="M334" s="3" t="str">
        <f>IF($N334&lt;&gt;"", IF($H334="A VISTA", "", IF($H334="1+1", $C334 + CADASTROS!$C$4, IF($H334="1+2", $C334 + CADASTROS!$D$5, IF($H334="1+3", $C334 + CADASTROS!$D$6, "")))), "")</f>
        <v/>
      </c>
      <c r="N334" s="8" t="str">
        <f t="shared" si="22"/>
        <v/>
      </c>
      <c r="O334" s="3" t="str">
        <f>IF($P334&lt;&gt;"", IF($H334="A VISTA", "", IF($H334="1+1", $C334 + CADASTROS!$C$4, IF($H334="1+2", $C334 + CADASTROS!$C$5, IF($H334="1+3", $C334 + CADASTROS!$E$6, "")))), "")</f>
        <v/>
      </c>
      <c r="P334" s="8" t="str">
        <f t="shared" si="23"/>
        <v/>
      </c>
    </row>
    <row r="335" spans="1:16">
      <c r="A335" s="2" t="s">
        <v>470</v>
      </c>
      <c r="B335" s="6" t="s">
        <v>20</v>
      </c>
      <c r="C335" s="7">
        <v>45302</v>
      </c>
      <c r="D335" s="7" t="s">
        <v>69</v>
      </c>
      <c r="E335" s="4" t="s">
        <v>111</v>
      </c>
      <c r="F335" s="4" t="s">
        <v>117</v>
      </c>
      <c r="G335" s="8">
        <v>781</v>
      </c>
      <c r="H335" s="8" t="s">
        <v>136</v>
      </c>
      <c r="I335" s="3">
        <f>IF($H335="A VISTA", C335 + CADASTROS!$B$3, IF($H335="1+1", C335 + CADASTROS!$B$4, IF(H335="1+2", C335 + CADASTROS!$B$5, IF(H335="1+3", C335 + CADASTROS!$B$6, ""))))</f>
        <v>45303</v>
      </c>
      <c r="J335" s="8">
        <f t="shared" si="20"/>
        <v>195.25</v>
      </c>
      <c r="K335" s="3">
        <f>IF($L335&lt;&gt;"", IF($H335="A VISTA", "", IF($H335="1+1", $C335 + CADASTROS!$C$4, IF($H335="1+2", $C335 + CADASTROS!$C$5, IF($H335="1+3", $C335 + CADASTROS!$E$4, "")))), "")</f>
        <v>45302</v>
      </c>
      <c r="L335" s="8">
        <f t="shared" si="21"/>
        <v>195.25</v>
      </c>
      <c r="M335" s="3">
        <f>IF($N335&lt;&gt;"", IF($H335="A VISTA", "", IF($H335="1+1", $C335 + CADASTROS!$C$4, IF($H335="1+2", $C335 + CADASTROS!$D$5, IF($H335="1+3", $C335 + CADASTROS!$D$6, "")))), "")</f>
        <v>45347</v>
      </c>
      <c r="N335" s="8">
        <f t="shared" si="22"/>
        <v>195.25</v>
      </c>
      <c r="O335" s="3">
        <f>IF($P335&lt;&gt;"", IF($H335="A VISTA", "", IF($H335="1+1", $C335 + CADASTROS!$C$4, IF($H335="1+2", $C335 + CADASTROS!$C$5, IF($H335="1+3", $C335 + CADASTROS!$E$6, "")))), "")</f>
        <v>45362</v>
      </c>
      <c r="P335" s="8">
        <f t="shared" si="23"/>
        <v>195.25</v>
      </c>
    </row>
    <row r="336" spans="1:16">
      <c r="A336" s="2" t="s">
        <v>471</v>
      </c>
      <c r="B336" s="6" t="s">
        <v>14</v>
      </c>
      <c r="C336" s="7">
        <v>45259</v>
      </c>
      <c r="D336" s="7" t="s">
        <v>61</v>
      </c>
      <c r="E336" s="4" t="s">
        <v>110</v>
      </c>
      <c r="F336" s="4" t="s">
        <v>113</v>
      </c>
      <c r="G336" s="8">
        <v>2684</v>
      </c>
      <c r="H336" s="8" t="s">
        <v>138</v>
      </c>
      <c r="I336" s="3">
        <f>IF($H336="A VISTA", C336 + CADASTROS!$B$3, IF($H336="1+1", C336 + CADASTROS!$B$4, IF(H336="1+2", C336 + CADASTROS!$B$5, IF(H336="1+3", C336 + CADASTROS!$B$6, ""))))</f>
        <v>45260</v>
      </c>
      <c r="J336" s="8">
        <f t="shared" si="20"/>
        <v>1342</v>
      </c>
      <c r="K336" s="3">
        <f>IF($L336&lt;&gt;"", IF($H336="A VISTA", "", IF($H336="1+1", $C336 + CADASTROS!$C$4, IF($H336="1+2", $C336 + CADASTROS!$C$5, IF($H336="1+3", $C336 + CADASTROS!$E$4, "")))), "")</f>
        <v>45289</v>
      </c>
      <c r="L336" s="8">
        <f t="shared" si="21"/>
        <v>1342</v>
      </c>
      <c r="M336" s="3" t="str">
        <f>IF($N336&lt;&gt;"", IF($H336="A VISTA", "", IF($H336="1+1", $C336 + CADASTROS!$C$4, IF($H336="1+2", $C336 + CADASTROS!$D$5, IF($H336="1+3", $C336 + CADASTROS!$D$6, "")))), "")</f>
        <v/>
      </c>
      <c r="N336" s="8" t="str">
        <f t="shared" si="22"/>
        <v/>
      </c>
      <c r="O336" s="3" t="str">
        <f>IF($P336&lt;&gt;"", IF($H336="A VISTA", "", IF($H336="1+1", $C336 + CADASTROS!$C$4, IF($H336="1+2", $C336 + CADASTROS!$C$5, IF($H336="1+3", $C336 + CADASTROS!$E$6, "")))), "")</f>
        <v/>
      </c>
      <c r="P336" s="8" t="str">
        <f t="shared" si="23"/>
        <v/>
      </c>
    </row>
    <row r="337" spans="1:16">
      <c r="A337" s="2" t="s">
        <v>472</v>
      </c>
      <c r="B337" s="6" t="s">
        <v>41</v>
      </c>
      <c r="C337" s="7">
        <v>45076</v>
      </c>
      <c r="D337" s="7" t="s">
        <v>90</v>
      </c>
      <c r="E337" s="4" t="s">
        <v>111</v>
      </c>
      <c r="F337" s="4" t="s">
        <v>118</v>
      </c>
      <c r="G337" s="8">
        <v>5313</v>
      </c>
      <c r="H337" s="8" t="s">
        <v>138</v>
      </c>
      <c r="I337" s="3">
        <f>IF($H337="A VISTA", C337 + CADASTROS!$B$3, IF($H337="1+1", C337 + CADASTROS!$B$4, IF(H337="1+2", C337 + CADASTROS!$B$5, IF(H337="1+3", C337 + CADASTROS!$B$6, ""))))</f>
        <v>45077</v>
      </c>
      <c r="J337" s="8">
        <f t="shared" si="20"/>
        <v>2656.5</v>
      </c>
      <c r="K337" s="3">
        <f>IF($L337&lt;&gt;"", IF($H337="A VISTA", "", IF($H337="1+1", $C337 + CADASTROS!$C$4, IF($H337="1+2", $C337 + CADASTROS!$C$5, IF($H337="1+3", $C337 + CADASTROS!$E$4, "")))), "")</f>
        <v>45106</v>
      </c>
      <c r="L337" s="8">
        <f t="shared" si="21"/>
        <v>2656.5</v>
      </c>
      <c r="M337" s="3" t="str">
        <f>IF($N337&lt;&gt;"", IF($H337="A VISTA", "", IF($H337="1+1", $C337 + CADASTROS!$C$4, IF($H337="1+2", $C337 + CADASTROS!$D$5, IF($H337="1+3", $C337 + CADASTROS!$D$6, "")))), "")</f>
        <v/>
      </c>
      <c r="N337" s="8" t="str">
        <f t="shared" si="22"/>
        <v/>
      </c>
      <c r="O337" s="3" t="str">
        <f>IF($P337&lt;&gt;"", IF($H337="A VISTA", "", IF($H337="1+1", $C337 + CADASTROS!$C$4, IF($H337="1+2", $C337 + CADASTROS!$C$5, IF($H337="1+3", $C337 + CADASTROS!$E$6, "")))), "")</f>
        <v/>
      </c>
      <c r="P337" s="8" t="str">
        <f t="shared" si="23"/>
        <v/>
      </c>
    </row>
    <row r="338" spans="1:16">
      <c r="A338" s="2" t="s">
        <v>473</v>
      </c>
      <c r="B338" s="6" t="s">
        <v>60</v>
      </c>
      <c r="C338" s="7">
        <v>45294</v>
      </c>
      <c r="D338" s="7" t="s">
        <v>109</v>
      </c>
      <c r="E338" s="4" t="s">
        <v>111</v>
      </c>
      <c r="F338" s="4" t="s">
        <v>118</v>
      </c>
      <c r="G338" s="8">
        <v>1085</v>
      </c>
      <c r="H338" s="8" t="s">
        <v>137</v>
      </c>
      <c r="I338" s="3">
        <f>IF($H338="A VISTA", C338 + CADASTROS!$B$3, IF($H338="1+1", C338 + CADASTROS!$B$4, IF(H338="1+2", C338 + CADASTROS!$B$5, IF(H338="1+3", C338 + CADASTROS!$B$6, ""))))</f>
        <v>45295</v>
      </c>
      <c r="J338" s="8">
        <f t="shared" si="20"/>
        <v>361.66666666666669</v>
      </c>
      <c r="K338" s="3">
        <f>IF($L338&lt;&gt;"", IF($H338="A VISTA", "", IF($H338="1+1", $C338 + CADASTROS!$C$4, IF($H338="1+2", $C338 + CADASTROS!$C$5, IF($H338="1+3", $C338 + CADASTROS!$E$4, "")))), "")</f>
        <v>45324</v>
      </c>
      <c r="L338" s="8">
        <f t="shared" si="21"/>
        <v>361.66666666666669</v>
      </c>
      <c r="M338" s="3">
        <f>IF($N338&lt;&gt;"", IF($H338="A VISTA", "", IF($H338="1+1", $C338 + CADASTROS!$C$4, IF($H338="1+2", $C338 + CADASTROS!$D$5, IF($H338="1+3", $C338 + CADASTROS!$D$6, "")))), "")</f>
        <v>45339</v>
      </c>
      <c r="N338" s="8">
        <f t="shared" si="22"/>
        <v>361.66666666666657</v>
      </c>
      <c r="O338" s="3" t="str">
        <f>IF($P338&lt;&gt;"", IF($H338="A VISTA", "", IF($H338="1+1", $C338 + CADASTROS!$C$4, IF($H338="1+2", $C338 + CADASTROS!$C$5, IF($H338="1+3", $C338 + CADASTROS!$E$6, "")))), "")</f>
        <v/>
      </c>
      <c r="P338" s="8" t="str">
        <f t="shared" si="23"/>
        <v/>
      </c>
    </row>
    <row r="339" spans="1:16">
      <c r="A339" s="2" t="s">
        <v>474</v>
      </c>
      <c r="B339" s="6" t="s">
        <v>36</v>
      </c>
      <c r="C339" s="7">
        <v>45272</v>
      </c>
      <c r="D339" s="7" t="s">
        <v>85</v>
      </c>
      <c r="E339" s="4" t="s">
        <v>111</v>
      </c>
      <c r="F339" s="4" t="s">
        <v>120</v>
      </c>
      <c r="G339" s="8">
        <v>9429</v>
      </c>
      <c r="H339" s="8" t="s">
        <v>138</v>
      </c>
      <c r="I339" s="3">
        <f>IF($H339="A VISTA", C339 + CADASTROS!$B$3, IF($H339="1+1", C339 + CADASTROS!$B$4, IF(H339="1+2", C339 + CADASTROS!$B$5, IF(H339="1+3", C339 + CADASTROS!$B$6, ""))))</f>
        <v>45273</v>
      </c>
      <c r="J339" s="8">
        <f t="shared" si="20"/>
        <v>4714.5</v>
      </c>
      <c r="K339" s="3">
        <f>IF($L339&lt;&gt;"", IF($H339="A VISTA", "", IF($H339="1+1", $C339 + CADASTROS!$C$4, IF($H339="1+2", $C339 + CADASTROS!$C$5, IF($H339="1+3", $C339 + CADASTROS!$E$4, "")))), "")</f>
        <v>45302</v>
      </c>
      <c r="L339" s="8">
        <f t="shared" si="21"/>
        <v>4714.5</v>
      </c>
      <c r="M339" s="3" t="str">
        <f>IF($N339&lt;&gt;"", IF($H339="A VISTA", "", IF($H339="1+1", $C339 + CADASTROS!$C$4, IF($H339="1+2", $C339 + CADASTROS!$D$5, IF($H339="1+3", $C339 + CADASTROS!$D$6, "")))), "")</f>
        <v/>
      </c>
      <c r="N339" s="8" t="str">
        <f t="shared" si="22"/>
        <v/>
      </c>
      <c r="O339" s="3" t="str">
        <f>IF($P339&lt;&gt;"", IF($H339="A VISTA", "", IF($H339="1+1", $C339 + CADASTROS!$C$4, IF($H339="1+2", $C339 + CADASTROS!$C$5, IF($H339="1+3", $C339 + CADASTROS!$E$6, "")))), "")</f>
        <v/>
      </c>
      <c r="P339" s="8" t="str">
        <f t="shared" si="23"/>
        <v/>
      </c>
    </row>
    <row r="340" spans="1:16">
      <c r="A340" s="2" t="s">
        <v>475</v>
      </c>
      <c r="B340" s="6" t="s">
        <v>27</v>
      </c>
      <c r="C340" s="7">
        <v>45319</v>
      </c>
      <c r="D340" s="7" t="s">
        <v>76</v>
      </c>
      <c r="E340" s="4" t="s">
        <v>110</v>
      </c>
      <c r="F340" s="4" t="s">
        <v>125</v>
      </c>
      <c r="G340" s="8">
        <v>8504</v>
      </c>
      <c r="H340" s="8" t="s">
        <v>126</v>
      </c>
      <c r="I340" s="3">
        <f>IF($H340="A VISTA", C340 + CADASTROS!$B$3, IF($H340="1+1", C340 + CADASTROS!$B$4, IF(H340="1+2", C340 + CADASTROS!$B$5, IF(H340="1+3", C340 + CADASTROS!$B$6, ""))))</f>
        <v>45320</v>
      </c>
      <c r="J340" s="8">
        <f t="shared" si="20"/>
        <v>8504</v>
      </c>
      <c r="K340" s="3" t="str">
        <f>IF($L340&lt;&gt;"", IF($H340="A VISTA", "", IF($H340="1+1", $C340 + CADASTROS!$C$4, IF($H340="1+2", $C340 + CADASTROS!$C$5, IF($H340="1+3", $C340 + CADASTROS!$E$4, "")))), "")</f>
        <v/>
      </c>
      <c r="L340" s="8" t="str">
        <f t="shared" si="21"/>
        <v/>
      </c>
      <c r="M340" s="3" t="str">
        <f>IF($N340&lt;&gt;"", IF($H340="A VISTA", "", IF($H340="1+1", $C340 + CADASTROS!$C$4, IF($H340="1+2", $C340 + CADASTROS!$D$5, IF($H340="1+3", $C340 + CADASTROS!$D$6, "")))), "")</f>
        <v/>
      </c>
      <c r="N340" s="8" t="str">
        <f t="shared" si="22"/>
        <v/>
      </c>
      <c r="O340" s="3" t="str">
        <f>IF($P340&lt;&gt;"", IF($H340="A VISTA", "", IF($H340="1+1", $C340 + CADASTROS!$C$4, IF($H340="1+2", $C340 + CADASTROS!$C$5, IF($H340="1+3", $C340 + CADASTROS!$E$6, "")))), "")</f>
        <v/>
      </c>
      <c r="P340" s="8" t="str">
        <f t="shared" si="23"/>
        <v/>
      </c>
    </row>
    <row r="341" spans="1:16">
      <c r="A341" s="2" t="s">
        <v>476</v>
      </c>
      <c r="B341" s="6" t="s">
        <v>37</v>
      </c>
      <c r="C341" s="7">
        <v>45101</v>
      </c>
      <c r="D341" s="7" t="s">
        <v>86</v>
      </c>
      <c r="E341" s="4" t="s">
        <v>112</v>
      </c>
      <c r="F341" s="4" t="s">
        <v>123</v>
      </c>
      <c r="G341" s="8">
        <v>1646</v>
      </c>
      <c r="H341" s="8" t="s">
        <v>126</v>
      </c>
      <c r="I341" s="3">
        <f>IF($H341="A VISTA", C341 + CADASTROS!$B$3, IF($H341="1+1", C341 + CADASTROS!$B$4, IF(H341="1+2", C341 + CADASTROS!$B$5, IF(H341="1+3", C341 + CADASTROS!$B$6, ""))))</f>
        <v>45102</v>
      </c>
      <c r="J341" s="8">
        <f t="shared" si="20"/>
        <v>1646</v>
      </c>
      <c r="K341" s="3" t="str">
        <f>IF($L341&lt;&gt;"", IF($H341="A VISTA", "", IF($H341="1+1", $C341 + CADASTROS!$C$4, IF($H341="1+2", $C341 + CADASTROS!$C$5, IF($H341="1+3", $C341 + CADASTROS!$E$4, "")))), "")</f>
        <v/>
      </c>
      <c r="L341" s="8" t="str">
        <f t="shared" si="21"/>
        <v/>
      </c>
      <c r="M341" s="3" t="str">
        <f>IF($N341&lt;&gt;"", IF($H341="A VISTA", "", IF($H341="1+1", $C341 + CADASTROS!$C$4, IF($H341="1+2", $C341 + CADASTROS!$D$5, IF($H341="1+3", $C341 + CADASTROS!$D$6, "")))), "")</f>
        <v/>
      </c>
      <c r="N341" s="8" t="str">
        <f t="shared" si="22"/>
        <v/>
      </c>
      <c r="O341" s="3" t="str">
        <f>IF($P341&lt;&gt;"", IF($H341="A VISTA", "", IF($H341="1+1", $C341 + CADASTROS!$C$4, IF($H341="1+2", $C341 + CADASTROS!$C$5, IF($H341="1+3", $C341 + CADASTROS!$E$6, "")))), "")</f>
        <v/>
      </c>
      <c r="P341" s="8" t="str">
        <f t="shared" si="23"/>
        <v/>
      </c>
    </row>
    <row r="342" spans="1:16">
      <c r="A342" s="2" t="s">
        <v>477</v>
      </c>
      <c r="B342" s="6" t="s">
        <v>28</v>
      </c>
      <c r="C342" s="7">
        <v>45287</v>
      </c>
      <c r="D342" s="7" t="s">
        <v>77</v>
      </c>
      <c r="E342" s="4" t="s">
        <v>110</v>
      </c>
      <c r="F342" s="4" t="s">
        <v>114</v>
      </c>
      <c r="G342" s="8">
        <v>7876</v>
      </c>
      <c r="H342" s="8" t="s">
        <v>136</v>
      </c>
      <c r="I342" s="3">
        <f>IF($H342="A VISTA", C342 + CADASTROS!$B$3, IF($H342="1+1", C342 + CADASTROS!$B$4, IF(H342="1+2", C342 + CADASTROS!$B$5, IF(H342="1+3", C342 + CADASTROS!$B$6, ""))))</f>
        <v>45288</v>
      </c>
      <c r="J342" s="8">
        <f t="shared" si="20"/>
        <v>1969</v>
      </c>
      <c r="K342" s="3">
        <f>IF($L342&lt;&gt;"", IF($H342="A VISTA", "", IF($H342="1+1", $C342 + CADASTROS!$C$4, IF($H342="1+2", $C342 + CADASTROS!$C$5, IF($H342="1+3", $C342 + CADASTROS!$E$4, "")))), "")</f>
        <v>45287</v>
      </c>
      <c r="L342" s="8">
        <f t="shared" si="21"/>
        <v>1969</v>
      </c>
      <c r="M342" s="3">
        <f>IF($N342&lt;&gt;"", IF($H342="A VISTA", "", IF($H342="1+1", $C342 + CADASTROS!$C$4, IF($H342="1+2", $C342 + CADASTROS!$D$5, IF($H342="1+3", $C342 + CADASTROS!$D$6, "")))), "")</f>
        <v>45332</v>
      </c>
      <c r="N342" s="8">
        <f t="shared" si="22"/>
        <v>1969</v>
      </c>
      <c r="O342" s="3">
        <f>IF($P342&lt;&gt;"", IF($H342="A VISTA", "", IF($H342="1+1", $C342 + CADASTROS!$C$4, IF($H342="1+2", $C342 + CADASTROS!$C$5, IF($H342="1+3", $C342 + CADASTROS!$E$6, "")))), "")</f>
        <v>45347</v>
      </c>
      <c r="P342" s="8">
        <f t="shared" si="23"/>
        <v>1969</v>
      </c>
    </row>
    <row r="343" spans="1:16">
      <c r="A343" s="2" t="s">
        <v>478</v>
      </c>
      <c r="B343" s="6" t="s">
        <v>29</v>
      </c>
      <c r="C343" s="7">
        <v>45302</v>
      </c>
      <c r="D343" s="7" t="s">
        <v>78</v>
      </c>
      <c r="E343" s="4" t="s">
        <v>111</v>
      </c>
      <c r="F343" s="4" t="s">
        <v>121</v>
      </c>
      <c r="G343" s="8">
        <v>4203</v>
      </c>
      <c r="H343" s="8" t="s">
        <v>137</v>
      </c>
      <c r="I343" s="3">
        <f>IF($H343="A VISTA", C343 + CADASTROS!$B$3, IF($H343="1+1", C343 + CADASTROS!$B$4, IF(H343="1+2", C343 + CADASTROS!$B$5, IF(H343="1+3", C343 + CADASTROS!$B$6, ""))))</f>
        <v>45303</v>
      </c>
      <c r="J343" s="8">
        <f t="shared" si="20"/>
        <v>1401</v>
      </c>
      <c r="K343" s="3">
        <f>IF($L343&lt;&gt;"", IF($H343="A VISTA", "", IF($H343="1+1", $C343 + CADASTROS!$C$4, IF($H343="1+2", $C343 + CADASTROS!$C$5, IF($H343="1+3", $C343 + CADASTROS!$E$4, "")))), "")</f>
        <v>45332</v>
      </c>
      <c r="L343" s="8">
        <f t="shared" si="21"/>
        <v>1401</v>
      </c>
      <c r="M343" s="3">
        <f>IF($N343&lt;&gt;"", IF($H343="A VISTA", "", IF($H343="1+1", $C343 + CADASTROS!$C$4, IF($H343="1+2", $C343 + CADASTROS!$D$5, IF($H343="1+3", $C343 + CADASTROS!$D$6, "")))), "")</f>
        <v>45347</v>
      </c>
      <c r="N343" s="8">
        <f t="shared" si="22"/>
        <v>1401</v>
      </c>
      <c r="O343" s="3" t="str">
        <f>IF($P343&lt;&gt;"", IF($H343="A VISTA", "", IF($H343="1+1", $C343 + CADASTROS!$C$4, IF($H343="1+2", $C343 + CADASTROS!$C$5, IF($H343="1+3", $C343 + CADASTROS!$E$6, "")))), "")</f>
        <v/>
      </c>
      <c r="P343" s="8" t="str">
        <f t="shared" si="23"/>
        <v/>
      </c>
    </row>
    <row r="344" spans="1:16">
      <c r="A344" s="2" t="s">
        <v>479</v>
      </c>
      <c r="B344" s="6" t="s">
        <v>30</v>
      </c>
      <c r="C344" s="7">
        <v>45223</v>
      </c>
      <c r="D344" s="7" t="s">
        <v>79</v>
      </c>
      <c r="E344" s="4" t="s">
        <v>111</v>
      </c>
      <c r="F344" s="4" t="s">
        <v>118</v>
      </c>
      <c r="G344" s="8">
        <v>5128</v>
      </c>
      <c r="H344" s="8" t="s">
        <v>126</v>
      </c>
      <c r="I344" s="3">
        <f>IF($H344="A VISTA", C344 + CADASTROS!$B$3, IF($H344="1+1", C344 + CADASTROS!$B$4, IF(H344="1+2", C344 + CADASTROS!$B$5, IF(H344="1+3", C344 + CADASTROS!$B$6, ""))))</f>
        <v>45224</v>
      </c>
      <c r="J344" s="8">
        <f t="shared" si="20"/>
        <v>5128</v>
      </c>
      <c r="K344" s="3" t="str">
        <f>IF($L344&lt;&gt;"", IF($H344="A VISTA", "", IF($H344="1+1", $C344 + CADASTROS!$C$4, IF($H344="1+2", $C344 + CADASTROS!$C$5, IF($H344="1+3", $C344 + CADASTROS!$E$4, "")))), "")</f>
        <v/>
      </c>
      <c r="L344" s="8" t="str">
        <f t="shared" si="21"/>
        <v/>
      </c>
      <c r="M344" s="3" t="str">
        <f>IF($N344&lt;&gt;"", IF($H344="A VISTA", "", IF($H344="1+1", $C344 + CADASTROS!$C$4, IF($H344="1+2", $C344 + CADASTROS!$D$5, IF($H344="1+3", $C344 + CADASTROS!$D$6, "")))), "")</f>
        <v/>
      </c>
      <c r="N344" s="8" t="str">
        <f t="shared" si="22"/>
        <v/>
      </c>
      <c r="O344" s="3" t="str">
        <f>IF($P344&lt;&gt;"", IF($H344="A VISTA", "", IF($H344="1+1", $C344 + CADASTROS!$C$4, IF($H344="1+2", $C344 + CADASTROS!$C$5, IF($H344="1+3", $C344 + CADASTROS!$E$6, "")))), "")</f>
        <v/>
      </c>
      <c r="P344" s="8" t="str">
        <f t="shared" si="23"/>
        <v/>
      </c>
    </row>
    <row r="345" spans="1:16">
      <c r="A345" s="2" t="s">
        <v>480</v>
      </c>
      <c r="B345" s="6" t="s">
        <v>16</v>
      </c>
      <c r="C345" s="7">
        <v>45218</v>
      </c>
      <c r="D345" s="7" t="s">
        <v>65</v>
      </c>
      <c r="E345" s="4" t="s">
        <v>110</v>
      </c>
      <c r="F345" s="4" t="s">
        <v>125</v>
      </c>
      <c r="G345" s="8">
        <v>6535</v>
      </c>
      <c r="H345" s="8" t="s">
        <v>138</v>
      </c>
      <c r="I345" s="3">
        <f>IF($H345="A VISTA", C345 + CADASTROS!$B$3, IF($H345="1+1", C345 + CADASTROS!$B$4, IF(H345="1+2", C345 + CADASTROS!$B$5, IF(H345="1+3", C345 + CADASTROS!$B$6, ""))))</f>
        <v>45219</v>
      </c>
      <c r="J345" s="8">
        <f t="shared" si="20"/>
        <v>3267.5</v>
      </c>
      <c r="K345" s="3">
        <f>IF($L345&lt;&gt;"", IF($H345="A VISTA", "", IF($H345="1+1", $C345 + CADASTROS!$C$4, IF($H345="1+2", $C345 + CADASTROS!$C$5, IF($H345="1+3", $C345 + CADASTROS!$E$4, "")))), "")</f>
        <v>45248</v>
      </c>
      <c r="L345" s="8">
        <f t="shared" si="21"/>
        <v>3267.5</v>
      </c>
      <c r="M345" s="3" t="str">
        <f>IF($N345&lt;&gt;"", IF($H345="A VISTA", "", IF($H345="1+1", $C345 + CADASTROS!$C$4, IF($H345="1+2", $C345 + CADASTROS!$D$5, IF($H345="1+3", $C345 + CADASTROS!$D$6, "")))), "")</f>
        <v/>
      </c>
      <c r="N345" s="8" t="str">
        <f t="shared" si="22"/>
        <v/>
      </c>
      <c r="O345" s="3" t="str">
        <f>IF($P345&lt;&gt;"", IF($H345="A VISTA", "", IF($H345="1+1", $C345 + CADASTROS!$C$4, IF($H345="1+2", $C345 + CADASTROS!$C$5, IF($H345="1+3", $C345 + CADASTROS!$E$6, "")))), "")</f>
        <v/>
      </c>
      <c r="P345" s="8" t="str">
        <f t="shared" si="23"/>
        <v/>
      </c>
    </row>
    <row r="346" spans="1:16">
      <c r="A346" s="2" t="s">
        <v>481</v>
      </c>
      <c r="B346" s="6" t="s">
        <v>22</v>
      </c>
      <c r="C346" s="7">
        <v>45268</v>
      </c>
      <c r="D346" s="7" t="s">
        <v>71</v>
      </c>
      <c r="E346" s="4" t="s">
        <v>111</v>
      </c>
      <c r="F346" s="4" t="s">
        <v>119</v>
      </c>
      <c r="G346" s="8">
        <v>9749</v>
      </c>
      <c r="H346" s="8" t="s">
        <v>126</v>
      </c>
      <c r="I346" s="3">
        <f>IF($H346="A VISTA", C346 + CADASTROS!$B$3, IF($H346="1+1", C346 + CADASTROS!$B$4, IF(H346="1+2", C346 + CADASTROS!$B$5, IF(H346="1+3", C346 + CADASTROS!$B$6, ""))))</f>
        <v>45269</v>
      </c>
      <c r="J346" s="8">
        <f t="shared" si="20"/>
        <v>9749</v>
      </c>
      <c r="K346" s="3" t="str">
        <f>IF($L346&lt;&gt;"", IF($H346="A VISTA", "", IF($H346="1+1", $C346 + CADASTROS!$C$4, IF($H346="1+2", $C346 + CADASTROS!$C$5, IF($H346="1+3", $C346 + CADASTROS!$E$4, "")))), "")</f>
        <v/>
      </c>
      <c r="L346" s="8" t="str">
        <f t="shared" si="21"/>
        <v/>
      </c>
      <c r="M346" s="3" t="str">
        <f>IF($N346&lt;&gt;"", IF($H346="A VISTA", "", IF($H346="1+1", $C346 + CADASTROS!$C$4, IF($H346="1+2", $C346 + CADASTROS!$D$5, IF($H346="1+3", $C346 + CADASTROS!$D$6, "")))), "")</f>
        <v/>
      </c>
      <c r="N346" s="8" t="str">
        <f t="shared" si="22"/>
        <v/>
      </c>
      <c r="O346" s="3" t="str">
        <f>IF($P346&lt;&gt;"", IF($H346="A VISTA", "", IF($H346="1+1", $C346 + CADASTROS!$C$4, IF($H346="1+2", $C346 + CADASTROS!$C$5, IF($H346="1+3", $C346 + CADASTROS!$E$6, "")))), "")</f>
        <v/>
      </c>
      <c r="P346" s="8" t="str">
        <f t="shared" si="23"/>
        <v/>
      </c>
    </row>
    <row r="347" spans="1:16">
      <c r="A347" s="2" t="s">
        <v>482</v>
      </c>
      <c r="B347" s="6" t="s">
        <v>49</v>
      </c>
      <c r="C347" s="7">
        <v>45398</v>
      </c>
      <c r="D347" s="7" t="s">
        <v>98</v>
      </c>
      <c r="E347" s="4" t="s">
        <v>110</v>
      </c>
      <c r="F347" s="4" t="s">
        <v>125</v>
      </c>
      <c r="G347" s="8">
        <v>7122</v>
      </c>
      <c r="H347" s="8" t="s">
        <v>138</v>
      </c>
      <c r="I347" s="3">
        <f>IF($H347="A VISTA", C347 + CADASTROS!$B$3, IF($H347="1+1", C347 + CADASTROS!$B$4, IF(H347="1+2", C347 + CADASTROS!$B$5, IF(H347="1+3", C347 + CADASTROS!$B$6, ""))))</f>
        <v>45399</v>
      </c>
      <c r="J347" s="8">
        <f t="shared" si="20"/>
        <v>3561</v>
      </c>
      <c r="K347" s="3">
        <f>IF($L347&lt;&gt;"", IF($H347="A VISTA", "", IF($H347="1+1", $C347 + CADASTROS!$C$4, IF($H347="1+2", $C347 + CADASTROS!$C$5, IF($H347="1+3", $C347 + CADASTROS!$E$4, "")))), "")</f>
        <v>45428</v>
      </c>
      <c r="L347" s="8">
        <f t="shared" si="21"/>
        <v>3561</v>
      </c>
      <c r="M347" s="3" t="str">
        <f>IF($N347&lt;&gt;"", IF($H347="A VISTA", "", IF($H347="1+1", $C347 + CADASTROS!$C$4, IF($H347="1+2", $C347 + CADASTROS!$D$5, IF($H347="1+3", $C347 + CADASTROS!$D$6, "")))), "")</f>
        <v/>
      </c>
      <c r="N347" s="8" t="str">
        <f t="shared" si="22"/>
        <v/>
      </c>
      <c r="O347" s="3" t="str">
        <f>IF($P347&lt;&gt;"", IF($H347="A VISTA", "", IF($H347="1+1", $C347 + CADASTROS!$C$4, IF($H347="1+2", $C347 + CADASTROS!$C$5, IF($H347="1+3", $C347 + CADASTROS!$E$6, "")))), "")</f>
        <v/>
      </c>
      <c r="P347" s="8" t="str">
        <f t="shared" si="23"/>
        <v/>
      </c>
    </row>
    <row r="348" spans="1:16">
      <c r="A348" s="2" t="s">
        <v>483</v>
      </c>
      <c r="B348" s="6" t="s">
        <v>23</v>
      </c>
      <c r="C348" s="7">
        <v>45248</v>
      </c>
      <c r="D348" s="7" t="s">
        <v>72</v>
      </c>
      <c r="E348" s="4" t="s">
        <v>110</v>
      </c>
      <c r="F348" s="4" t="s">
        <v>113</v>
      </c>
      <c r="G348" s="8">
        <v>5829</v>
      </c>
      <c r="H348" s="8" t="s">
        <v>138</v>
      </c>
      <c r="I348" s="3">
        <f>IF($H348="A VISTA", C348 + CADASTROS!$B$3, IF($H348="1+1", C348 + CADASTROS!$B$4, IF(H348="1+2", C348 + CADASTROS!$B$5, IF(H348="1+3", C348 + CADASTROS!$B$6, ""))))</f>
        <v>45249</v>
      </c>
      <c r="J348" s="8">
        <f t="shared" si="20"/>
        <v>2914.5</v>
      </c>
      <c r="K348" s="3">
        <f>IF($L348&lt;&gt;"", IF($H348="A VISTA", "", IF($H348="1+1", $C348 + CADASTROS!$C$4, IF($H348="1+2", $C348 + CADASTROS!$C$5, IF($H348="1+3", $C348 + CADASTROS!$E$4, "")))), "")</f>
        <v>45278</v>
      </c>
      <c r="L348" s="8">
        <f t="shared" si="21"/>
        <v>2914.5</v>
      </c>
      <c r="M348" s="3" t="str">
        <f>IF($N348&lt;&gt;"", IF($H348="A VISTA", "", IF($H348="1+1", $C348 + CADASTROS!$C$4, IF($H348="1+2", $C348 + CADASTROS!$D$5, IF($H348="1+3", $C348 + CADASTROS!$D$6, "")))), "")</f>
        <v/>
      </c>
      <c r="N348" s="8" t="str">
        <f t="shared" si="22"/>
        <v/>
      </c>
      <c r="O348" s="3" t="str">
        <f>IF($P348&lt;&gt;"", IF($H348="A VISTA", "", IF($H348="1+1", $C348 + CADASTROS!$C$4, IF($H348="1+2", $C348 + CADASTROS!$C$5, IF($H348="1+3", $C348 + CADASTROS!$E$6, "")))), "")</f>
        <v/>
      </c>
      <c r="P348" s="8" t="str">
        <f t="shared" si="23"/>
        <v/>
      </c>
    </row>
    <row r="349" spans="1:16">
      <c r="A349" s="2" t="s">
        <v>484</v>
      </c>
      <c r="B349" s="6" t="s">
        <v>15</v>
      </c>
      <c r="C349" s="7">
        <v>45197</v>
      </c>
      <c r="D349" s="7" t="s">
        <v>64</v>
      </c>
      <c r="E349" s="4" t="s">
        <v>112</v>
      </c>
      <c r="F349" s="4" t="s">
        <v>123</v>
      </c>
      <c r="G349" s="8">
        <v>540</v>
      </c>
      <c r="H349" s="8" t="s">
        <v>126</v>
      </c>
      <c r="I349" s="3">
        <f>IF($H349="A VISTA", C349 + CADASTROS!$B$3, IF($H349="1+1", C349 + CADASTROS!$B$4, IF(H349="1+2", C349 + CADASTROS!$B$5, IF(H349="1+3", C349 + CADASTROS!$B$6, ""))))</f>
        <v>45198</v>
      </c>
      <c r="J349" s="8">
        <f t="shared" si="20"/>
        <v>540</v>
      </c>
      <c r="K349" s="3" t="str">
        <f>IF($L349&lt;&gt;"", IF($H349="A VISTA", "", IF($H349="1+1", $C349 + CADASTROS!$C$4, IF($H349="1+2", $C349 + CADASTROS!$C$5, IF($H349="1+3", $C349 + CADASTROS!$E$4, "")))), "")</f>
        <v/>
      </c>
      <c r="L349" s="8" t="str">
        <f t="shared" si="21"/>
        <v/>
      </c>
      <c r="M349" s="3" t="str">
        <f>IF($N349&lt;&gt;"", IF($H349="A VISTA", "", IF($H349="1+1", $C349 + CADASTROS!$C$4, IF($H349="1+2", $C349 + CADASTROS!$D$5, IF($H349="1+3", $C349 + CADASTROS!$D$6, "")))), "")</f>
        <v/>
      </c>
      <c r="N349" s="8" t="str">
        <f t="shared" si="22"/>
        <v/>
      </c>
      <c r="O349" s="3" t="str">
        <f>IF($P349&lt;&gt;"", IF($H349="A VISTA", "", IF($H349="1+1", $C349 + CADASTROS!$C$4, IF($H349="1+2", $C349 + CADASTROS!$C$5, IF($H349="1+3", $C349 + CADASTROS!$E$6, "")))), "")</f>
        <v/>
      </c>
      <c r="P349" s="8" t="str">
        <f t="shared" si="23"/>
        <v/>
      </c>
    </row>
    <row r="350" spans="1:16">
      <c r="A350" s="2" t="s">
        <v>485</v>
      </c>
      <c r="B350" s="6" t="s">
        <v>59</v>
      </c>
      <c r="C350" s="7">
        <v>45176</v>
      </c>
      <c r="D350" s="7" t="s">
        <v>108</v>
      </c>
      <c r="E350" s="4" t="s">
        <v>111</v>
      </c>
      <c r="F350" s="4" t="s">
        <v>121</v>
      </c>
      <c r="G350" s="8">
        <v>8984</v>
      </c>
      <c r="H350" s="8" t="s">
        <v>138</v>
      </c>
      <c r="I350" s="3">
        <f>IF($H350="A VISTA", C350 + CADASTROS!$B$3, IF($H350="1+1", C350 + CADASTROS!$B$4, IF(H350="1+2", C350 + CADASTROS!$B$5, IF(H350="1+3", C350 + CADASTROS!$B$6, ""))))</f>
        <v>45177</v>
      </c>
      <c r="J350" s="8">
        <f t="shared" si="20"/>
        <v>4492</v>
      </c>
      <c r="K350" s="3">
        <f>IF($L350&lt;&gt;"", IF($H350="A VISTA", "", IF($H350="1+1", $C350 + CADASTROS!$C$4, IF($H350="1+2", $C350 + CADASTROS!$C$5, IF($H350="1+3", $C350 + CADASTROS!$E$4, "")))), "")</f>
        <v>45206</v>
      </c>
      <c r="L350" s="8">
        <f t="shared" si="21"/>
        <v>4492</v>
      </c>
      <c r="M350" s="3" t="str">
        <f>IF($N350&lt;&gt;"", IF($H350="A VISTA", "", IF($H350="1+1", $C350 + CADASTROS!$C$4, IF($H350="1+2", $C350 + CADASTROS!$D$5, IF($H350="1+3", $C350 + CADASTROS!$D$6, "")))), "")</f>
        <v/>
      </c>
      <c r="N350" s="8" t="str">
        <f t="shared" si="22"/>
        <v/>
      </c>
      <c r="O350" s="3" t="str">
        <f>IF($P350&lt;&gt;"", IF($H350="A VISTA", "", IF($H350="1+1", $C350 + CADASTROS!$C$4, IF($H350="1+2", $C350 + CADASTROS!$C$5, IF($H350="1+3", $C350 + CADASTROS!$E$6, "")))), "")</f>
        <v/>
      </c>
      <c r="P350" s="8" t="str">
        <f t="shared" si="23"/>
        <v/>
      </c>
    </row>
    <row r="351" spans="1:16">
      <c r="A351" s="2" t="s">
        <v>486</v>
      </c>
      <c r="B351" s="6" t="s">
        <v>27</v>
      </c>
      <c r="C351" s="7">
        <v>45202</v>
      </c>
      <c r="D351" s="7" t="s">
        <v>76</v>
      </c>
      <c r="E351" s="4" t="s">
        <v>110</v>
      </c>
      <c r="F351" s="4" t="s">
        <v>125</v>
      </c>
      <c r="G351" s="8">
        <v>6497</v>
      </c>
      <c r="H351" s="8" t="s">
        <v>126</v>
      </c>
      <c r="I351" s="3">
        <f>IF($H351="A VISTA", C351 + CADASTROS!$B$3, IF($H351="1+1", C351 + CADASTROS!$B$4, IF(H351="1+2", C351 + CADASTROS!$B$5, IF(H351="1+3", C351 + CADASTROS!$B$6, ""))))</f>
        <v>45203</v>
      </c>
      <c r="J351" s="8">
        <f t="shared" si="20"/>
        <v>6497</v>
      </c>
      <c r="K351" s="3" t="str">
        <f>IF($L351&lt;&gt;"", IF($H351="A VISTA", "", IF($H351="1+1", $C351 + CADASTROS!$C$4, IF($H351="1+2", $C351 + CADASTROS!$C$5, IF($H351="1+3", $C351 + CADASTROS!$E$4, "")))), "")</f>
        <v/>
      </c>
      <c r="L351" s="8" t="str">
        <f t="shared" si="21"/>
        <v/>
      </c>
      <c r="M351" s="3" t="str">
        <f>IF($N351&lt;&gt;"", IF($H351="A VISTA", "", IF($H351="1+1", $C351 + CADASTROS!$C$4, IF($H351="1+2", $C351 + CADASTROS!$D$5, IF($H351="1+3", $C351 + CADASTROS!$D$6, "")))), "")</f>
        <v/>
      </c>
      <c r="N351" s="8" t="str">
        <f t="shared" si="22"/>
        <v/>
      </c>
      <c r="O351" s="3" t="str">
        <f>IF($P351&lt;&gt;"", IF($H351="A VISTA", "", IF($H351="1+1", $C351 + CADASTROS!$C$4, IF($H351="1+2", $C351 + CADASTROS!$C$5, IF($H351="1+3", $C351 + CADASTROS!$E$6, "")))), "")</f>
        <v/>
      </c>
      <c r="P351" s="8" t="str">
        <f t="shared" si="23"/>
        <v/>
      </c>
    </row>
    <row r="352" spans="1:16">
      <c r="A352" s="2" t="s">
        <v>487</v>
      </c>
      <c r="B352" s="6" t="s">
        <v>14</v>
      </c>
      <c r="C352" s="7">
        <v>45461</v>
      </c>
      <c r="D352" s="7" t="s">
        <v>61</v>
      </c>
      <c r="E352" s="4" t="s">
        <v>110</v>
      </c>
      <c r="F352" s="4" t="s">
        <v>113</v>
      </c>
      <c r="G352" s="8">
        <v>758</v>
      </c>
      <c r="H352" s="8" t="s">
        <v>138</v>
      </c>
      <c r="I352" s="3">
        <f>IF($H352="A VISTA", C352 + CADASTROS!$B$3, IF($H352="1+1", C352 + CADASTROS!$B$4, IF(H352="1+2", C352 + CADASTROS!$B$5, IF(H352="1+3", C352 + CADASTROS!$B$6, ""))))</f>
        <v>45462</v>
      </c>
      <c r="J352" s="8">
        <f t="shared" si="20"/>
        <v>379</v>
      </c>
      <c r="K352" s="3">
        <f>IF($L352&lt;&gt;"", IF($H352="A VISTA", "", IF($H352="1+1", $C352 + CADASTROS!$C$4, IF($H352="1+2", $C352 + CADASTROS!$C$5, IF($H352="1+3", $C352 + CADASTROS!$E$4, "")))), "")</f>
        <v>45491</v>
      </c>
      <c r="L352" s="8">
        <f t="shared" si="21"/>
        <v>379</v>
      </c>
      <c r="M352" s="3" t="str">
        <f>IF($N352&lt;&gt;"", IF($H352="A VISTA", "", IF($H352="1+1", $C352 + CADASTROS!$C$4, IF($H352="1+2", $C352 + CADASTROS!$D$5, IF($H352="1+3", $C352 + CADASTROS!$D$6, "")))), "")</f>
        <v/>
      </c>
      <c r="N352" s="8" t="str">
        <f t="shared" si="22"/>
        <v/>
      </c>
      <c r="O352" s="3" t="str">
        <f>IF($P352&lt;&gt;"", IF($H352="A VISTA", "", IF($H352="1+1", $C352 + CADASTROS!$C$4, IF($H352="1+2", $C352 + CADASTROS!$C$5, IF($H352="1+3", $C352 + CADASTROS!$E$6, "")))), "")</f>
        <v/>
      </c>
      <c r="P352" s="8" t="str">
        <f t="shared" si="23"/>
        <v/>
      </c>
    </row>
    <row r="353" spans="1:16">
      <c r="A353" s="2" t="s">
        <v>488</v>
      </c>
      <c r="B353" s="6" t="s">
        <v>24</v>
      </c>
      <c r="C353" s="7">
        <v>45379</v>
      </c>
      <c r="D353" s="7" t="s">
        <v>73</v>
      </c>
      <c r="E353" s="4" t="s">
        <v>112</v>
      </c>
      <c r="F353" s="4" t="s">
        <v>122</v>
      </c>
      <c r="G353" s="8">
        <v>4543</v>
      </c>
      <c r="H353" s="8" t="s">
        <v>126</v>
      </c>
      <c r="I353" s="3">
        <f>IF($H353="A VISTA", C353 + CADASTROS!$B$3, IF($H353="1+1", C353 + CADASTROS!$B$4, IF(H353="1+2", C353 + CADASTROS!$B$5, IF(H353="1+3", C353 + CADASTROS!$B$6, ""))))</f>
        <v>45380</v>
      </c>
      <c r="J353" s="8">
        <f t="shared" si="20"/>
        <v>4543</v>
      </c>
      <c r="K353" s="3" t="str">
        <f>IF($L353&lt;&gt;"", IF($H353="A VISTA", "", IF($H353="1+1", $C353 + CADASTROS!$C$4, IF($H353="1+2", $C353 + CADASTROS!$C$5, IF($H353="1+3", $C353 + CADASTROS!$E$4, "")))), "")</f>
        <v/>
      </c>
      <c r="L353" s="8" t="str">
        <f t="shared" si="21"/>
        <v/>
      </c>
      <c r="M353" s="3" t="str">
        <f>IF($N353&lt;&gt;"", IF($H353="A VISTA", "", IF($H353="1+1", $C353 + CADASTROS!$C$4, IF($H353="1+2", $C353 + CADASTROS!$D$5, IF($H353="1+3", $C353 + CADASTROS!$D$6, "")))), "")</f>
        <v/>
      </c>
      <c r="N353" s="8" t="str">
        <f t="shared" si="22"/>
        <v/>
      </c>
      <c r="O353" s="3" t="str">
        <f>IF($P353&lt;&gt;"", IF($H353="A VISTA", "", IF($H353="1+1", $C353 + CADASTROS!$C$4, IF($H353="1+2", $C353 + CADASTROS!$C$5, IF($H353="1+3", $C353 + CADASTROS!$E$6, "")))), "")</f>
        <v/>
      </c>
      <c r="P353" s="8" t="str">
        <f t="shared" si="23"/>
        <v/>
      </c>
    </row>
    <row r="354" spans="1:16">
      <c r="A354" s="2" t="s">
        <v>489</v>
      </c>
      <c r="B354" s="6" t="s">
        <v>28</v>
      </c>
      <c r="C354" s="7">
        <v>45199</v>
      </c>
      <c r="D354" s="7" t="s">
        <v>77</v>
      </c>
      <c r="E354" s="4" t="s">
        <v>110</v>
      </c>
      <c r="F354" s="4" t="s">
        <v>114</v>
      </c>
      <c r="G354" s="8">
        <v>7578</v>
      </c>
      <c r="H354" s="8" t="s">
        <v>126</v>
      </c>
      <c r="I354" s="3">
        <f>IF($H354="A VISTA", C354 + CADASTROS!$B$3, IF($H354="1+1", C354 + CADASTROS!$B$4, IF(H354="1+2", C354 + CADASTROS!$B$5, IF(H354="1+3", C354 + CADASTROS!$B$6, ""))))</f>
        <v>45200</v>
      </c>
      <c r="J354" s="8">
        <f t="shared" si="20"/>
        <v>7578</v>
      </c>
      <c r="K354" s="3" t="str">
        <f>IF($L354&lt;&gt;"", IF($H354="A VISTA", "", IF($H354="1+1", $C354 + CADASTROS!$C$4, IF($H354="1+2", $C354 + CADASTROS!$C$5, IF($H354="1+3", $C354 + CADASTROS!$E$4, "")))), "")</f>
        <v/>
      </c>
      <c r="L354" s="8" t="str">
        <f t="shared" si="21"/>
        <v/>
      </c>
      <c r="M354" s="3" t="str">
        <f>IF($N354&lt;&gt;"", IF($H354="A VISTA", "", IF($H354="1+1", $C354 + CADASTROS!$C$4, IF($H354="1+2", $C354 + CADASTROS!$D$5, IF($H354="1+3", $C354 + CADASTROS!$D$6, "")))), "")</f>
        <v/>
      </c>
      <c r="N354" s="8" t="str">
        <f t="shared" si="22"/>
        <v/>
      </c>
      <c r="O354" s="3" t="str">
        <f>IF($P354&lt;&gt;"", IF($H354="A VISTA", "", IF($H354="1+1", $C354 + CADASTROS!$C$4, IF($H354="1+2", $C354 + CADASTROS!$C$5, IF($H354="1+3", $C354 + CADASTROS!$E$6, "")))), "")</f>
        <v/>
      </c>
      <c r="P354" s="8" t="str">
        <f t="shared" si="23"/>
        <v/>
      </c>
    </row>
    <row r="355" spans="1:16">
      <c r="A355" s="2" t="s">
        <v>490</v>
      </c>
      <c r="B355" s="6" t="s">
        <v>19</v>
      </c>
      <c r="C355" s="7">
        <v>45243</v>
      </c>
      <c r="D355" s="7" t="s">
        <v>68</v>
      </c>
      <c r="E355" s="4" t="s">
        <v>111</v>
      </c>
      <c r="F355" s="4" t="s">
        <v>118</v>
      </c>
      <c r="G355" s="8">
        <v>4592</v>
      </c>
      <c r="H355" s="8" t="s">
        <v>137</v>
      </c>
      <c r="I355" s="3">
        <f>IF($H355="A VISTA", C355 + CADASTROS!$B$3, IF($H355="1+1", C355 + CADASTROS!$B$4, IF(H355="1+2", C355 + CADASTROS!$B$5, IF(H355="1+3", C355 + CADASTROS!$B$6, ""))))</f>
        <v>45244</v>
      </c>
      <c r="J355" s="8">
        <f t="shared" si="20"/>
        <v>1530.6666666666667</v>
      </c>
      <c r="K355" s="3">
        <f>IF($L355&lt;&gt;"", IF($H355="A VISTA", "", IF($H355="1+1", $C355 + CADASTROS!$C$4, IF($H355="1+2", $C355 + CADASTROS!$C$5, IF($H355="1+3", $C355 + CADASTROS!$E$4, "")))), "")</f>
        <v>45273</v>
      </c>
      <c r="L355" s="8">
        <f t="shared" si="21"/>
        <v>1530.6666666666667</v>
      </c>
      <c r="M355" s="3">
        <f>IF($N355&lt;&gt;"", IF($H355="A VISTA", "", IF($H355="1+1", $C355 + CADASTROS!$C$4, IF($H355="1+2", $C355 + CADASTROS!$D$5, IF($H355="1+3", $C355 + CADASTROS!$D$6, "")))), "")</f>
        <v>45288</v>
      </c>
      <c r="N355" s="8">
        <f t="shared" si="22"/>
        <v>1530.6666666666663</v>
      </c>
      <c r="O355" s="3" t="str">
        <f>IF($P355&lt;&gt;"", IF($H355="A VISTA", "", IF($H355="1+1", $C355 + CADASTROS!$C$4, IF($H355="1+2", $C355 + CADASTROS!$C$5, IF($H355="1+3", $C355 + CADASTROS!$E$6, "")))), "")</f>
        <v/>
      </c>
      <c r="P355" s="8" t="str">
        <f t="shared" si="23"/>
        <v/>
      </c>
    </row>
    <row r="356" spans="1:16">
      <c r="A356" s="2" t="s">
        <v>491</v>
      </c>
      <c r="B356" s="6" t="s">
        <v>37</v>
      </c>
      <c r="C356" s="7">
        <v>45183</v>
      </c>
      <c r="D356" s="7" t="s">
        <v>86</v>
      </c>
      <c r="E356" s="4" t="s">
        <v>112</v>
      </c>
      <c r="F356" s="4" t="s">
        <v>123</v>
      </c>
      <c r="G356" s="8">
        <v>5792</v>
      </c>
      <c r="H356" s="8" t="s">
        <v>126</v>
      </c>
      <c r="I356" s="3">
        <f>IF($H356="A VISTA", C356 + CADASTROS!$B$3, IF($H356="1+1", C356 + CADASTROS!$B$4, IF(H356="1+2", C356 + CADASTROS!$B$5, IF(H356="1+3", C356 + CADASTROS!$B$6, ""))))</f>
        <v>45184</v>
      </c>
      <c r="J356" s="8">
        <f t="shared" si="20"/>
        <v>5792</v>
      </c>
      <c r="K356" s="3" t="str">
        <f>IF($L356&lt;&gt;"", IF($H356="A VISTA", "", IF($H356="1+1", $C356 + CADASTROS!$C$4, IF($H356="1+2", $C356 + CADASTROS!$C$5, IF($H356="1+3", $C356 + CADASTROS!$E$4, "")))), "")</f>
        <v/>
      </c>
      <c r="L356" s="8" t="str">
        <f t="shared" si="21"/>
        <v/>
      </c>
      <c r="M356" s="3" t="str">
        <f>IF($N356&lt;&gt;"", IF($H356="A VISTA", "", IF($H356="1+1", $C356 + CADASTROS!$C$4, IF($H356="1+2", $C356 + CADASTROS!$D$5, IF($H356="1+3", $C356 + CADASTROS!$D$6, "")))), "")</f>
        <v/>
      </c>
      <c r="N356" s="8" t="str">
        <f t="shared" si="22"/>
        <v/>
      </c>
      <c r="O356" s="3" t="str">
        <f>IF($P356&lt;&gt;"", IF($H356="A VISTA", "", IF($H356="1+1", $C356 + CADASTROS!$C$4, IF($H356="1+2", $C356 + CADASTROS!$C$5, IF($H356="1+3", $C356 + CADASTROS!$E$6, "")))), "")</f>
        <v/>
      </c>
      <c r="P356" s="8" t="str">
        <f t="shared" si="23"/>
        <v/>
      </c>
    </row>
    <row r="357" spans="1:16">
      <c r="A357" s="2" t="s">
        <v>492</v>
      </c>
      <c r="B357" s="6" t="s">
        <v>57</v>
      </c>
      <c r="C357" s="7">
        <v>45311</v>
      </c>
      <c r="D357" s="7" t="s">
        <v>106</v>
      </c>
      <c r="E357" s="4" t="s">
        <v>112</v>
      </c>
      <c r="F357" s="4" t="s">
        <v>122</v>
      </c>
      <c r="G357" s="8">
        <v>616</v>
      </c>
      <c r="H357" s="8" t="s">
        <v>126</v>
      </c>
      <c r="I357" s="3">
        <f>IF($H357="A VISTA", C357 + CADASTROS!$B$3, IF($H357="1+1", C357 + CADASTROS!$B$4, IF(H357="1+2", C357 + CADASTROS!$B$5, IF(H357="1+3", C357 + CADASTROS!$B$6, ""))))</f>
        <v>45312</v>
      </c>
      <c r="J357" s="8">
        <f t="shared" si="20"/>
        <v>616</v>
      </c>
      <c r="K357" s="3" t="str">
        <f>IF($L357&lt;&gt;"", IF($H357="A VISTA", "", IF($H357="1+1", $C357 + CADASTROS!$C$4, IF($H357="1+2", $C357 + CADASTROS!$C$5, IF($H357="1+3", $C357 + CADASTROS!$E$4, "")))), "")</f>
        <v/>
      </c>
      <c r="L357" s="8" t="str">
        <f t="shared" si="21"/>
        <v/>
      </c>
      <c r="M357" s="3" t="str">
        <f>IF($N357&lt;&gt;"", IF($H357="A VISTA", "", IF($H357="1+1", $C357 + CADASTROS!$C$4, IF($H357="1+2", $C357 + CADASTROS!$D$5, IF($H357="1+3", $C357 + CADASTROS!$D$6, "")))), "")</f>
        <v/>
      </c>
      <c r="N357" s="8" t="str">
        <f t="shared" si="22"/>
        <v/>
      </c>
      <c r="O357" s="3" t="str">
        <f>IF($P357&lt;&gt;"", IF($H357="A VISTA", "", IF($H357="1+1", $C357 + CADASTROS!$C$4, IF($H357="1+2", $C357 + CADASTROS!$C$5, IF($H357="1+3", $C357 + CADASTROS!$E$6, "")))), "")</f>
        <v/>
      </c>
      <c r="P357" s="8" t="str">
        <f t="shared" si="23"/>
        <v/>
      </c>
    </row>
    <row r="358" spans="1:16">
      <c r="A358" s="2" t="s">
        <v>493</v>
      </c>
      <c r="B358" s="6" t="s">
        <v>21</v>
      </c>
      <c r="C358" s="7">
        <v>45478</v>
      </c>
      <c r="D358" s="7" t="s">
        <v>70</v>
      </c>
      <c r="E358" s="4" t="s">
        <v>110</v>
      </c>
      <c r="F358" s="4" t="s">
        <v>124</v>
      </c>
      <c r="G358" s="8">
        <v>4140</v>
      </c>
      <c r="H358" s="8" t="s">
        <v>126</v>
      </c>
      <c r="I358" s="3">
        <f>IF($H358="A VISTA", C358 + CADASTROS!$B$3, IF($H358="1+1", C358 + CADASTROS!$B$4, IF(H358="1+2", C358 + CADASTROS!$B$5, IF(H358="1+3", C358 + CADASTROS!$B$6, ""))))</f>
        <v>45479</v>
      </c>
      <c r="J358" s="8">
        <f t="shared" si="20"/>
        <v>4140</v>
      </c>
      <c r="K358" s="3" t="str">
        <f>IF($L358&lt;&gt;"", IF($H358="A VISTA", "", IF($H358="1+1", $C358 + CADASTROS!$C$4, IF($H358="1+2", $C358 + CADASTROS!$C$5, IF($H358="1+3", $C358 + CADASTROS!$E$4, "")))), "")</f>
        <v/>
      </c>
      <c r="L358" s="8" t="str">
        <f t="shared" si="21"/>
        <v/>
      </c>
      <c r="M358" s="3" t="str">
        <f>IF($N358&lt;&gt;"", IF($H358="A VISTA", "", IF($H358="1+1", $C358 + CADASTROS!$C$4, IF($H358="1+2", $C358 + CADASTROS!$D$5, IF($H358="1+3", $C358 + CADASTROS!$D$6, "")))), "")</f>
        <v/>
      </c>
      <c r="N358" s="8" t="str">
        <f t="shared" si="22"/>
        <v/>
      </c>
      <c r="O358" s="3" t="str">
        <f>IF($P358&lt;&gt;"", IF($H358="A VISTA", "", IF($H358="1+1", $C358 + CADASTROS!$C$4, IF($H358="1+2", $C358 + CADASTROS!$C$5, IF($H358="1+3", $C358 + CADASTROS!$E$6, "")))), "")</f>
        <v/>
      </c>
      <c r="P358" s="8" t="str">
        <f t="shared" si="23"/>
        <v/>
      </c>
    </row>
    <row r="359" spans="1:16">
      <c r="A359" s="2" t="s">
        <v>494</v>
      </c>
      <c r="B359" s="6" t="s">
        <v>30</v>
      </c>
      <c r="C359" s="7">
        <v>45252</v>
      </c>
      <c r="D359" s="7" t="s">
        <v>79</v>
      </c>
      <c r="E359" s="4" t="s">
        <v>111</v>
      </c>
      <c r="F359" s="4" t="s">
        <v>118</v>
      </c>
      <c r="G359" s="8">
        <v>9229</v>
      </c>
      <c r="H359" s="8" t="s">
        <v>138</v>
      </c>
      <c r="I359" s="3">
        <f>IF($H359="A VISTA", C359 + CADASTROS!$B$3, IF($H359="1+1", C359 + CADASTROS!$B$4, IF(H359="1+2", C359 + CADASTROS!$B$5, IF(H359="1+3", C359 + CADASTROS!$B$6, ""))))</f>
        <v>45253</v>
      </c>
      <c r="J359" s="8">
        <f t="shared" si="20"/>
        <v>4614.5</v>
      </c>
      <c r="K359" s="3">
        <f>IF($L359&lt;&gt;"", IF($H359="A VISTA", "", IF($H359="1+1", $C359 + CADASTROS!$C$4, IF($H359="1+2", $C359 + CADASTROS!$C$5, IF($H359="1+3", $C359 + CADASTROS!$E$4, "")))), "")</f>
        <v>45282</v>
      </c>
      <c r="L359" s="8">
        <f t="shared" si="21"/>
        <v>4614.5</v>
      </c>
      <c r="M359" s="3" t="str">
        <f>IF($N359&lt;&gt;"", IF($H359="A VISTA", "", IF($H359="1+1", $C359 + CADASTROS!$C$4, IF($H359="1+2", $C359 + CADASTROS!$D$5, IF($H359="1+3", $C359 + CADASTROS!$D$6, "")))), "")</f>
        <v/>
      </c>
      <c r="N359" s="8" t="str">
        <f t="shared" si="22"/>
        <v/>
      </c>
      <c r="O359" s="3" t="str">
        <f>IF($P359&lt;&gt;"", IF($H359="A VISTA", "", IF($H359="1+1", $C359 + CADASTROS!$C$4, IF($H359="1+2", $C359 + CADASTROS!$C$5, IF($H359="1+3", $C359 + CADASTROS!$E$6, "")))), "")</f>
        <v/>
      </c>
      <c r="P359" s="8" t="str">
        <f t="shared" si="23"/>
        <v/>
      </c>
    </row>
    <row r="360" spans="1:16">
      <c r="A360" s="2" t="s">
        <v>495</v>
      </c>
      <c r="B360" s="6" t="s">
        <v>16</v>
      </c>
      <c r="C360" s="7">
        <v>45061</v>
      </c>
      <c r="D360" s="7" t="s">
        <v>65</v>
      </c>
      <c r="E360" s="4" t="s">
        <v>110</v>
      </c>
      <c r="F360" s="4" t="s">
        <v>125</v>
      </c>
      <c r="G360" s="8">
        <v>3522</v>
      </c>
      <c r="H360" s="8" t="s">
        <v>138</v>
      </c>
      <c r="I360" s="3">
        <f>IF($H360="A VISTA", C360 + CADASTROS!$B$3, IF($H360="1+1", C360 + CADASTROS!$B$4, IF(H360="1+2", C360 + CADASTROS!$B$5, IF(H360="1+3", C360 + CADASTROS!$B$6, ""))))</f>
        <v>45062</v>
      </c>
      <c r="J360" s="8">
        <f t="shared" si="20"/>
        <v>1761</v>
      </c>
      <c r="K360" s="3">
        <f>IF($L360&lt;&gt;"", IF($H360="A VISTA", "", IF($H360="1+1", $C360 + CADASTROS!$C$4, IF($H360="1+2", $C360 + CADASTROS!$C$5, IF($H360="1+3", $C360 + CADASTROS!$E$4, "")))), "")</f>
        <v>45091</v>
      </c>
      <c r="L360" s="8">
        <f t="shared" si="21"/>
        <v>1761</v>
      </c>
      <c r="M360" s="3" t="str">
        <f>IF($N360&lt;&gt;"", IF($H360="A VISTA", "", IF($H360="1+1", $C360 + CADASTROS!$C$4, IF($H360="1+2", $C360 + CADASTROS!$D$5, IF($H360="1+3", $C360 + CADASTROS!$D$6, "")))), "")</f>
        <v/>
      </c>
      <c r="N360" s="8" t="str">
        <f t="shared" si="22"/>
        <v/>
      </c>
      <c r="O360" s="3" t="str">
        <f>IF($P360&lt;&gt;"", IF($H360="A VISTA", "", IF($H360="1+1", $C360 + CADASTROS!$C$4, IF($H360="1+2", $C360 + CADASTROS!$C$5, IF($H360="1+3", $C360 + CADASTROS!$E$6, "")))), "")</f>
        <v/>
      </c>
      <c r="P360" s="8" t="str">
        <f t="shared" si="23"/>
        <v/>
      </c>
    </row>
    <row r="361" spans="1:16">
      <c r="A361" s="2" t="s">
        <v>496</v>
      </c>
      <c r="B361" s="6" t="s">
        <v>44</v>
      </c>
      <c r="C361" s="7">
        <v>45479</v>
      </c>
      <c r="D361" s="7" t="s">
        <v>93</v>
      </c>
      <c r="E361" s="4" t="s">
        <v>111</v>
      </c>
      <c r="F361" s="4" t="s">
        <v>119</v>
      </c>
      <c r="G361" s="8">
        <v>7682</v>
      </c>
      <c r="H361" s="8" t="s">
        <v>126</v>
      </c>
      <c r="I361" s="3">
        <f>IF($H361="A VISTA", C361 + CADASTROS!$B$3, IF($H361="1+1", C361 + CADASTROS!$B$4, IF(H361="1+2", C361 + CADASTROS!$B$5, IF(H361="1+3", C361 + CADASTROS!$B$6, ""))))</f>
        <v>45480</v>
      </c>
      <c r="J361" s="8">
        <f t="shared" si="20"/>
        <v>7682</v>
      </c>
      <c r="K361" s="3" t="str">
        <f>IF($L361&lt;&gt;"", IF($H361="A VISTA", "", IF($H361="1+1", $C361 + CADASTROS!$C$4, IF($H361="1+2", $C361 + CADASTROS!$C$5, IF($H361="1+3", $C361 + CADASTROS!$E$4, "")))), "")</f>
        <v/>
      </c>
      <c r="L361" s="8" t="str">
        <f t="shared" si="21"/>
        <v/>
      </c>
      <c r="M361" s="3" t="str">
        <f>IF($N361&lt;&gt;"", IF($H361="A VISTA", "", IF($H361="1+1", $C361 + CADASTROS!$C$4, IF($H361="1+2", $C361 + CADASTROS!$D$5, IF($H361="1+3", $C361 + CADASTROS!$D$6, "")))), "")</f>
        <v/>
      </c>
      <c r="N361" s="8" t="str">
        <f t="shared" si="22"/>
        <v/>
      </c>
      <c r="O361" s="3" t="str">
        <f>IF($P361&lt;&gt;"", IF($H361="A VISTA", "", IF($H361="1+1", $C361 + CADASTROS!$C$4, IF($H361="1+2", $C361 + CADASTROS!$C$5, IF($H361="1+3", $C361 + CADASTROS!$E$6, "")))), "")</f>
        <v/>
      </c>
      <c r="P361" s="8" t="str">
        <f t="shared" si="23"/>
        <v/>
      </c>
    </row>
    <row r="362" spans="1:16">
      <c r="A362" s="2" t="s">
        <v>497</v>
      </c>
      <c r="B362" s="6" t="s">
        <v>45</v>
      </c>
      <c r="C362" s="7">
        <v>45302</v>
      </c>
      <c r="D362" s="7" t="s">
        <v>94</v>
      </c>
      <c r="E362" s="4" t="s">
        <v>110</v>
      </c>
      <c r="F362" s="4" t="s">
        <v>113</v>
      </c>
      <c r="G362" s="8">
        <v>1237</v>
      </c>
      <c r="H362" s="8" t="s">
        <v>138</v>
      </c>
      <c r="I362" s="3">
        <f>IF($H362="A VISTA", C362 + CADASTROS!$B$3, IF($H362="1+1", C362 + CADASTROS!$B$4, IF(H362="1+2", C362 + CADASTROS!$B$5, IF(H362="1+3", C362 + CADASTROS!$B$6, ""))))</f>
        <v>45303</v>
      </c>
      <c r="J362" s="8">
        <f t="shared" si="20"/>
        <v>618.5</v>
      </c>
      <c r="K362" s="3">
        <f>IF($L362&lt;&gt;"", IF($H362="A VISTA", "", IF($H362="1+1", $C362 + CADASTROS!$C$4, IF($H362="1+2", $C362 + CADASTROS!$C$5, IF($H362="1+3", $C362 + CADASTROS!$E$4, "")))), "")</f>
        <v>45332</v>
      </c>
      <c r="L362" s="8">
        <f t="shared" si="21"/>
        <v>618.5</v>
      </c>
      <c r="M362" s="3" t="str">
        <f>IF($N362&lt;&gt;"", IF($H362="A VISTA", "", IF($H362="1+1", $C362 + CADASTROS!$C$4, IF($H362="1+2", $C362 + CADASTROS!$D$5, IF($H362="1+3", $C362 + CADASTROS!$D$6, "")))), "")</f>
        <v/>
      </c>
      <c r="N362" s="8" t="str">
        <f t="shared" si="22"/>
        <v/>
      </c>
      <c r="O362" s="3" t="str">
        <f>IF($P362&lt;&gt;"", IF($H362="A VISTA", "", IF($H362="1+1", $C362 + CADASTROS!$C$4, IF($H362="1+2", $C362 + CADASTROS!$C$5, IF($H362="1+3", $C362 + CADASTROS!$E$6, "")))), "")</f>
        <v/>
      </c>
      <c r="P362" s="8" t="str">
        <f t="shared" si="23"/>
        <v/>
      </c>
    </row>
    <row r="363" spans="1:16">
      <c r="A363" s="2" t="s">
        <v>498</v>
      </c>
      <c r="B363" s="6" t="s">
        <v>33</v>
      </c>
      <c r="C363" s="7">
        <v>45313</v>
      </c>
      <c r="D363" s="7" t="s">
        <v>82</v>
      </c>
      <c r="E363" s="4" t="s">
        <v>111</v>
      </c>
      <c r="F363" s="4" t="s">
        <v>119</v>
      </c>
      <c r="G363" s="8">
        <v>6432</v>
      </c>
      <c r="H363" s="8" t="s">
        <v>136</v>
      </c>
      <c r="I363" s="3">
        <f>IF($H363="A VISTA", C363 + CADASTROS!$B$3, IF($H363="1+1", C363 + CADASTROS!$B$4, IF(H363="1+2", C363 + CADASTROS!$B$5, IF(H363="1+3", C363 + CADASTROS!$B$6, ""))))</f>
        <v>45314</v>
      </c>
      <c r="J363" s="8">
        <f t="shared" si="20"/>
        <v>1608</v>
      </c>
      <c r="K363" s="3">
        <f>IF($L363&lt;&gt;"", IF($H363="A VISTA", "", IF($H363="1+1", $C363 + CADASTROS!$C$4, IF($H363="1+2", $C363 + CADASTROS!$C$5, IF($H363="1+3", $C363 + CADASTROS!$E$4, "")))), "")</f>
        <v>45313</v>
      </c>
      <c r="L363" s="8">
        <f t="shared" si="21"/>
        <v>1608</v>
      </c>
      <c r="M363" s="3">
        <f>IF($N363&lt;&gt;"", IF($H363="A VISTA", "", IF($H363="1+1", $C363 + CADASTROS!$C$4, IF($H363="1+2", $C363 + CADASTROS!$D$5, IF($H363="1+3", $C363 + CADASTROS!$D$6, "")))), "")</f>
        <v>45358</v>
      </c>
      <c r="N363" s="8">
        <f t="shared" si="22"/>
        <v>1608</v>
      </c>
      <c r="O363" s="3">
        <f>IF($P363&lt;&gt;"", IF($H363="A VISTA", "", IF($H363="1+1", $C363 + CADASTROS!$C$4, IF($H363="1+2", $C363 + CADASTROS!$C$5, IF($H363="1+3", $C363 + CADASTROS!$E$6, "")))), "")</f>
        <v>45373</v>
      </c>
      <c r="P363" s="8">
        <f t="shared" si="23"/>
        <v>1608</v>
      </c>
    </row>
    <row r="364" spans="1:16">
      <c r="A364" s="2" t="s">
        <v>499</v>
      </c>
      <c r="B364" s="6" t="s">
        <v>52</v>
      </c>
      <c r="C364" s="7">
        <v>45357</v>
      </c>
      <c r="D364" s="7" t="s">
        <v>101</v>
      </c>
      <c r="E364" s="4" t="s">
        <v>111</v>
      </c>
      <c r="F364" s="4" t="s">
        <v>118</v>
      </c>
      <c r="G364" s="8">
        <v>3676</v>
      </c>
      <c r="H364" s="8" t="s">
        <v>137</v>
      </c>
      <c r="I364" s="3">
        <f>IF($H364="A VISTA", C364 + CADASTROS!$B$3, IF($H364="1+1", C364 + CADASTROS!$B$4, IF(H364="1+2", C364 + CADASTROS!$B$5, IF(H364="1+3", C364 + CADASTROS!$B$6, ""))))</f>
        <v>45358</v>
      </c>
      <c r="J364" s="8">
        <f t="shared" si="20"/>
        <v>1225.3333333333333</v>
      </c>
      <c r="K364" s="3">
        <f>IF($L364&lt;&gt;"", IF($H364="A VISTA", "", IF($H364="1+1", $C364 + CADASTROS!$C$4, IF($H364="1+2", $C364 + CADASTROS!$C$5, IF($H364="1+3", $C364 + CADASTROS!$E$4, "")))), "")</f>
        <v>45387</v>
      </c>
      <c r="L364" s="8">
        <f t="shared" si="21"/>
        <v>1225.3333333333333</v>
      </c>
      <c r="M364" s="3">
        <f>IF($N364&lt;&gt;"", IF($H364="A VISTA", "", IF($H364="1+1", $C364 + CADASTROS!$C$4, IF($H364="1+2", $C364 + CADASTROS!$D$5, IF($H364="1+3", $C364 + CADASTROS!$D$6, "")))), "")</f>
        <v>45402</v>
      </c>
      <c r="N364" s="8">
        <f t="shared" si="22"/>
        <v>1225.3333333333337</v>
      </c>
      <c r="O364" s="3" t="str">
        <f>IF($P364&lt;&gt;"", IF($H364="A VISTA", "", IF($H364="1+1", $C364 + CADASTROS!$C$4, IF($H364="1+2", $C364 + CADASTROS!$C$5, IF($H364="1+3", $C364 + CADASTROS!$E$6, "")))), "")</f>
        <v/>
      </c>
      <c r="P364" s="8" t="str">
        <f t="shared" si="23"/>
        <v/>
      </c>
    </row>
    <row r="365" spans="1:16">
      <c r="A365" s="2" t="s">
        <v>500</v>
      </c>
      <c r="B365" s="6" t="s">
        <v>55</v>
      </c>
      <c r="C365" s="7">
        <v>45550</v>
      </c>
      <c r="D365" s="7" t="s">
        <v>104</v>
      </c>
      <c r="E365" s="4" t="s">
        <v>111</v>
      </c>
      <c r="F365" s="4" t="s">
        <v>119</v>
      </c>
      <c r="G365" s="8">
        <v>2707</v>
      </c>
      <c r="H365" s="8" t="s">
        <v>136</v>
      </c>
      <c r="I365" s="3">
        <f>IF($H365="A VISTA", C365 + CADASTROS!$B$3, IF($H365="1+1", C365 + CADASTROS!$B$4, IF(H365="1+2", C365 + CADASTROS!$B$5, IF(H365="1+3", C365 + CADASTROS!$B$6, ""))))</f>
        <v>45551</v>
      </c>
      <c r="J365" s="8">
        <f t="shared" si="20"/>
        <v>676.75</v>
      </c>
      <c r="K365" s="3">
        <f>IF($L365&lt;&gt;"", IF($H365="A VISTA", "", IF($H365="1+1", $C365 + CADASTROS!$C$4, IF($H365="1+2", $C365 + CADASTROS!$C$5, IF($H365="1+3", $C365 + CADASTROS!$E$4, "")))), "")</f>
        <v>45550</v>
      </c>
      <c r="L365" s="8">
        <f t="shared" si="21"/>
        <v>676.75</v>
      </c>
      <c r="M365" s="3">
        <f>IF($N365&lt;&gt;"", IF($H365="A VISTA", "", IF($H365="1+1", $C365 + CADASTROS!$C$4, IF($H365="1+2", $C365 + CADASTROS!$D$5, IF($H365="1+3", $C365 + CADASTROS!$D$6, "")))), "")</f>
        <v>45595</v>
      </c>
      <c r="N365" s="8">
        <f t="shared" si="22"/>
        <v>676.75</v>
      </c>
      <c r="O365" s="3">
        <f>IF($P365&lt;&gt;"", IF($H365="A VISTA", "", IF($H365="1+1", $C365 + CADASTROS!$C$4, IF($H365="1+2", $C365 + CADASTROS!$C$5, IF($H365="1+3", $C365 + CADASTROS!$E$6, "")))), "")</f>
        <v>45610</v>
      </c>
      <c r="P365" s="8">
        <f t="shared" si="23"/>
        <v>676.75</v>
      </c>
    </row>
    <row r="366" spans="1:16">
      <c r="A366" s="2" t="s">
        <v>501</v>
      </c>
      <c r="B366" s="6" t="s">
        <v>47</v>
      </c>
      <c r="C366" s="7">
        <v>45153</v>
      </c>
      <c r="D366" s="7" t="s">
        <v>96</v>
      </c>
      <c r="E366" s="4" t="s">
        <v>111</v>
      </c>
      <c r="F366" s="4" t="s">
        <v>120</v>
      </c>
      <c r="G366" s="8">
        <v>4611</v>
      </c>
      <c r="H366" s="8" t="s">
        <v>136</v>
      </c>
      <c r="I366" s="3">
        <f>IF($H366="A VISTA", C366 + CADASTROS!$B$3, IF($H366="1+1", C366 + CADASTROS!$B$4, IF(H366="1+2", C366 + CADASTROS!$B$5, IF(H366="1+3", C366 + CADASTROS!$B$6, ""))))</f>
        <v>45154</v>
      </c>
      <c r="J366" s="8">
        <f t="shared" si="20"/>
        <v>1152.75</v>
      </c>
      <c r="K366" s="3">
        <f>IF($L366&lt;&gt;"", IF($H366="A VISTA", "", IF($H366="1+1", $C366 + CADASTROS!$C$4, IF($H366="1+2", $C366 + CADASTROS!$C$5, IF($H366="1+3", $C366 + CADASTROS!$E$4, "")))), "")</f>
        <v>45153</v>
      </c>
      <c r="L366" s="8">
        <f t="shared" si="21"/>
        <v>1152.75</v>
      </c>
      <c r="M366" s="3">
        <f>IF($N366&lt;&gt;"", IF($H366="A VISTA", "", IF($H366="1+1", $C366 + CADASTROS!$C$4, IF($H366="1+2", $C366 + CADASTROS!$D$5, IF($H366="1+3", $C366 + CADASTROS!$D$6, "")))), "")</f>
        <v>45198</v>
      </c>
      <c r="N366" s="8">
        <f t="shared" si="22"/>
        <v>1152.75</v>
      </c>
      <c r="O366" s="3">
        <f>IF($P366&lt;&gt;"", IF($H366="A VISTA", "", IF($H366="1+1", $C366 + CADASTROS!$C$4, IF($H366="1+2", $C366 + CADASTROS!$C$5, IF($H366="1+3", $C366 + CADASTROS!$E$6, "")))), "")</f>
        <v>45213</v>
      </c>
      <c r="P366" s="8">
        <f t="shared" si="23"/>
        <v>1152.75</v>
      </c>
    </row>
    <row r="367" spans="1:16">
      <c r="A367" s="2" t="s">
        <v>502</v>
      </c>
      <c r="B367" s="6" t="s">
        <v>57</v>
      </c>
      <c r="C367" s="7">
        <v>45503</v>
      </c>
      <c r="D367" s="7" t="s">
        <v>106</v>
      </c>
      <c r="E367" s="4" t="s">
        <v>112</v>
      </c>
      <c r="F367" s="4" t="s">
        <v>122</v>
      </c>
      <c r="G367" s="8">
        <v>7421</v>
      </c>
      <c r="H367" s="8" t="s">
        <v>126</v>
      </c>
      <c r="I367" s="3">
        <f>IF($H367="A VISTA", C367 + CADASTROS!$B$3, IF($H367="1+1", C367 + CADASTROS!$B$4, IF(H367="1+2", C367 + CADASTROS!$B$5, IF(H367="1+3", C367 + CADASTROS!$B$6, ""))))</f>
        <v>45504</v>
      </c>
      <c r="J367" s="8">
        <f t="shared" si="20"/>
        <v>7421</v>
      </c>
      <c r="K367" s="3" t="str">
        <f>IF($L367&lt;&gt;"", IF($H367="A VISTA", "", IF($H367="1+1", $C367 + CADASTROS!$C$4, IF($H367="1+2", $C367 + CADASTROS!$C$5, IF($H367="1+3", $C367 + CADASTROS!$E$4, "")))), "")</f>
        <v/>
      </c>
      <c r="L367" s="8" t="str">
        <f t="shared" si="21"/>
        <v/>
      </c>
      <c r="M367" s="3" t="str">
        <f>IF($N367&lt;&gt;"", IF($H367="A VISTA", "", IF($H367="1+1", $C367 + CADASTROS!$C$4, IF($H367="1+2", $C367 + CADASTROS!$D$5, IF($H367="1+3", $C367 + CADASTROS!$D$6, "")))), "")</f>
        <v/>
      </c>
      <c r="N367" s="8" t="str">
        <f t="shared" si="22"/>
        <v/>
      </c>
      <c r="O367" s="3" t="str">
        <f>IF($P367&lt;&gt;"", IF($H367="A VISTA", "", IF($H367="1+1", $C367 + CADASTROS!$C$4, IF($H367="1+2", $C367 + CADASTROS!$C$5, IF($H367="1+3", $C367 + CADASTROS!$E$6, "")))), "")</f>
        <v/>
      </c>
      <c r="P367" s="8" t="str">
        <f t="shared" si="23"/>
        <v/>
      </c>
    </row>
    <row r="368" spans="1:16">
      <c r="A368" s="2" t="s">
        <v>503</v>
      </c>
      <c r="B368" s="6" t="s">
        <v>34</v>
      </c>
      <c r="C368" s="7">
        <v>45194</v>
      </c>
      <c r="D368" s="7" t="s">
        <v>83</v>
      </c>
      <c r="E368" s="4" t="s">
        <v>110</v>
      </c>
      <c r="F368" s="4" t="s">
        <v>113</v>
      </c>
      <c r="G368" s="8">
        <v>9599</v>
      </c>
      <c r="H368" s="8" t="s">
        <v>126</v>
      </c>
      <c r="I368" s="3">
        <f>IF($H368="A VISTA", C368 + CADASTROS!$B$3, IF($H368="1+1", C368 + CADASTROS!$B$4, IF(H368="1+2", C368 + CADASTROS!$B$5, IF(H368="1+3", C368 + CADASTROS!$B$6, ""))))</f>
        <v>45195</v>
      </c>
      <c r="J368" s="8">
        <f t="shared" si="20"/>
        <v>9599</v>
      </c>
      <c r="K368" s="3" t="str">
        <f>IF($L368&lt;&gt;"", IF($H368="A VISTA", "", IF($H368="1+1", $C368 + CADASTROS!$C$4, IF($H368="1+2", $C368 + CADASTROS!$C$5, IF($H368="1+3", $C368 + CADASTROS!$E$4, "")))), "")</f>
        <v/>
      </c>
      <c r="L368" s="8" t="str">
        <f t="shared" si="21"/>
        <v/>
      </c>
      <c r="M368" s="3" t="str">
        <f>IF($N368&lt;&gt;"", IF($H368="A VISTA", "", IF($H368="1+1", $C368 + CADASTROS!$C$4, IF($H368="1+2", $C368 + CADASTROS!$D$5, IF($H368="1+3", $C368 + CADASTROS!$D$6, "")))), "")</f>
        <v/>
      </c>
      <c r="N368" s="8" t="str">
        <f t="shared" si="22"/>
        <v/>
      </c>
      <c r="O368" s="3" t="str">
        <f>IF($P368&lt;&gt;"", IF($H368="A VISTA", "", IF($H368="1+1", $C368 + CADASTROS!$C$4, IF($H368="1+2", $C368 + CADASTROS!$C$5, IF($H368="1+3", $C368 + CADASTROS!$E$6, "")))), "")</f>
        <v/>
      </c>
      <c r="P368" s="8" t="str">
        <f t="shared" si="23"/>
        <v/>
      </c>
    </row>
    <row r="369" spans="1:16">
      <c r="A369" s="2" t="s">
        <v>504</v>
      </c>
      <c r="B369" s="6" t="s">
        <v>13</v>
      </c>
      <c r="C369" s="7">
        <v>45314</v>
      </c>
      <c r="D369" s="7" t="s">
        <v>63</v>
      </c>
      <c r="E369" s="4" t="s">
        <v>111</v>
      </c>
      <c r="F369" s="4" t="s">
        <v>120</v>
      </c>
      <c r="G369" s="8">
        <v>5255</v>
      </c>
      <c r="H369" s="8" t="s">
        <v>138</v>
      </c>
      <c r="I369" s="3">
        <f>IF($H369="A VISTA", C369 + CADASTROS!$B$3, IF($H369="1+1", C369 + CADASTROS!$B$4, IF(H369="1+2", C369 + CADASTROS!$B$5, IF(H369="1+3", C369 + CADASTROS!$B$6, ""))))</f>
        <v>45315</v>
      </c>
      <c r="J369" s="8">
        <f t="shared" si="20"/>
        <v>2627.5</v>
      </c>
      <c r="K369" s="3">
        <f>IF($L369&lt;&gt;"", IF($H369="A VISTA", "", IF($H369="1+1", $C369 + CADASTROS!$C$4, IF($H369="1+2", $C369 + CADASTROS!$C$5, IF($H369="1+3", $C369 + CADASTROS!$E$4, "")))), "")</f>
        <v>45344</v>
      </c>
      <c r="L369" s="8">
        <f t="shared" si="21"/>
        <v>2627.5</v>
      </c>
      <c r="M369" s="3" t="str">
        <f>IF($N369&lt;&gt;"", IF($H369="A VISTA", "", IF($H369="1+1", $C369 + CADASTROS!$C$4, IF($H369="1+2", $C369 + CADASTROS!$D$5, IF($H369="1+3", $C369 + CADASTROS!$D$6, "")))), "")</f>
        <v/>
      </c>
      <c r="N369" s="8" t="str">
        <f t="shared" si="22"/>
        <v/>
      </c>
      <c r="O369" s="3" t="str">
        <f>IF($P369&lt;&gt;"", IF($H369="A VISTA", "", IF($H369="1+1", $C369 + CADASTROS!$C$4, IF($H369="1+2", $C369 + CADASTROS!$C$5, IF($H369="1+3", $C369 + CADASTROS!$E$6, "")))), "")</f>
        <v/>
      </c>
      <c r="P369" s="8" t="str">
        <f t="shared" si="23"/>
        <v/>
      </c>
    </row>
    <row r="370" spans="1:16">
      <c r="A370" s="2" t="s">
        <v>505</v>
      </c>
      <c r="B370" s="6" t="s">
        <v>34</v>
      </c>
      <c r="C370" s="7">
        <v>45164</v>
      </c>
      <c r="D370" s="7" t="s">
        <v>83</v>
      </c>
      <c r="E370" s="4" t="s">
        <v>110</v>
      </c>
      <c r="F370" s="4" t="s">
        <v>113</v>
      </c>
      <c r="G370" s="8">
        <v>3320</v>
      </c>
      <c r="H370" s="8" t="s">
        <v>137</v>
      </c>
      <c r="I370" s="3">
        <f>IF($H370="A VISTA", C370 + CADASTROS!$B$3, IF($H370="1+1", C370 + CADASTROS!$B$4, IF(H370="1+2", C370 + CADASTROS!$B$5, IF(H370="1+3", C370 + CADASTROS!$B$6, ""))))</f>
        <v>45165</v>
      </c>
      <c r="J370" s="8">
        <f t="shared" si="20"/>
        <v>1106.6666666666667</v>
      </c>
      <c r="K370" s="3">
        <f>IF($L370&lt;&gt;"", IF($H370="A VISTA", "", IF($H370="1+1", $C370 + CADASTROS!$C$4, IF($H370="1+2", $C370 + CADASTROS!$C$5, IF($H370="1+3", $C370 + CADASTROS!$E$4, "")))), "")</f>
        <v>45194</v>
      </c>
      <c r="L370" s="8">
        <f t="shared" si="21"/>
        <v>1106.6666666666667</v>
      </c>
      <c r="M370" s="3">
        <f>IF($N370&lt;&gt;"", IF($H370="A VISTA", "", IF($H370="1+1", $C370 + CADASTROS!$C$4, IF($H370="1+2", $C370 + CADASTROS!$D$5, IF($H370="1+3", $C370 + CADASTROS!$D$6, "")))), "")</f>
        <v>45209</v>
      </c>
      <c r="N370" s="8">
        <f t="shared" si="22"/>
        <v>1106.6666666666663</v>
      </c>
      <c r="O370" s="3" t="str">
        <f>IF($P370&lt;&gt;"", IF($H370="A VISTA", "", IF($H370="1+1", $C370 + CADASTROS!$C$4, IF($H370="1+2", $C370 + CADASTROS!$C$5, IF($H370="1+3", $C370 + CADASTROS!$E$6, "")))), "")</f>
        <v/>
      </c>
      <c r="P370" s="8" t="str">
        <f t="shared" si="23"/>
        <v/>
      </c>
    </row>
    <row r="371" spans="1:16">
      <c r="A371" s="2" t="s">
        <v>506</v>
      </c>
      <c r="B371" s="6" t="s">
        <v>45</v>
      </c>
      <c r="C371" s="7">
        <v>45041</v>
      </c>
      <c r="D371" s="7" t="s">
        <v>94</v>
      </c>
      <c r="E371" s="4" t="s">
        <v>110</v>
      </c>
      <c r="F371" s="4" t="s">
        <v>113</v>
      </c>
      <c r="G371" s="8">
        <v>7447</v>
      </c>
      <c r="H371" s="8" t="s">
        <v>126</v>
      </c>
      <c r="I371" s="3">
        <f>IF($H371="A VISTA", C371 + CADASTROS!$B$3, IF($H371="1+1", C371 + CADASTROS!$B$4, IF(H371="1+2", C371 + CADASTROS!$B$5, IF(H371="1+3", C371 + CADASTROS!$B$6, ""))))</f>
        <v>45042</v>
      </c>
      <c r="J371" s="8">
        <f t="shared" si="20"/>
        <v>7447</v>
      </c>
      <c r="K371" s="3" t="str">
        <f>IF($L371&lt;&gt;"", IF($H371="A VISTA", "", IF($H371="1+1", $C371 + CADASTROS!$C$4, IF($H371="1+2", $C371 + CADASTROS!$C$5, IF($H371="1+3", $C371 + CADASTROS!$E$4, "")))), "")</f>
        <v/>
      </c>
      <c r="L371" s="8" t="str">
        <f t="shared" si="21"/>
        <v/>
      </c>
      <c r="M371" s="3" t="str">
        <f>IF($N371&lt;&gt;"", IF($H371="A VISTA", "", IF($H371="1+1", $C371 + CADASTROS!$C$4, IF($H371="1+2", $C371 + CADASTROS!$D$5, IF($H371="1+3", $C371 + CADASTROS!$D$6, "")))), "")</f>
        <v/>
      </c>
      <c r="N371" s="8" t="str">
        <f t="shared" si="22"/>
        <v/>
      </c>
      <c r="O371" s="3" t="str">
        <f>IF($P371&lt;&gt;"", IF($H371="A VISTA", "", IF($H371="1+1", $C371 + CADASTROS!$C$4, IF($H371="1+2", $C371 + CADASTROS!$C$5, IF($H371="1+3", $C371 + CADASTROS!$E$6, "")))), "")</f>
        <v/>
      </c>
      <c r="P371" s="8" t="str">
        <f t="shared" si="23"/>
        <v/>
      </c>
    </row>
    <row r="372" spans="1:16">
      <c r="A372" s="2" t="s">
        <v>507</v>
      </c>
      <c r="B372" s="6" t="s">
        <v>48</v>
      </c>
      <c r="C372" s="7">
        <v>45516</v>
      </c>
      <c r="D372" s="7" t="s">
        <v>97</v>
      </c>
      <c r="E372" s="4" t="s">
        <v>112</v>
      </c>
      <c r="F372" s="4" t="s">
        <v>123</v>
      </c>
      <c r="G372" s="8">
        <v>3383</v>
      </c>
      <c r="H372" s="8" t="s">
        <v>126</v>
      </c>
      <c r="I372" s="3">
        <f>IF($H372="A VISTA", C372 + CADASTROS!$B$3, IF($H372="1+1", C372 + CADASTROS!$B$4, IF(H372="1+2", C372 + CADASTROS!$B$5, IF(H372="1+3", C372 + CADASTROS!$B$6, ""))))</f>
        <v>45517</v>
      </c>
      <c r="J372" s="8">
        <f t="shared" si="20"/>
        <v>3383</v>
      </c>
      <c r="K372" s="3" t="str">
        <f>IF($L372&lt;&gt;"", IF($H372="A VISTA", "", IF($H372="1+1", $C372 + CADASTROS!$C$4, IF($H372="1+2", $C372 + CADASTROS!$C$5, IF($H372="1+3", $C372 + CADASTROS!$E$4, "")))), "")</f>
        <v/>
      </c>
      <c r="L372" s="8" t="str">
        <f t="shared" si="21"/>
        <v/>
      </c>
      <c r="M372" s="3" t="str">
        <f>IF($N372&lt;&gt;"", IF($H372="A VISTA", "", IF($H372="1+1", $C372 + CADASTROS!$C$4, IF($H372="1+2", $C372 + CADASTROS!$D$5, IF($H372="1+3", $C372 + CADASTROS!$D$6, "")))), "")</f>
        <v/>
      </c>
      <c r="N372" s="8" t="str">
        <f t="shared" si="22"/>
        <v/>
      </c>
      <c r="O372" s="3" t="str">
        <f>IF($P372&lt;&gt;"", IF($H372="A VISTA", "", IF($H372="1+1", $C372 + CADASTROS!$C$4, IF($H372="1+2", $C372 + CADASTROS!$C$5, IF($H372="1+3", $C372 + CADASTROS!$E$6, "")))), "")</f>
        <v/>
      </c>
      <c r="P372" s="8" t="str">
        <f t="shared" si="23"/>
        <v/>
      </c>
    </row>
    <row r="373" spans="1:16">
      <c r="A373" s="2" t="s">
        <v>508</v>
      </c>
      <c r="B373" s="6" t="s">
        <v>16</v>
      </c>
      <c r="C373" s="7">
        <v>45319</v>
      </c>
      <c r="D373" s="7" t="s">
        <v>65</v>
      </c>
      <c r="E373" s="4" t="s">
        <v>110</v>
      </c>
      <c r="F373" s="4" t="s">
        <v>125</v>
      </c>
      <c r="G373" s="8">
        <v>4137</v>
      </c>
      <c r="H373" s="8" t="s">
        <v>136</v>
      </c>
      <c r="I373" s="3">
        <f>IF($H373="A VISTA", C373 + CADASTROS!$B$3, IF($H373="1+1", C373 + CADASTROS!$B$4, IF(H373="1+2", C373 + CADASTROS!$B$5, IF(H373="1+3", C373 + CADASTROS!$B$6, ""))))</f>
        <v>45320</v>
      </c>
      <c r="J373" s="8">
        <f t="shared" si="20"/>
        <v>1034.25</v>
      </c>
      <c r="K373" s="3">
        <f>IF($L373&lt;&gt;"", IF($H373="A VISTA", "", IF($H373="1+1", $C373 + CADASTROS!$C$4, IF($H373="1+2", $C373 + CADASTROS!$C$5, IF($H373="1+3", $C373 + CADASTROS!$E$4, "")))), "")</f>
        <v>45319</v>
      </c>
      <c r="L373" s="8">
        <f t="shared" si="21"/>
        <v>1034.25</v>
      </c>
      <c r="M373" s="3">
        <f>IF($N373&lt;&gt;"", IF($H373="A VISTA", "", IF($H373="1+1", $C373 + CADASTROS!$C$4, IF($H373="1+2", $C373 + CADASTROS!$D$5, IF($H373="1+3", $C373 + CADASTROS!$D$6, "")))), "")</f>
        <v>45364</v>
      </c>
      <c r="N373" s="8">
        <f t="shared" si="22"/>
        <v>1034.25</v>
      </c>
      <c r="O373" s="3">
        <f>IF($P373&lt;&gt;"", IF($H373="A VISTA", "", IF($H373="1+1", $C373 + CADASTROS!$C$4, IF($H373="1+2", $C373 + CADASTROS!$C$5, IF($H373="1+3", $C373 + CADASTROS!$E$6, "")))), "")</f>
        <v>45379</v>
      </c>
      <c r="P373" s="8">
        <f t="shared" si="23"/>
        <v>1034.25</v>
      </c>
    </row>
    <row r="374" spans="1:16">
      <c r="A374" s="2" t="s">
        <v>509</v>
      </c>
      <c r="B374" s="6" t="s">
        <v>17</v>
      </c>
      <c r="C374" s="7">
        <v>45095</v>
      </c>
      <c r="D374" s="7" t="s">
        <v>66</v>
      </c>
      <c r="E374" s="4" t="s">
        <v>110</v>
      </c>
      <c r="F374" s="4" t="s">
        <v>114</v>
      </c>
      <c r="G374" s="8">
        <v>9391</v>
      </c>
      <c r="H374" s="8" t="s">
        <v>126</v>
      </c>
      <c r="I374" s="3">
        <f>IF($H374="A VISTA", C374 + CADASTROS!$B$3, IF($H374="1+1", C374 + CADASTROS!$B$4, IF(H374="1+2", C374 + CADASTROS!$B$5, IF(H374="1+3", C374 + CADASTROS!$B$6, ""))))</f>
        <v>45096</v>
      </c>
      <c r="J374" s="8">
        <f t="shared" si="20"/>
        <v>9391</v>
      </c>
      <c r="K374" s="3" t="str">
        <f>IF($L374&lt;&gt;"", IF($H374="A VISTA", "", IF($H374="1+1", $C374 + CADASTROS!$C$4, IF($H374="1+2", $C374 + CADASTROS!$C$5, IF($H374="1+3", $C374 + CADASTROS!$E$4, "")))), "")</f>
        <v/>
      </c>
      <c r="L374" s="8" t="str">
        <f t="shared" si="21"/>
        <v/>
      </c>
      <c r="M374" s="3" t="str">
        <f>IF($N374&lt;&gt;"", IF($H374="A VISTA", "", IF($H374="1+1", $C374 + CADASTROS!$C$4, IF($H374="1+2", $C374 + CADASTROS!$D$5, IF($H374="1+3", $C374 + CADASTROS!$D$6, "")))), "")</f>
        <v/>
      </c>
      <c r="N374" s="8" t="str">
        <f t="shared" si="22"/>
        <v/>
      </c>
      <c r="O374" s="3" t="str">
        <f>IF($P374&lt;&gt;"", IF($H374="A VISTA", "", IF($H374="1+1", $C374 + CADASTROS!$C$4, IF($H374="1+2", $C374 + CADASTROS!$C$5, IF($H374="1+3", $C374 + CADASTROS!$E$6, "")))), "")</f>
        <v/>
      </c>
      <c r="P374" s="8" t="str">
        <f t="shared" si="23"/>
        <v/>
      </c>
    </row>
    <row r="375" spans="1:16">
      <c r="A375" s="2" t="s">
        <v>510</v>
      </c>
      <c r="B375" s="6" t="s">
        <v>12</v>
      </c>
      <c r="C375" s="7">
        <v>45061</v>
      </c>
      <c r="D375" s="7" t="s">
        <v>62</v>
      </c>
      <c r="E375" s="4" t="s">
        <v>112</v>
      </c>
      <c r="F375" s="4" t="s">
        <v>122</v>
      </c>
      <c r="G375" s="8">
        <v>8548</v>
      </c>
      <c r="H375" s="8" t="s">
        <v>126</v>
      </c>
      <c r="I375" s="3">
        <f>IF($H375="A VISTA", C375 + CADASTROS!$B$3, IF($H375="1+1", C375 + CADASTROS!$B$4, IF(H375="1+2", C375 + CADASTROS!$B$5, IF(H375="1+3", C375 + CADASTROS!$B$6, ""))))</f>
        <v>45062</v>
      </c>
      <c r="J375" s="8">
        <f t="shared" si="20"/>
        <v>8548</v>
      </c>
      <c r="K375" s="3" t="str">
        <f>IF($L375&lt;&gt;"", IF($H375="A VISTA", "", IF($H375="1+1", $C375 + CADASTROS!$C$4, IF($H375="1+2", $C375 + CADASTROS!$C$5, IF($H375="1+3", $C375 + CADASTROS!$E$4, "")))), "")</f>
        <v/>
      </c>
      <c r="L375" s="8" t="str">
        <f t="shared" si="21"/>
        <v/>
      </c>
      <c r="M375" s="3" t="str">
        <f>IF($N375&lt;&gt;"", IF($H375="A VISTA", "", IF($H375="1+1", $C375 + CADASTROS!$C$4, IF($H375="1+2", $C375 + CADASTROS!$D$5, IF($H375="1+3", $C375 + CADASTROS!$D$6, "")))), "")</f>
        <v/>
      </c>
      <c r="N375" s="8" t="str">
        <f t="shared" si="22"/>
        <v/>
      </c>
      <c r="O375" s="3" t="str">
        <f>IF($P375&lt;&gt;"", IF($H375="A VISTA", "", IF($H375="1+1", $C375 + CADASTROS!$C$4, IF($H375="1+2", $C375 + CADASTROS!$C$5, IF($H375="1+3", $C375 + CADASTROS!$E$6, "")))), "")</f>
        <v/>
      </c>
      <c r="P375" s="8" t="str">
        <f t="shared" si="23"/>
        <v/>
      </c>
    </row>
    <row r="376" spans="1:16">
      <c r="A376" s="2" t="s">
        <v>511</v>
      </c>
      <c r="B376" s="6" t="s">
        <v>57</v>
      </c>
      <c r="C376" s="7">
        <v>45122</v>
      </c>
      <c r="D376" s="7" t="s">
        <v>106</v>
      </c>
      <c r="E376" s="4" t="s">
        <v>112</v>
      </c>
      <c r="F376" s="4" t="s">
        <v>122</v>
      </c>
      <c r="G376" s="8">
        <v>8952</v>
      </c>
      <c r="H376" s="8" t="s">
        <v>126</v>
      </c>
      <c r="I376" s="3">
        <f>IF($H376="A VISTA", C376 + CADASTROS!$B$3, IF($H376="1+1", C376 + CADASTROS!$B$4, IF(H376="1+2", C376 + CADASTROS!$B$5, IF(H376="1+3", C376 + CADASTROS!$B$6, ""))))</f>
        <v>45123</v>
      </c>
      <c r="J376" s="8">
        <f t="shared" si="20"/>
        <v>8952</v>
      </c>
      <c r="K376" s="3" t="str">
        <f>IF($L376&lt;&gt;"", IF($H376="A VISTA", "", IF($H376="1+1", $C376 + CADASTROS!$C$4, IF($H376="1+2", $C376 + CADASTROS!$C$5, IF($H376="1+3", $C376 + CADASTROS!$E$4, "")))), "")</f>
        <v/>
      </c>
      <c r="L376" s="8" t="str">
        <f t="shared" si="21"/>
        <v/>
      </c>
      <c r="M376" s="3" t="str">
        <f>IF($N376&lt;&gt;"", IF($H376="A VISTA", "", IF($H376="1+1", $C376 + CADASTROS!$C$4, IF($H376="1+2", $C376 + CADASTROS!$D$5, IF($H376="1+3", $C376 + CADASTROS!$D$6, "")))), "")</f>
        <v/>
      </c>
      <c r="N376" s="8" t="str">
        <f t="shared" si="22"/>
        <v/>
      </c>
      <c r="O376" s="3" t="str">
        <f>IF($P376&lt;&gt;"", IF($H376="A VISTA", "", IF($H376="1+1", $C376 + CADASTROS!$C$4, IF($H376="1+2", $C376 + CADASTROS!$C$5, IF($H376="1+3", $C376 + CADASTROS!$E$6, "")))), "")</f>
        <v/>
      </c>
      <c r="P376" s="8" t="str">
        <f t="shared" si="23"/>
        <v/>
      </c>
    </row>
    <row r="377" spans="1:16">
      <c r="A377" s="2" t="s">
        <v>512</v>
      </c>
      <c r="B377" s="6" t="s">
        <v>50</v>
      </c>
      <c r="C377" s="7">
        <v>45364</v>
      </c>
      <c r="D377" s="7" t="s">
        <v>99</v>
      </c>
      <c r="E377" s="4" t="s">
        <v>110</v>
      </c>
      <c r="F377" s="4" t="s">
        <v>114</v>
      </c>
      <c r="G377" s="8">
        <v>2638</v>
      </c>
      <c r="H377" s="8" t="s">
        <v>136</v>
      </c>
      <c r="I377" s="3">
        <f>IF($H377="A VISTA", C377 + CADASTROS!$B$3, IF($H377="1+1", C377 + CADASTROS!$B$4, IF(H377="1+2", C377 + CADASTROS!$B$5, IF(H377="1+3", C377 + CADASTROS!$B$6, ""))))</f>
        <v>45365</v>
      </c>
      <c r="J377" s="8">
        <f t="shared" si="20"/>
        <v>659.5</v>
      </c>
      <c r="K377" s="3">
        <f>IF($L377&lt;&gt;"", IF($H377="A VISTA", "", IF($H377="1+1", $C377 + CADASTROS!$C$4, IF($H377="1+2", $C377 + CADASTROS!$C$5, IF($H377="1+3", $C377 + CADASTROS!$E$4, "")))), "")</f>
        <v>45364</v>
      </c>
      <c r="L377" s="8">
        <f t="shared" si="21"/>
        <v>659.5</v>
      </c>
      <c r="M377" s="3">
        <f>IF($N377&lt;&gt;"", IF($H377="A VISTA", "", IF($H377="1+1", $C377 + CADASTROS!$C$4, IF($H377="1+2", $C377 + CADASTROS!$D$5, IF($H377="1+3", $C377 + CADASTROS!$D$6, "")))), "")</f>
        <v>45409</v>
      </c>
      <c r="N377" s="8">
        <f t="shared" si="22"/>
        <v>659.5</v>
      </c>
      <c r="O377" s="3">
        <f>IF($P377&lt;&gt;"", IF($H377="A VISTA", "", IF($H377="1+1", $C377 + CADASTROS!$C$4, IF($H377="1+2", $C377 + CADASTROS!$C$5, IF($H377="1+3", $C377 + CADASTROS!$E$6, "")))), "")</f>
        <v>45424</v>
      </c>
      <c r="P377" s="8">
        <f t="shared" si="23"/>
        <v>659.5</v>
      </c>
    </row>
    <row r="378" spans="1:16">
      <c r="A378" s="2" t="s">
        <v>513</v>
      </c>
      <c r="B378" s="6" t="s">
        <v>36</v>
      </c>
      <c r="C378" s="7">
        <v>45218</v>
      </c>
      <c r="D378" s="7" t="s">
        <v>85</v>
      </c>
      <c r="E378" s="4" t="s">
        <v>111</v>
      </c>
      <c r="F378" s="4" t="s">
        <v>120</v>
      </c>
      <c r="G378" s="8">
        <v>5176</v>
      </c>
      <c r="H378" s="8" t="s">
        <v>138</v>
      </c>
      <c r="I378" s="3">
        <f>IF($H378="A VISTA", C378 + CADASTROS!$B$3, IF($H378="1+1", C378 + CADASTROS!$B$4, IF(H378="1+2", C378 + CADASTROS!$B$5, IF(H378="1+3", C378 + CADASTROS!$B$6, ""))))</f>
        <v>45219</v>
      </c>
      <c r="J378" s="8">
        <f t="shared" si="20"/>
        <v>2588</v>
      </c>
      <c r="K378" s="3">
        <f>IF($L378&lt;&gt;"", IF($H378="A VISTA", "", IF($H378="1+1", $C378 + CADASTROS!$C$4, IF($H378="1+2", $C378 + CADASTROS!$C$5, IF($H378="1+3", $C378 + CADASTROS!$E$4, "")))), "")</f>
        <v>45248</v>
      </c>
      <c r="L378" s="8">
        <f t="shared" si="21"/>
        <v>2588</v>
      </c>
      <c r="M378" s="3" t="str">
        <f>IF($N378&lt;&gt;"", IF($H378="A VISTA", "", IF($H378="1+1", $C378 + CADASTROS!$C$4, IF($H378="1+2", $C378 + CADASTROS!$D$5, IF($H378="1+3", $C378 + CADASTROS!$D$6, "")))), "")</f>
        <v/>
      </c>
      <c r="N378" s="8" t="str">
        <f t="shared" si="22"/>
        <v/>
      </c>
      <c r="O378" s="3" t="str">
        <f>IF($P378&lt;&gt;"", IF($H378="A VISTA", "", IF($H378="1+1", $C378 + CADASTROS!$C$4, IF($H378="1+2", $C378 + CADASTROS!$C$5, IF($H378="1+3", $C378 + CADASTROS!$E$6, "")))), "")</f>
        <v/>
      </c>
      <c r="P378" s="8" t="str">
        <f t="shared" si="23"/>
        <v/>
      </c>
    </row>
    <row r="379" spans="1:16">
      <c r="A379" s="2" t="s">
        <v>514</v>
      </c>
      <c r="B379" s="6" t="s">
        <v>12</v>
      </c>
      <c r="C379" s="7">
        <v>45145</v>
      </c>
      <c r="D379" s="7" t="s">
        <v>62</v>
      </c>
      <c r="E379" s="4" t="s">
        <v>112</v>
      </c>
      <c r="F379" s="4" t="s">
        <v>122</v>
      </c>
      <c r="G379" s="8">
        <v>7900</v>
      </c>
      <c r="H379" s="8" t="s">
        <v>126</v>
      </c>
      <c r="I379" s="3">
        <f>IF($H379="A VISTA", C379 + CADASTROS!$B$3, IF($H379="1+1", C379 + CADASTROS!$B$4, IF(H379="1+2", C379 + CADASTROS!$B$5, IF(H379="1+3", C379 + CADASTROS!$B$6, ""))))</f>
        <v>45146</v>
      </c>
      <c r="J379" s="8">
        <f t="shared" si="20"/>
        <v>7900</v>
      </c>
      <c r="K379" s="3" t="str">
        <f>IF($L379&lt;&gt;"", IF($H379="A VISTA", "", IF($H379="1+1", $C379 + CADASTROS!$C$4, IF($H379="1+2", $C379 + CADASTROS!$C$5, IF($H379="1+3", $C379 + CADASTROS!$E$4, "")))), "")</f>
        <v/>
      </c>
      <c r="L379" s="8" t="str">
        <f t="shared" si="21"/>
        <v/>
      </c>
      <c r="M379" s="3" t="str">
        <f>IF($N379&lt;&gt;"", IF($H379="A VISTA", "", IF($H379="1+1", $C379 + CADASTROS!$C$4, IF($H379="1+2", $C379 + CADASTROS!$D$5, IF($H379="1+3", $C379 + CADASTROS!$D$6, "")))), "")</f>
        <v/>
      </c>
      <c r="N379" s="8" t="str">
        <f t="shared" si="22"/>
        <v/>
      </c>
      <c r="O379" s="3" t="str">
        <f>IF($P379&lt;&gt;"", IF($H379="A VISTA", "", IF($H379="1+1", $C379 + CADASTROS!$C$4, IF($H379="1+2", $C379 + CADASTROS!$C$5, IF($H379="1+3", $C379 + CADASTROS!$E$6, "")))), "")</f>
        <v/>
      </c>
      <c r="P379" s="8" t="str">
        <f t="shared" si="23"/>
        <v/>
      </c>
    </row>
    <row r="380" spans="1:16">
      <c r="A380" s="2" t="s">
        <v>515</v>
      </c>
      <c r="B380" s="6" t="s">
        <v>42</v>
      </c>
      <c r="C380" s="7">
        <v>45159</v>
      </c>
      <c r="D380" s="7" t="s">
        <v>91</v>
      </c>
      <c r="E380" s="4" t="s">
        <v>111</v>
      </c>
      <c r="F380" s="4" t="s">
        <v>117</v>
      </c>
      <c r="G380" s="8">
        <v>7627</v>
      </c>
      <c r="H380" s="8" t="s">
        <v>137</v>
      </c>
      <c r="I380" s="3">
        <f>IF($H380="A VISTA", C380 + CADASTROS!$B$3, IF($H380="1+1", C380 + CADASTROS!$B$4, IF(H380="1+2", C380 + CADASTROS!$B$5, IF(H380="1+3", C380 + CADASTROS!$B$6, ""))))</f>
        <v>45160</v>
      </c>
      <c r="J380" s="8">
        <f t="shared" si="20"/>
        <v>2542.3333333333335</v>
      </c>
      <c r="K380" s="3">
        <f>IF($L380&lt;&gt;"", IF($H380="A VISTA", "", IF($H380="1+1", $C380 + CADASTROS!$C$4, IF($H380="1+2", $C380 + CADASTROS!$C$5, IF($H380="1+3", $C380 + CADASTROS!$E$4, "")))), "")</f>
        <v>45189</v>
      </c>
      <c r="L380" s="8">
        <f t="shared" si="21"/>
        <v>2542.3333333333335</v>
      </c>
      <c r="M380" s="3">
        <f>IF($N380&lt;&gt;"", IF($H380="A VISTA", "", IF($H380="1+1", $C380 + CADASTROS!$C$4, IF($H380="1+2", $C380 + CADASTROS!$D$5, IF($H380="1+3", $C380 + CADASTROS!$D$6, "")))), "")</f>
        <v>45204</v>
      </c>
      <c r="N380" s="8">
        <f t="shared" si="22"/>
        <v>2542.3333333333326</v>
      </c>
      <c r="O380" s="3" t="str">
        <f>IF($P380&lt;&gt;"", IF($H380="A VISTA", "", IF($H380="1+1", $C380 + CADASTROS!$C$4, IF($H380="1+2", $C380 + CADASTROS!$C$5, IF($H380="1+3", $C380 + CADASTROS!$E$6, "")))), "")</f>
        <v/>
      </c>
      <c r="P380" s="8" t="str">
        <f t="shared" si="23"/>
        <v/>
      </c>
    </row>
    <row r="381" spans="1:16">
      <c r="A381" s="2" t="s">
        <v>516</v>
      </c>
      <c r="B381" s="6" t="s">
        <v>57</v>
      </c>
      <c r="C381" s="7">
        <v>45283</v>
      </c>
      <c r="D381" s="7" t="s">
        <v>106</v>
      </c>
      <c r="E381" s="4" t="s">
        <v>112</v>
      </c>
      <c r="F381" s="4" t="s">
        <v>122</v>
      </c>
      <c r="G381" s="8">
        <v>1758</v>
      </c>
      <c r="H381" s="8" t="s">
        <v>126</v>
      </c>
      <c r="I381" s="3">
        <f>IF($H381="A VISTA", C381 + CADASTROS!$B$3, IF($H381="1+1", C381 + CADASTROS!$B$4, IF(H381="1+2", C381 + CADASTROS!$B$5, IF(H381="1+3", C381 + CADASTROS!$B$6, ""))))</f>
        <v>45284</v>
      </c>
      <c r="J381" s="8">
        <f t="shared" si="20"/>
        <v>1758</v>
      </c>
      <c r="K381" s="3" t="str">
        <f>IF($L381&lt;&gt;"", IF($H381="A VISTA", "", IF($H381="1+1", $C381 + CADASTROS!$C$4, IF($H381="1+2", $C381 + CADASTROS!$C$5, IF($H381="1+3", $C381 + CADASTROS!$E$4, "")))), "")</f>
        <v/>
      </c>
      <c r="L381" s="8" t="str">
        <f t="shared" si="21"/>
        <v/>
      </c>
      <c r="M381" s="3" t="str">
        <f>IF($N381&lt;&gt;"", IF($H381="A VISTA", "", IF($H381="1+1", $C381 + CADASTROS!$C$4, IF($H381="1+2", $C381 + CADASTROS!$D$5, IF($H381="1+3", $C381 + CADASTROS!$D$6, "")))), "")</f>
        <v/>
      </c>
      <c r="N381" s="8" t="str">
        <f t="shared" si="22"/>
        <v/>
      </c>
      <c r="O381" s="3" t="str">
        <f>IF($P381&lt;&gt;"", IF($H381="A VISTA", "", IF($H381="1+1", $C381 + CADASTROS!$C$4, IF($H381="1+2", $C381 + CADASTROS!$C$5, IF($H381="1+3", $C381 + CADASTROS!$E$6, "")))), "")</f>
        <v/>
      </c>
      <c r="P381" s="8" t="str">
        <f t="shared" si="23"/>
        <v/>
      </c>
    </row>
    <row r="382" spans="1:16">
      <c r="A382" s="2" t="s">
        <v>517</v>
      </c>
      <c r="B382" s="6" t="s">
        <v>48</v>
      </c>
      <c r="C382" s="7">
        <v>45297</v>
      </c>
      <c r="D382" s="7" t="s">
        <v>97</v>
      </c>
      <c r="E382" s="4" t="s">
        <v>112</v>
      </c>
      <c r="F382" s="4" t="s">
        <v>123</v>
      </c>
      <c r="G382" s="8">
        <v>5753</v>
      </c>
      <c r="H382" s="8" t="s">
        <v>126</v>
      </c>
      <c r="I382" s="3">
        <f>IF($H382="A VISTA", C382 + CADASTROS!$B$3, IF($H382="1+1", C382 + CADASTROS!$B$4, IF(H382="1+2", C382 + CADASTROS!$B$5, IF(H382="1+3", C382 + CADASTROS!$B$6, ""))))</f>
        <v>45298</v>
      </c>
      <c r="J382" s="8">
        <f t="shared" si="20"/>
        <v>5753</v>
      </c>
      <c r="K382" s="3" t="str">
        <f>IF($L382&lt;&gt;"", IF($H382="A VISTA", "", IF($H382="1+1", $C382 + CADASTROS!$C$4, IF($H382="1+2", $C382 + CADASTROS!$C$5, IF($H382="1+3", $C382 + CADASTROS!$E$4, "")))), "")</f>
        <v/>
      </c>
      <c r="L382" s="8" t="str">
        <f t="shared" si="21"/>
        <v/>
      </c>
      <c r="M382" s="3" t="str">
        <f>IF($N382&lt;&gt;"", IF($H382="A VISTA", "", IF($H382="1+1", $C382 + CADASTROS!$C$4, IF($H382="1+2", $C382 + CADASTROS!$D$5, IF($H382="1+3", $C382 + CADASTROS!$D$6, "")))), "")</f>
        <v/>
      </c>
      <c r="N382" s="8" t="str">
        <f t="shared" si="22"/>
        <v/>
      </c>
      <c r="O382" s="3" t="str">
        <f>IF($P382&lt;&gt;"", IF($H382="A VISTA", "", IF($H382="1+1", $C382 + CADASTROS!$C$4, IF($H382="1+2", $C382 + CADASTROS!$C$5, IF($H382="1+3", $C382 + CADASTROS!$E$6, "")))), "")</f>
        <v/>
      </c>
      <c r="P382" s="8" t="str">
        <f t="shared" si="23"/>
        <v/>
      </c>
    </row>
    <row r="383" spans="1:16">
      <c r="A383" s="2" t="s">
        <v>518</v>
      </c>
      <c r="B383" s="6" t="s">
        <v>52</v>
      </c>
      <c r="C383" s="7">
        <v>45398</v>
      </c>
      <c r="D383" s="7" t="s">
        <v>101</v>
      </c>
      <c r="E383" s="4" t="s">
        <v>111</v>
      </c>
      <c r="F383" s="4" t="s">
        <v>118</v>
      </c>
      <c r="G383" s="8">
        <v>7056</v>
      </c>
      <c r="H383" s="8" t="s">
        <v>137</v>
      </c>
      <c r="I383" s="3">
        <f>IF($H383="A VISTA", C383 + CADASTROS!$B$3, IF($H383="1+1", C383 + CADASTROS!$B$4, IF(H383="1+2", C383 + CADASTROS!$B$5, IF(H383="1+3", C383 + CADASTROS!$B$6, ""))))</f>
        <v>45399</v>
      </c>
      <c r="J383" s="8">
        <f t="shared" si="20"/>
        <v>2352</v>
      </c>
      <c r="K383" s="3">
        <f>IF($L383&lt;&gt;"", IF($H383="A VISTA", "", IF($H383="1+1", $C383 + CADASTROS!$C$4, IF($H383="1+2", $C383 + CADASTROS!$C$5, IF($H383="1+3", $C383 + CADASTROS!$E$4, "")))), "")</f>
        <v>45428</v>
      </c>
      <c r="L383" s="8">
        <f t="shared" si="21"/>
        <v>2352</v>
      </c>
      <c r="M383" s="3">
        <f>IF($N383&lt;&gt;"", IF($H383="A VISTA", "", IF($H383="1+1", $C383 + CADASTROS!$C$4, IF($H383="1+2", $C383 + CADASTROS!$D$5, IF($H383="1+3", $C383 + CADASTROS!$D$6, "")))), "")</f>
        <v>45443</v>
      </c>
      <c r="N383" s="8">
        <f t="shared" si="22"/>
        <v>2352</v>
      </c>
      <c r="O383" s="3" t="str">
        <f>IF($P383&lt;&gt;"", IF($H383="A VISTA", "", IF($H383="1+1", $C383 + CADASTROS!$C$4, IF($H383="1+2", $C383 + CADASTROS!$C$5, IF($H383="1+3", $C383 + CADASTROS!$E$6, "")))), "")</f>
        <v/>
      </c>
      <c r="P383" s="8" t="str">
        <f t="shared" si="23"/>
        <v/>
      </c>
    </row>
    <row r="384" spans="1:16">
      <c r="A384" s="2" t="s">
        <v>519</v>
      </c>
      <c r="B384" s="6" t="s">
        <v>35</v>
      </c>
      <c r="C384" s="7">
        <v>45551</v>
      </c>
      <c r="D384" s="7" t="s">
        <v>84</v>
      </c>
      <c r="E384" s="4" t="s">
        <v>112</v>
      </c>
      <c r="F384" s="4" t="s">
        <v>122</v>
      </c>
      <c r="G384" s="8">
        <v>2451</v>
      </c>
      <c r="H384" s="8" t="s">
        <v>126</v>
      </c>
      <c r="I384" s="3">
        <f>IF($H384="A VISTA", C384 + CADASTROS!$B$3, IF($H384="1+1", C384 + CADASTROS!$B$4, IF(H384="1+2", C384 + CADASTROS!$B$5, IF(H384="1+3", C384 + CADASTROS!$B$6, ""))))</f>
        <v>45552</v>
      </c>
      <c r="J384" s="8">
        <f t="shared" si="20"/>
        <v>2451</v>
      </c>
      <c r="K384" s="3" t="str">
        <f>IF($L384&lt;&gt;"", IF($H384="A VISTA", "", IF($H384="1+1", $C384 + CADASTROS!$C$4, IF($H384="1+2", $C384 + CADASTROS!$C$5, IF($H384="1+3", $C384 + CADASTROS!$E$4, "")))), "")</f>
        <v/>
      </c>
      <c r="L384" s="8" t="str">
        <f t="shared" si="21"/>
        <v/>
      </c>
      <c r="M384" s="3" t="str">
        <f>IF($N384&lt;&gt;"", IF($H384="A VISTA", "", IF($H384="1+1", $C384 + CADASTROS!$C$4, IF($H384="1+2", $C384 + CADASTROS!$D$5, IF($H384="1+3", $C384 + CADASTROS!$D$6, "")))), "")</f>
        <v/>
      </c>
      <c r="N384" s="8" t="str">
        <f t="shared" si="22"/>
        <v/>
      </c>
      <c r="O384" s="3" t="str">
        <f>IF($P384&lt;&gt;"", IF($H384="A VISTA", "", IF($H384="1+1", $C384 + CADASTROS!$C$4, IF($H384="1+2", $C384 + CADASTROS!$C$5, IF($H384="1+3", $C384 + CADASTROS!$E$6, "")))), "")</f>
        <v/>
      </c>
      <c r="P384" s="8" t="str">
        <f t="shared" si="23"/>
        <v/>
      </c>
    </row>
    <row r="385" spans="1:16">
      <c r="A385" s="2" t="s">
        <v>520</v>
      </c>
      <c r="B385" s="6" t="s">
        <v>41</v>
      </c>
      <c r="C385" s="7">
        <v>45276</v>
      </c>
      <c r="D385" s="7" t="s">
        <v>90</v>
      </c>
      <c r="E385" s="4" t="s">
        <v>111</v>
      </c>
      <c r="F385" s="4" t="s">
        <v>118</v>
      </c>
      <c r="G385" s="8">
        <v>4909</v>
      </c>
      <c r="H385" s="8" t="s">
        <v>136</v>
      </c>
      <c r="I385" s="3">
        <f>IF($H385="A VISTA", C385 + CADASTROS!$B$3, IF($H385="1+1", C385 + CADASTROS!$B$4, IF(H385="1+2", C385 + CADASTROS!$B$5, IF(H385="1+3", C385 + CADASTROS!$B$6, ""))))</f>
        <v>45277</v>
      </c>
      <c r="J385" s="8">
        <f t="shared" si="20"/>
        <v>1227.25</v>
      </c>
      <c r="K385" s="3">
        <f>IF($L385&lt;&gt;"", IF($H385="A VISTA", "", IF($H385="1+1", $C385 + CADASTROS!$C$4, IF($H385="1+2", $C385 + CADASTROS!$C$5, IF($H385="1+3", $C385 + CADASTROS!$E$4, "")))), "")</f>
        <v>45276</v>
      </c>
      <c r="L385" s="8">
        <f t="shared" si="21"/>
        <v>1227.25</v>
      </c>
      <c r="M385" s="3">
        <f>IF($N385&lt;&gt;"", IF($H385="A VISTA", "", IF($H385="1+1", $C385 + CADASTROS!$C$4, IF($H385="1+2", $C385 + CADASTROS!$D$5, IF($H385="1+3", $C385 + CADASTROS!$D$6, "")))), "")</f>
        <v>45321</v>
      </c>
      <c r="N385" s="8">
        <f t="shared" si="22"/>
        <v>1227.25</v>
      </c>
      <c r="O385" s="3">
        <f>IF($P385&lt;&gt;"", IF($H385="A VISTA", "", IF($H385="1+1", $C385 + CADASTROS!$C$4, IF($H385="1+2", $C385 + CADASTROS!$C$5, IF($H385="1+3", $C385 + CADASTROS!$E$6, "")))), "")</f>
        <v>45336</v>
      </c>
      <c r="P385" s="8">
        <f t="shared" si="23"/>
        <v>1227.25</v>
      </c>
    </row>
    <row r="386" spans="1:16">
      <c r="A386" s="2" t="s">
        <v>521</v>
      </c>
      <c r="B386" s="6" t="s">
        <v>39</v>
      </c>
      <c r="C386" s="7">
        <v>45300</v>
      </c>
      <c r="D386" s="7" t="s">
        <v>88</v>
      </c>
      <c r="E386" s="4" t="s">
        <v>110</v>
      </c>
      <c r="F386" s="4" t="s">
        <v>114</v>
      </c>
      <c r="G386" s="8">
        <v>443</v>
      </c>
      <c r="H386" s="8" t="s">
        <v>137</v>
      </c>
      <c r="I386" s="3">
        <f>IF($H386="A VISTA", C386 + CADASTROS!$B$3, IF($H386="1+1", C386 + CADASTROS!$B$4, IF(H386="1+2", C386 + CADASTROS!$B$5, IF(H386="1+3", C386 + CADASTROS!$B$6, ""))))</f>
        <v>45301</v>
      </c>
      <c r="J386" s="8">
        <f t="shared" si="20"/>
        <v>147.66666666666666</v>
      </c>
      <c r="K386" s="3">
        <f>IF($L386&lt;&gt;"", IF($H386="A VISTA", "", IF($H386="1+1", $C386 + CADASTROS!$C$4, IF($H386="1+2", $C386 + CADASTROS!$C$5, IF($H386="1+3", $C386 + CADASTROS!$E$4, "")))), "")</f>
        <v>45330</v>
      </c>
      <c r="L386" s="8">
        <f t="shared" si="21"/>
        <v>147.66666666666666</v>
      </c>
      <c r="M386" s="3">
        <f>IF($N386&lt;&gt;"", IF($H386="A VISTA", "", IF($H386="1+1", $C386 + CADASTROS!$C$4, IF($H386="1+2", $C386 + CADASTROS!$D$5, IF($H386="1+3", $C386 + CADASTROS!$D$6, "")))), "")</f>
        <v>45345</v>
      </c>
      <c r="N386" s="8">
        <f t="shared" si="22"/>
        <v>147.66666666666671</v>
      </c>
      <c r="O386" s="3" t="str">
        <f>IF($P386&lt;&gt;"", IF($H386="A VISTA", "", IF($H386="1+1", $C386 + CADASTROS!$C$4, IF($H386="1+2", $C386 + CADASTROS!$C$5, IF($H386="1+3", $C386 + CADASTROS!$E$6, "")))), "")</f>
        <v/>
      </c>
      <c r="P386" s="8" t="str">
        <f t="shared" si="23"/>
        <v/>
      </c>
    </row>
    <row r="387" spans="1:16">
      <c r="A387" s="2" t="s">
        <v>522</v>
      </c>
      <c r="B387" s="6" t="s">
        <v>37</v>
      </c>
      <c r="C387" s="7">
        <v>45370</v>
      </c>
      <c r="D387" s="7" t="s">
        <v>86</v>
      </c>
      <c r="E387" s="4" t="s">
        <v>112</v>
      </c>
      <c r="F387" s="4" t="s">
        <v>123</v>
      </c>
      <c r="G387" s="8">
        <v>3426</v>
      </c>
      <c r="H387" s="8" t="s">
        <v>126</v>
      </c>
      <c r="I387" s="3">
        <f>IF($H387="A VISTA", C387 + CADASTROS!$B$3, IF($H387="1+1", C387 + CADASTROS!$B$4, IF(H387="1+2", C387 + CADASTROS!$B$5, IF(H387="1+3", C387 + CADASTROS!$B$6, ""))))</f>
        <v>45371</v>
      </c>
      <c r="J387" s="8">
        <f t="shared" ref="J387:J450" si="24">IF($H387="A VISTA", $G387, IF($H387="1+1", $G387/2, IF($H387="1+2", $G387/3, IF($H387="1+3", $G387/4, ""))))</f>
        <v>3426</v>
      </c>
      <c r="K387" s="3" t="str">
        <f>IF($L387&lt;&gt;"", IF($H387="A VISTA", "", IF($H387="1+1", $C387 + CADASTROS!$C$4, IF($H387="1+2", $C387 + CADASTROS!$C$5, IF($H387="1+3", $C387 + CADASTROS!$E$4, "")))), "")</f>
        <v/>
      </c>
      <c r="L387" s="8" t="str">
        <f t="shared" ref="L387:L450" si="25">IF($H387="A VISTA", "", IF($H387="1+1", $G387-$J387, IF($H387="1+2", $G387/3, IF($H387="1+3", ($G387-$J387)/3, ""))))</f>
        <v/>
      </c>
      <c r="M387" s="3" t="str">
        <f>IF($N387&lt;&gt;"", IF($H387="A VISTA", "", IF($H387="1+1", $C387 + CADASTROS!$C$4, IF($H387="1+2", $C387 + CADASTROS!$D$5, IF($H387="1+3", $C387 + CADASTROS!$D$6, "")))), "")</f>
        <v/>
      </c>
      <c r="N387" s="8" t="str">
        <f t="shared" ref="N387:N450" si="26">IF($H387="A VISTA","",IF($H387="1+2",$G387-$J387-$L387,IF($H387="1+3",($G387-$J387-$L387)/2,"")))</f>
        <v/>
      </c>
      <c r="O387" s="3" t="str">
        <f>IF($P387&lt;&gt;"", IF($H387="A VISTA", "", IF($H387="1+1", $C387 + CADASTROS!$C$4, IF($H387="1+2", $C387 + CADASTROS!$C$5, IF($H387="1+3", $C387 + CADASTROS!$E$6, "")))), "")</f>
        <v/>
      </c>
      <c r="P387" s="8" t="str">
        <f t="shared" ref="P387:P450" si="27">IF($H387="A VISTA", "", IF($H387="1+3", $G387-$J387-$L387-$N387, ""))</f>
        <v/>
      </c>
    </row>
    <row r="388" spans="1:16">
      <c r="A388" s="2" t="s">
        <v>523</v>
      </c>
      <c r="B388" s="6" t="s">
        <v>32</v>
      </c>
      <c r="C388" s="7">
        <v>45203</v>
      </c>
      <c r="D388" s="7" t="s">
        <v>81</v>
      </c>
      <c r="E388" s="4" t="s">
        <v>110</v>
      </c>
      <c r="F388" s="4" t="s">
        <v>124</v>
      </c>
      <c r="G388" s="8">
        <v>6332</v>
      </c>
      <c r="H388" s="8" t="s">
        <v>138</v>
      </c>
      <c r="I388" s="3">
        <f>IF($H388="A VISTA", C388 + CADASTROS!$B$3, IF($H388="1+1", C388 + CADASTROS!$B$4, IF(H388="1+2", C388 + CADASTROS!$B$5, IF(H388="1+3", C388 + CADASTROS!$B$6, ""))))</f>
        <v>45204</v>
      </c>
      <c r="J388" s="8">
        <f t="shared" si="24"/>
        <v>3166</v>
      </c>
      <c r="K388" s="3">
        <f>IF($L388&lt;&gt;"", IF($H388="A VISTA", "", IF($H388="1+1", $C388 + CADASTROS!$C$4, IF($H388="1+2", $C388 + CADASTROS!$C$5, IF($H388="1+3", $C388 + CADASTROS!$E$4, "")))), "")</f>
        <v>45233</v>
      </c>
      <c r="L388" s="8">
        <f t="shared" si="25"/>
        <v>3166</v>
      </c>
      <c r="M388" s="3" t="str">
        <f>IF($N388&lt;&gt;"", IF($H388="A VISTA", "", IF($H388="1+1", $C388 + CADASTROS!$C$4, IF($H388="1+2", $C388 + CADASTROS!$D$5, IF($H388="1+3", $C388 + CADASTROS!$D$6, "")))), "")</f>
        <v/>
      </c>
      <c r="N388" s="8" t="str">
        <f t="shared" si="26"/>
        <v/>
      </c>
      <c r="O388" s="3" t="str">
        <f>IF($P388&lt;&gt;"", IF($H388="A VISTA", "", IF($H388="1+1", $C388 + CADASTROS!$C$4, IF($H388="1+2", $C388 + CADASTROS!$C$5, IF($H388="1+3", $C388 + CADASTROS!$E$6, "")))), "")</f>
        <v/>
      </c>
      <c r="P388" s="8" t="str">
        <f t="shared" si="27"/>
        <v/>
      </c>
    </row>
    <row r="389" spans="1:16">
      <c r="A389" s="2" t="s">
        <v>524</v>
      </c>
      <c r="B389" s="6" t="s">
        <v>18</v>
      </c>
      <c r="C389" s="7">
        <v>45124</v>
      </c>
      <c r="D389" s="7" t="s">
        <v>67</v>
      </c>
      <c r="E389" s="4" t="s">
        <v>111</v>
      </c>
      <c r="F389" s="4" t="s">
        <v>121</v>
      </c>
      <c r="G389" s="8">
        <v>3681</v>
      </c>
      <c r="H389" s="8" t="s">
        <v>126</v>
      </c>
      <c r="I389" s="3">
        <f>IF($H389="A VISTA", C389 + CADASTROS!$B$3, IF($H389="1+1", C389 + CADASTROS!$B$4, IF(H389="1+2", C389 + CADASTROS!$B$5, IF(H389="1+3", C389 + CADASTROS!$B$6, ""))))</f>
        <v>45125</v>
      </c>
      <c r="J389" s="8">
        <f t="shared" si="24"/>
        <v>3681</v>
      </c>
      <c r="K389" s="3" t="str">
        <f>IF($L389&lt;&gt;"", IF($H389="A VISTA", "", IF($H389="1+1", $C389 + CADASTROS!$C$4, IF($H389="1+2", $C389 + CADASTROS!$C$5, IF($H389="1+3", $C389 + CADASTROS!$E$4, "")))), "")</f>
        <v/>
      </c>
      <c r="L389" s="8" t="str">
        <f t="shared" si="25"/>
        <v/>
      </c>
      <c r="M389" s="3" t="str">
        <f>IF($N389&lt;&gt;"", IF($H389="A VISTA", "", IF($H389="1+1", $C389 + CADASTROS!$C$4, IF($H389="1+2", $C389 + CADASTROS!$D$5, IF($H389="1+3", $C389 + CADASTROS!$D$6, "")))), "")</f>
        <v/>
      </c>
      <c r="N389" s="8" t="str">
        <f t="shared" si="26"/>
        <v/>
      </c>
      <c r="O389" s="3" t="str">
        <f>IF($P389&lt;&gt;"", IF($H389="A VISTA", "", IF($H389="1+1", $C389 + CADASTROS!$C$4, IF($H389="1+2", $C389 + CADASTROS!$C$5, IF($H389="1+3", $C389 + CADASTROS!$E$6, "")))), "")</f>
        <v/>
      </c>
      <c r="P389" s="8" t="str">
        <f t="shared" si="27"/>
        <v/>
      </c>
    </row>
    <row r="390" spans="1:16">
      <c r="A390" s="2" t="s">
        <v>525</v>
      </c>
      <c r="B390" s="6" t="s">
        <v>59</v>
      </c>
      <c r="C390" s="7">
        <v>45303</v>
      </c>
      <c r="D390" s="7" t="s">
        <v>108</v>
      </c>
      <c r="E390" s="4" t="s">
        <v>111</v>
      </c>
      <c r="F390" s="4" t="s">
        <v>121</v>
      </c>
      <c r="G390" s="8">
        <v>5515</v>
      </c>
      <c r="H390" s="8" t="s">
        <v>136</v>
      </c>
      <c r="I390" s="3">
        <f>IF($H390="A VISTA", C390 + CADASTROS!$B$3, IF($H390="1+1", C390 + CADASTROS!$B$4, IF(H390="1+2", C390 + CADASTROS!$B$5, IF(H390="1+3", C390 + CADASTROS!$B$6, ""))))</f>
        <v>45304</v>
      </c>
      <c r="J390" s="8">
        <f t="shared" si="24"/>
        <v>1378.75</v>
      </c>
      <c r="K390" s="3">
        <f>IF($L390&lt;&gt;"", IF($H390="A VISTA", "", IF($H390="1+1", $C390 + CADASTROS!$C$4, IF($H390="1+2", $C390 + CADASTROS!$C$5, IF($H390="1+3", $C390 + CADASTROS!$E$4, "")))), "")</f>
        <v>45303</v>
      </c>
      <c r="L390" s="8">
        <f t="shared" si="25"/>
        <v>1378.75</v>
      </c>
      <c r="M390" s="3">
        <f>IF($N390&lt;&gt;"", IF($H390="A VISTA", "", IF($H390="1+1", $C390 + CADASTROS!$C$4, IF($H390="1+2", $C390 + CADASTROS!$D$5, IF($H390="1+3", $C390 + CADASTROS!$D$6, "")))), "")</f>
        <v>45348</v>
      </c>
      <c r="N390" s="8">
        <f t="shared" si="26"/>
        <v>1378.75</v>
      </c>
      <c r="O390" s="3">
        <f>IF($P390&lt;&gt;"", IF($H390="A VISTA", "", IF($H390="1+1", $C390 + CADASTROS!$C$4, IF($H390="1+2", $C390 + CADASTROS!$C$5, IF($H390="1+3", $C390 + CADASTROS!$E$6, "")))), "")</f>
        <v>45363</v>
      </c>
      <c r="P390" s="8">
        <f t="shared" si="27"/>
        <v>1378.75</v>
      </c>
    </row>
    <row r="391" spans="1:16">
      <c r="A391" s="2" t="s">
        <v>526</v>
      </c>
      <c r="B391" s="6" t="s">
        <v>30</v>
      </c>
      <c r="C391" s="7">
        <v>45285</v>
      </c>
      <c r="D391" s="7" t="s">
        <v>79</v>
      </c>
      <c r="E391" s="4" t="s">
        <v>111</v>
      </c>
      <c r="F391" s="4" t="s">
        <v>118</v>
      </c>
      <c r="G391" s="8">
        <v>2110</v>
      </c>
      <c r="H391" s="8" t="s">
        <v>137</v>
      </c>
      <c r="I391" s="3">
        <f>IF($H391="A VISTA", C391 + CADASTROS!$B$3, IF($H391="1+1", C391 + CADASTROS!$B$4, IF(H391="1+2", C391 + CADASTROS!$B$5, IF(H391="1+3", C391 + CADASTROS!$B$6, ""))))</f>
        <v>45286</v>
      </c>
      <c r="J391" s="8">
        <f t="shared" si="24"/>
        <v>703.33333333333337</v>
      </c>
      <c r="K391" s="3">
        <f>IF($L391&lt;&gt;"", IF($H391="A VISTA", "", IF($H391="1+1", $C391 + CADASTROS!$C$4, IF($H391="1+2", $C391 + CADASTROS!$C$5, IF($H391="1+3", $C391 + CADASTROS!$E$4, "")))), "")</f>
        <v>45315</v>
      </c>
      <c r="L391" s="8">
        <f t="shared" si="25"/>
        <v>703.33333333333337</v>
      </c>
      <c r="M391" s="3">
        <f>IF($N391&lt;&gt;"", IF($H391="A VISTA", "", IF($H391="1+1", $C391 + CADASTROS!$C$4, IF($H391="1+2", $C391 + CADASTROS!$D$5, IF($H391="1+3", $C391 + CADASTROS!$D$6, "")))), "")</f>
        <v>45330</v>
      </c>
      <c r="N391" s="8">
        <f t="shared" si="26"/>
        <v>703.33333333333314</v>
      </c>
      <c r="O391" s="3" t="str">
        <f>IF($P391&lt;&gt;"", IF($H391="A VISTA", "", IF($H391="1+1", $C391 + CADASTROS!$C$4, IF($H391="1+2", $C391 + CADASTROS!$C$5, IF($H391="1+3", $C391 + CADASTROS!$E$6, "")))), "")</f>
        <v/>
      </c>
      <c r="P391" s="8" t="str">
        <f t="shared" si="27"/>
        <v/>
      </c>
    </row>
    <row r="392" spans="1:16">
      <c r="A392" s="2" t="s">
        <v>527</v>
      </c>
      <c r="B392" s="6" t="s">
        <v>28</v>
      </c>
      <c r="C392" s="7">
        <v>45369</v>
      </c>
      <c r="D392" s="7" t="s">
        <v>77</v>
      </c>
      <c r="E392" s="4" t="s">
        <v>110</v>
      </c>
      <c r="F392" s="4" t="s">
        <v>114</v>
      </c>
      <c r="G392" s="8">
        <v>3168</v>
      </c>
      <c r="H392" s="8" t="s">
        <v>137</v>
      </c>
      <c r="I392" s="3">
        <f>IF($H392="A VISTA", C392 + CADASTROS!$B$3, IF($H392="1+1", C392 + CADASTROS!$B$4, IF(H392="1+2", C392 + CADASTROS!$B$5, IF(H392="1+3", C392 + CADASTROS!$B$6, ""))))</f>
        <v>45370</v>
      </c>
      <c r="J392" s="8">
        <f t="shared" si="24"/>
        <v>1056</v>
      </c>
      <c r="K392" s="3">
        <f>IF($L392&lt;&gt;"", IF($H392="A VISTA", "", IF($H392="1+1", $C392 + CADASTROS!$C$4, IF($H392="1+2", $C392 + CADASTROS!$C$5, IF($H392="1+3", $C392 + CADASTROS!$E$4, "")))), "")</f>
        <v>45399</v>
      </c>
      <c r="L392" s="8">
        <f t="shared" si="25"/>
        <v>1056</v>
      </c>
      <c r="M392" s="3">
        <f>IF($N392&lt;&gt;"", IF($H392="A VISTA", "", IF($H392="1+1", $C392 + CADASTROS!$C$4, IF($H392="1+2", $C392 + CADASTROS!$D$5, IF($H392="1+3", $C392 + CADASTROS!$D$6, "")))), "")</f>
        <v>45414</v>
      </c>
      <c r="N392" s="8">
        <f t="shared" si="26"/>
        <v>1056</v>
      </c>
      <c r="O392" s="3" t="str">
        <f>IF($P392&lt;&gt;"", IF($H392="A VISTA", "", IF($H392="1+1", $C392 + CADASTROS!$C$4, IF($H392="1+2", $C392 + CADASTROS!$C$5, IF($H392="1+3", $C392 + CADASTROS!$E$6, "")))), "")</f>
        <v/>
      </c>
      <c r="P392" s="8" t="str">
        <f t="shared" si="27"/>
        <v/>
      </c>
    </row>
    <row r="393" spans="1:16">
      <c r="A393" s="2" t="s">
        <v>528</v>
      </c>
      <c r="B393" s="6" t="s">
        <v>18</v>
      </c>
      <c r="C393" s="7">
        <v>45320</v>
      </c>
      <c r="D393" s="7" t="s">
        <v>67</v>
      </c>
      <c r="E393" s="4" t="s">
        <v>111</v>
      </c>
      <c r="F393" s="4" t="s">
        <v>121</v>
      </c>
      <c r="G393" s="8">
        <v>2393</v>
      </c>
      <c r="H393" s="8" t="s">
        <v>138</v>
      </c>
      <c r="I393" s="3">
        <f>IF($H393="A VISTA", C393 + CADASTROS!$B$3, IF($H393="1+1", C393 + CADASTROS!$B$4, IF(H393="1+2", C393 + CADASTROS!$B$5, IF(H393="1+3", C393 + CADASTROS!$B$6, ""))))</f>
        <v>45321</v>
      </c>
      <c r="J393" s="8">
        <f t="shared" si="24"/>
        <v>1196.5</v>
      </c>
      <c r="K393" s="3">
        <f>IF($L393&lt;&gt;"", IF($H393="A VISTA", "", IF($H393="1+1", $C393 + CADASTROS!$C$4, IF($H393="1+2", $C393 + CADASTROS!$C$5, IF($H393="1+3", $C393 + CADASTROS!$E$4, "")))), "")</f>
        <v>45350</v>
      </c>
      <c r="L393" s="8">
        <f t="shared" si="25"/>
        <v>1196.5</v>
      </c>
      <c r="M393" s="3" t="str">
        <f>IF($N393&lt;&gt;"", IF($H393="A VISTA", "", IF($H393="1+1", $C393 + CADASTROS!$C$4, IF($H393="1+2", $C393 + CADASTROS!$D$5, IF($H393="1+3", $C393 + CADASTROS!$D$6, "")))), "")</f>
        <v/>
      </c>
      <c r="N393" s="8" t="str">
        <f t="shared" si="26"/>
        <v/>
      </c>
      <c r="O393" s="3" t="str">
        <f>IF($P393&lt;&gt;"", IF($H393="A VISTA", "", IF($H393="1+1", $C393 + CADASTROS!$C$4, IF($H393="1+2", $C393 + CADASTROS!$C$5, IF($H393="1+3", $C393 + CADASTROS!$E$6, "")))), "")</f>
        <v/>
      </c>
      <c r="P393" s="8" t="str">
        <f t="shared" si="27"/>
        <v/>
      </c>
    </row>
    <row r="394" spans="1:16">
      <c r="A394" s="2" t="s">
        <v>529</v>
      </c>
      <c r="B394" s="6" t="s">
        <v>32</v>
      </c>
      <c r="C394" s="7">
        <v>45197</v>
      </c>
      <c r="D394" s="7" t="s">
        <v>81</v>
      </c>
      <c r="E394" s="4" t="s">
        <v>110</v>
      </c>
      <c r="F394" s="4" t="s">
        <v>124</v>
      </c>
      <c r="G394" s="8">
        <v>7652</v>
      </c>
      <c r="H394" s="8" t="s">
        <v>137</v>
      </c>
      <c r="I394" s="3">
        <f>IF($H394="A VISTA", C394 + CADASTROS!$B$3, IF($H394="1+1", C394 + CADASTROS!$B$4, IF(H394="1+2", C394 + CADASTROS!$B$5, IF(H394="1+3", C394 + CADASTROS!$B$6, ""))))</f>
        <v>45198</v>
      </c>
      <c r="J394" s="8">
        <f t="shared" si="24"/>
        <v>2550.6666666666665</v>
      </c>
      <c r="K394" s="3">
        <f>IF($L394&lt;&gt;"", IF($H394="A VISTA", "", IF($H394="1+1", $C394 + CADASTROS!$C$4, IF($H394="1+2", $C394 + CADASTROS!$C$5, IF($H394="1+3", $C394 + CADASTROS!$E$4, "")))), "")</f>
        <v>45227</v>
      </c>
      <c r="L394" s="8">
        <f t="shared" si="25"/>
        <v>2550.6666666666665</v>
      </c>
      <c r="M394" s="3">
        <f>IF($N394&lt;&gt;"", IF($H394="A VISTA", "", IF($H394="1+1", $C394 + CADASTROS!$C$4, IF($H394="1+2", $C394 + CADASTROS!$D$5, IF($H394="1+3", $C394 + CADASTROS!$D$6, "")))), "")</f>
        <v>45242</v>
      </c>
      <c r="N394" s="8">
        <f t="shared" si="26"/>
        <v>2550.6666666666674</v>
      </c>
      <c r="O394" s="3" t="str">
        <f>IF($P394&lt;&gt;"", IF($H394="A VISTA", "", IF($H394="1+1", $C394 + CADASTROS!$C$4, IF($H394="1+2", $C394 + CADASTROS!$C$5, IF($H394="1+3", $C394 + CADASTROS!$E$6, "")))), "")</f>
        <v/>
      </c>
      <c r="P394" s="8" t="str">
        <f t="shared" si="27"/>
        <v/>
      </c>
    </row>
    <row r="395" spans="1:16">
      <c r="A395" s="2" t="s">
        <v>530</v>
      </c>
      <c r="B395" s="6" t="s">
        <v>49</v>
      </c>
      <c r="C395" s="7">
        <v>45199</v>
      </c>
      <c r="D395" s="7" t="s">
        <v>98</v>
      </c>
      <c r="E395" s="4" t="s">
        <v>110</v>
      </c>
      <c r="F395" s="4" t="s">
        <v>125</v>
      </c>
      <c r="G395" s="8">
        <v>4050</v>
      </c>
      <c r="H395" s="8" t="s">
        <v>136</v>
      </c>
      <c r="I395" s="3">
        <f>IF($H395="A VISTA", C395 + CADASTROS!$B$3, IF($H395="1+1", C395 + CADASTROS!$B$4, IF(H395="1+2", C395 + CADASTROS!$B$5, IF(H395="1+3", C395 + CADASTROS!$B$6, ""))))</f>
        <v>45200</v>
      </c>
      <c r="J395" s="8">
        <f t="shared" si="24"/>
        <v>1012.5</v>
      </c>
      <c r="K395" s="3">
        <f>IF($L395&lt;&gt;"", IF($H395="A VISTA", "", IF($H395="1+1", $C395 + CADASTROS!$C$4, IF($H395="1+2", $C395 + CADASTROS!$C$5, IF($H395="1+3", $C395 + CADASTROS!$E$4, "")))), "")</f>
        <v>45199</v>
      </c>
      <c r="L395" s="8">
        <f t="shared" si="25"/>
        <v>1012.5</v>
      </c>
      <c r="M395" s="3">
        <f>IF($N395&lt;&gt;"", IF($H395="A VISTA", "", IF($H395="1+1", $C395 + CADASTROS!$C$4, IF($H395="1+2", $C395 + CADASTROS!$D$5, IF($H395="1+3", $C395 + CADASTROS!$D$6, "")))), "")</f>
        <v>45244</v>
      </c>
      <c r="N395" s="8">
        <f t="shared" si="26"/>
        <v>1012.5</v>
      </c>
      <c r="O395" s="3">
        <f>IF($P395&lt;&gt;"", IF($H395="A VISTA", "", IF($H395="1+1", $C395 + CADASTROS!$C$4, IF($H395="1+2", $C395 + CADASTROS!$C$5, IF($H395="1+3", $C395 + CADASTROS!$E$6, "")))), "")</f>
        <v>45259</v>
      </c>
      <c r="P395" s="8">
        <f t="shared" si="27"/>
        <v>1012.5</v>
      </c>
    </row>
    <row r="396" spans="1:16">
      <c r="A396" s="2" t="s">
        <v>531</v>
      </c>
      <c r="B396" s="6" t="s">
        <v>14</v>
      </c>
      <c r="C396" s="7">
        <v>45289</v>
      </c>
      <c r="D396" s="7" t="s">
        <v>61</v>
      </c>
      <c r="E396" s="4" t="s">
        <v>110</v>
      </c>
      <c r="F396" s="4" t="s">
        <v>113</v>
      </c>
      <c r="G396" s="8">
        <v>2336</v>
      </c>
      <c r="H396" s="8" t="s">
        <v>136</v>
      </c>
      <c r="I396" s="3">
        <f>IF($H396="A VISTA", C396 + CADASTROS!$B$3, IF($H396="1+1", C396 + CADASTROS!$B$4, IF(H396="1+2", C396 + CADASTROS!$B$5, IF(H396="1+3", C396 + CADASTROS!$B$6, ""))))</f>
        <v>45290</v>
      </c>
      <c r="J396" s="8">
        <f t="shared" si="24"/>
        <v>584</v>
      </c>
      <c r="K396" s="3">
        <f>IF($L396&lt;&gt;"", IF($H396="A VISTA", "", IF($H396="1+1", $C396 + CADASTROS!$C$4, IF($H396="1+2", $C396 + CADASTROS!$C$5, IF($H396="1+3", $C396 + CADASTROS!$E$4, "")))), "")</f>
        <v>45289</v>
      </c>
      <c r="L396" s="8">
        <f t="shared" si="25"/>
        <v>584</v>
      </c>
      <c r="M396" s="3">
        <f>IF($N396&lt;&gt;"", IF($H396="A VISTA", "", IF($H396="1+1", $C396 + CADASTROS!$C$4, IF($H396="1+2", $C396 + CADASTROS!$D$5, IF($H396="1+3", $C396 + CADASTROS!$D$6, "")))), "")</f>
        <v>45334</v>
      </c>
      <c r="N396" s="8">
        <f t="shared" si="26"/>
        <v>584</v>
      </c>
      <c r="O396" s="3">
        <f>IF($P396&lt;&gt;"", IF($H396="A VISTA", "", IF($H396="1+1", $C396 + CADASTROS!$C$4, IF($H396="1+2", $C396 + CADASTROS!$C$5, IF($H396="1+3", $C396 + CADASTROS!$E$6, "")))), "")</f>
        <v>45349</v>
      </c>
      <c r="P396" s="8">
        <f t="shared" si="27"/>
        <v>584</v>
      </c>
    </row>
    <row r="397" spans="1:16">
      <c r="A397" s="2" t="s">
        <v>532</v>
      </c>
      <c r="B397" s="6" t="s">
        <v>28</v>
      </c>
      <c r="C397" s="7">
        <v>45297</v>
      </c>
      <c r="D397" s="7" t="s">
        <v>77</v>
      </c>
      <c r="E397" s="4" t="s">
        <v>110</v>
      </c>
      <c r="F397" s="4" t="s">
        <v>114</v>
      </c>
      <c r="G397" s="8">
        <v>3078</v>
      </c>
      <c r="H397" s="8" t="s">
        <v>138</v>
      </c>
      <c r="I397" s="3">
        <f>IF($H397="A VISTA", C397 + CADASTROS!$B$3, IF($H397="1+1", C397 + CADASTROS!$B$4, IF(H397="1+2", C397 + CADASTROS!$B$5, IF(H397="1+3", C397 + CADASTROS!$B$6, ""))))</f>
        <v>45298</v>
      </c>
      <c r="J397" s="8">
        <f t="shared" si="24"/>
        <v>1539</v>
      </c>
      <c r="K397" s="3">
        <f>IF($L397&lt;&gt;"", IF($H397="A VISTA", "", IF($H397="1+1", $C397 + CADASTROS!$C$4, IF($H397="1+2", $C397 + CADASTROS!$C$5, IF($H397="1+3", $C397 + CADASTROS!$E$4, "")))), "")</f>
        <v>45327</v>
      </c>
      <c r="L397" s="8">
        <f t="shared" si="25"/>
        <v>1539</v>
      </c>
      <c r="M397" s="3" t="str">
        <f>IF($N397&lt;&gt;"", IF($H397="A VISTA", "", IF($H397="1+1", $C397 + CADASTROS!$C$4, IF($H397="1+2", $C397 + CADASTROS!$D$5, IF($H397="1+3", $C397 + CADASTROS!$D$6, "")))), "")</f>
        <v/>
      </c>
      <c r="N397" s="8" t="str">
        <f t="shared" si="26"/>
        <v/>
      </c>
      <c r="O397" s="3" t="str">
        <f>IF($P397&lt;&gt;"", IF($H397="A VISTA", "", IF($H397="1+1", $C397 + CADASTROS!$C$4, IF($H397="1+2", $C397 + CADASTROS!$C$5, IF($H397="1+3", $C397 + CADASTROS!$E$6, "")))), "")</f>
        <v/>
      </c>
      <c r="P397" s="8" t="str">
        <f t="shared" si="27"/>
        <v/>
      </c>
    </row>
    <row r="398" spans="1:16">
      <c r="A398" s="2" t="s">
        <v>533</v>
      </c>
      <c r="B398" s="6" t="s">
        <v>39</v>
      </c>
      <c r="C398" s="7">
        <v>45391</v>
      </c>
      <c r="D398" s="7" t="s">
        <v>88</v>
      </c>
      <c r="E398" s="4" t="s">
        <v>110</v>
      </c>
      <c r="F398" s="4" t="s">
        <v>114</v>
      </c>
      <c r="G398" s="8">
        <v>1063</v>
      </c>
      <c r="H398" s="8" t="s">
        <v>138</v>
      </c>
      <c r="I398" s="3">
        <f>IF($H398="A VISTA", C398 + CADASTROS!$B$3, IF($H398="1+1", C398 + CADASTROS!$B$4, IF(H398="1+2", C398 + CADASTROS!$B$5, IF(H398="1+3", C398 + CADASTROS!$B$6, ""))))</f>
        <v>45392</v>
      </c>
      <c r="J398" s="8">
        <f t="shared" si="24"/>
        <v>531.5</v>
      </c>
      <c r="K398" s="3">
        <f>IF($L398&lt;&gt;"", IF($H398="A VISTA", "", IF($H398="1+1", $C398 + CADASTROS!$C$4, IF($H398="1+2", $C398 + CADASTROS!$C$5, IF($H398="1+3", $C398 + CADASTROS!$E$4, "")))), "")</f>
        <v>45421</v>
      </c>
      <c r="L398" s="8">
        <f t="shared" si="25"/>
        <v>531.5</v>
      </c>
      <c r="M398" s="3" t="str">
        <f>IF($N398&lt;&gt;"", IF($H398="A VISTA", "", IF($H398="1+1", $C398 + CADASTROS!$C$4, IF($H398="1+2", $C398 + CADASTROS!$D$5, IF($H398="1+3", $C398 + CADASTROS!$D$6, "")))), "")</f>
        <v/>
      </c>
      <c r="N398" s="8" t="str">
        <f t="shared" si="26"/>
        <v/>
      </c>
      <c r="O398" s="3" t="str">
        <f>IF($P398&lt;&gt;"", IF($H398="A VISTA", "", IF($H398="1+1", $C398 + CADASTROS!$C$4, IF($H398="1+2", $C398 + CADASTROS!$C$5, IF($H398="1+3", $C398 + CADASTROS!$E$6, "")))), "")</f>
        <v/>
      </c>
      <c r="P398" s="8" t="str">
        <f t="shared" si="27"/>
        <v/>
      </c>
    </row>
    <row r="399" spans="1:16">
      <c r="A399" s="2" t="s">
        <v>534</v>
      </c>
      <c r="B399" s="6" t="s">
        <v>12</v>
      </c>
      <c r="C399" s="7">
        <v>45284</v>
      </c>
      <c r="D399" s="7" t="s">
        <v>62</v>
      </c>
      <c r="E399" s="4" t="s">
        <v>112</v>
      </c>
      <c r="F399" s="4" t="s">
        <v>122</v>
      </c>
      <c r="G399" s="8">
        <v>5061</v>
      </c>
      <c r="H399" s="8" t="s">
        <v>126</v>
      </c>
      <c r="I399" s="3">
        <f>IF($H399="A VISTA", C399 + CADASTROS!$B$3, IF($H399="1+1", C399 + CADASTROS!$B$4, IF(H399="1+2", C399 + CADASTROS!$B$5, IF(H399="1+3", C399 + CADASTROS!$B$6, ""))))</f>
        <v>45285</v>
      </c>
      <c r="J399" s="8">
        <f t="shared" si="24"/>
        <v>5061</v>
      </c>
      <c r="K399" s="3" t="str">
        <f>IF($L399&lt;&gt;"", IF($H399="A VISTA", "", IF($H399="1+1", $C399 + CADASTROS!$C$4, IF($H399="1+2", $C399 + CADASTROS!$C$5, IF($H399="1+3", $C399 + CADASTROS!$E$4, "")))), "")</f>
        <v/>
      </c>
      <c r="L399" s="8" t="str">
        <f t="shared" si="25"/>
        <v/>
      </c>
      <c r="M399" s="3" t="str">
        <f>IF($N399&lt;&gt;"", IF($H399="A VISTA", "", IF($H399="1+1", $C399 + CADASTROS!$C$4, IF($H399="1+2", $C399 + CADASTROS!$D$5, IF($H399="1+3", $C399 + CADASTROS!$D$6, "")))), "")</f>
        <v/>
      </c>
      <c r="N399" s="8" t="str">
        <f t="shared" si="26"/>
        <v/>
      </c>
      <c r="O399" s="3" t="str">
        <f>IF($P399&lt;&gt;"", IF($H399="A VISTA", "", IF($H399="1+1", $C399 + CADASTROS!$C$4, IF($H399="1+2", $C399 + CADASTROS!$C$5, IF($H399="1+3", $C399 + CADASTROS!$E$6, "")))), "")</f>
        <v/>
      </c>
      <c r="P399" s="8" t="str">
        <f t="shared" si="27"/>
        <v/>
      </c>
    </row>
    <row r="400" spans="1:16">
      <c r="A400" s="2" t="s">
        <v>535</v>
      </c>
      <c r="B400" s="6" t="s">
        <v>59</v>
      </c>
      <c r="C400" s="7">
        <v>45348</v>
      </c>
      <c r="D400" s="7" t="s">
        <v>108</v>
      </c>
      <c r="E400" s="4" t="s">
        <v>111</v>
      </c>
      <c r="F400" s="4" t="s">
        <v>121</v>
      </c>
      <c r="G400" s="8">
        <v>4323</v>
      </c>
      <c r="H400" s="8" t="s">
        <v>137</v>
      </c>
      <c r="I400" s="3">
        <f>IF($H400="A VISTA", C400 + CADASTROS!$B$3, IF($H400="1+1", C400 + CADASTROS!$B$4, IF(H400="1+2", C400 + CADASTROS!$B$5, IF(H400="1+3", C400 + CADASTROS!$B$6, ""))))</f>
        <v>45349</v>
      </c>
      <c r="J400" s="8">
        <f t="shared" si="24"/>
        <v>1441</v>
      </c>
      <c r="K400" s="3">
        <f>IF($L400&lt;&gt;"", IF($H400="A VISTA", "", IF($H400="1+1", $C400 + CADASTROS!$C$4, IF($H400="1+2", $C400 + CADASTROS!$C$5, IF($H400="1+3", $C400 + CADASTROS!$E$4, "")))), "")</f>
        <v>45378</v>
      </c>
      <c r="L400" s="8">
        <f t="shared" si="25"/>
        <v>1441</v>
      </c>
      <c r="M400" s="3">
        <f>IF($N400&lt;&gt;"", IF($H400="A VISTA", "", IF($H400="1+1", $C400 + CADASTROS!$C$4, IF($H400="1+2", $C400 + CADASTROS!$D$5, IF($H400="1+3", $C400 + CADASTROS!$D$6, "")))), "")</f>
        <v>45393</v>
      </c>
      <c r="N400" s="8">
        <f t="shared" si="26"/>
        <v>1441</v>
      </c>
      <c r="O400" s="3" t="str">
        <f>IF($P400&lt;&gt;"", IF($H400="A VISTA", "", IF($H400="1+1", $C400 + CADASTROS!$C$4, IF($H400="1+2", $C400 + CADASTROS!$C$5, IF($H400="1+3", $C400 + CADASTROS!$E$6, "")))), "")</f>
        <v/>
      </c>
      <c r="P400" s="8" t="str">
        <f t="shared" si="27"/>
        <v/>
      </c>
    </row>
    <row r="401" spans="1:16">
      <c r="A401" s="2" t="s">
        <v>536</v>
      </c>
      <c r="B401" s="6" t="s">
        <v>43</v>
      </c>
      <c r="C401" s="7">
        <v>45170</v>
      </c>
      <c r="D401" s="7" t="s">
        <v>92</v>
      </c>
      <c r="E401" s="4" t="s">
        <v>110</v>
      </c>
      <c r="F401" s="4" t="s">
        <v>124</v>
      </c>
      <c r="G401" s="8">
        <v>5282</v>
      </c>
      <c r="H401" s="8" t="s">
        <v>137</v>
      </c>
      <c r="I401" s="3">
        <f>IF($H401="A VISTA", C401 + CADASTROS!$B$3, IF($H401="1+1", C401 + CADASTROS!$B$4, IF(H401="1+2", C401 + CADASTROS!$B$5, IF(H401="1+3", C401 + CADASTROS!$B$6, ""))))</f>
        <v>45171</v>
      </c>
      <c r="J401" s="8">
        <f t="shared" si="24"/>
        <v>1760.6666666666667</v>
      </c>
      <c r="K401" s="3">
        <f>IF($L401&lt;&gt;"", IF($H401="A VISTA", "", IF($H401="1+1", $C401 + CADASTROS!$C$4, IF($H401="1+2", $C401 + CADASTROS!$C$5, IF($H401="1+3", $C401 + CADASTROS!$E$4, "")))), "")</f>
        <v>45200</v>
      </c>
      <c r="L401" s="8">
        <f t="shared" si="25"/>
        <v>1760.6666666666667</v>
      </c>
      <c r="M401" s="3">
        <f>IF($N401&lt;&gt;"", IF($H401="A VISTA", "", IF($H401="1+1", $C401 + CADASTROS!$C$4, IF($H401="1+2", $C401 + CADASTROS!$D$5, IF($H401="1+3", $C401 + CADASTROS!$D$6, "")))), "")</f>
        <v>45215</v>
      </c>
      <c r="N401" s="8">
        <f t="shared" si="26"/>
        <v>1760.6666666666663</v>
      </c>
      <c r="O401" s="3" t="str">
        <f>IF($P401&lt;&gt;"", IF($H401="A VISTA", "", IF($H401="1+1", $C401 + CADASTROS!$C$4, IF($H401="1+2", $C401 + CADASTROS!$C$5, IF($H401="1+3", $C401 + CADASTROS!$E$6, "")))), "")</f>
        <v/>
      </c>
      <c r="P401" s="8" t="str">
        <f t="shared" si="27"/>
        <v/>
      </c>
    </row>
    <row r="402" spans="1:16">
      <c r="A402" s="2" t="s">
        <v>537</v>
      </c>
      <c r="B402" s="6" t="s">
        <v>18</v>
      </c>
      <c r="C402" s="7">
        <v>45161</v>
      </c>
      <c r="D402" s="7" t="s">
        <v>67</v>
      </c>
      <c r="E402" s="4" t="s">
        <v>111</v>
      </c>
      <c r="F402" s="4" t="s">
        <v>121</v>
      </c>
      <c r="G402" s="8">
        <v>2837</v>
      </c>
      <c r="H402" s="8" t="s">
        <v>126</v>
      </c>
      <c r="I402" s="3">
        <f>IF($H402="A VISTA", C402 + CADASTROS!$B$3, IF($H402="1+1", C402 + CADASTROS!$B$4, IF(H402="1+2", C402 + CADASTROS!$B$5, IF(H402="1+3", C402 + CADASTROS!$B$6, ""))))</f>
        <v>45162</v>
      </c>
      <c r="J402" s="8">
        <f t="shared" si="24"/>
        <v>2837</v>
      </c>
      <c r="K402" s="3" t="str">
        <f>IF($L402&lt;&gt;"", IF($H402="A VISTA", "", IF($H402="1+1", $C402 + CADASTROS!$C$4, IF($H402="1+2", $C402 + CADASTROS!$C$5, IF($H402="1+3", $C402 + CADASTROS!$E$4, "")))), "")</f>
        <v/>
      </c>
      <c r="L402" s="8" t="str">
        <f t="shared" si="25"/>
        <v/>
      </c>
      <c r="M402" s="3" t="str">
        <f>IF($N402&lt;&gt;"", IF($H402="A VISTA", "", IF($H402="1+1", $C402 + CADASTROS!$C$4, IF($H402="1+2", $C402 + CADASTROS!$D$5, IF($H402="1+3", $C402 + CADASTROS!$D$6, "")))), "")</f>
        <v/>
      </c>
      <c r="N402" s="8" t="str">
        <f t="shared" si="26"/>
        <v/>
      </c>
      <c r="O402" s="3" t="str">
        <f>IF($P402&lt;&gt;"", IF($H402="A VISTA", "", IF($H402="1+1", $C402 + CADASTROS!$C$4, IF($H402="1+2", $C402 + CADASTROS!$C$5, IF($H402="1+3", $C402 + CADASTROS!$E$6, "")))), "")</f>
        <v/>
      </c>
      <c r="P402" s="8" t="str">
        <f t="shared" si="27"/>
        <v/>
      </c>
    </row>
    <row r="403" spans="1:16">
      <c r="A403" s="2" t="s">
        <v>538</v>
      </c>
      <c r="B403" s="6" t="s">
        <v>37</v>
      </c>
      <c r="C403" s="7">
        <v>45332</v>
      </c>
      <c r="D403" s="7" t="s">
        <v>86</v>
      </c>
      <c r="E403" s="4" t="s">
        <v>112</v>
      </c>
      <c r="F403" s="4" t="s">
        <v>123</v>
      </c>
      <c r="G403" s="8">
        <v>7874</v>
      </c>
      <c r="H403" s="8" t="s">
        <v>126</v>
      </c>
      <c r="I403" s="3">
        <f>IF($H403="A VISTA", C403 + CADASTROS!$B$3, IF($H403="1+1", C403 + CADASTROS!$B$4, IF(H403="1+2", C403 + CADASTROS!$B$5, IF(H403="1+3", C403 + CADASTROS!$B$6, ""))))</f>
        <v>45333</v>
      </c>
      <c r="J403" s="8">
        <f t="shared" si="24"/>
        <v>7874</v>
      </c>
      <c r="K403" s="3" t="str">
        <f>IF($L403&lt;&gt;"", IF($H403="A VISTA", "", IF($H403="1+1", $C403 + CADASTROS!$C$4, IF($H403="1+2", $C403 + CADASTROS!$C$5, IF($H403="1+3", $C403 + CADASTROS!$E$4, "")))), "")</f>
        <v/>
      </c>
      <c r="L403" s="8" t="str">
        <f t="shared" si="25"/>
        <v/>
      </c>
      <c r="M403" s="3" t="str">
        <f>IF($N403&lt;&gt;"", IF($H403="A VISTA", "", IF($H403="1+1", $C403 + CADASTROS!$C$4, IF($H403="1+2", $C403 + CADASTROS!$D$5, IF($H403="1+3", $C403 + CADASTROS!$D$6, "")))), "")</f>
        <v/>
      </c>
      <c r="N403" s="8" t="str">
        <f t="shared" si="26"/>
        <v/>
      </c>
      <c r="O403" s="3" t="str">
        <f>IF($P403&lt;&gt;"", IF($H403="A VISTA", "", IF($H403="1+1", $C403 + CADASTROS!$C$4, IF($H403="1+2", $C403 + CADASTROS!$C$5, IF($H403="1+3", $C403 + CADASTROS!$E$6, "")))), "")</f>
        <v/>
      </c>
      <c r="P403" s="8" t="str">
        <f t="shared" si="27"/>
        <v/>
      </c>
    </row>
    <row r="404" spans="1:16">
      <c r="A404" s="2" t="s">
        <v>539</v>
      </c>
      <c r="B404" s="6" t="s">
        <v>35</v>
      </c>
      <c r="C404" s="7">
        <v>45112</v>
      </c>
      <c r="D404" s="7" t="s">
        <v>84</v>
      </c>
      <c r="E404" s="4" t="s">
        <v>112</v>
      </c>
      <c r="F404" s="4" t="s">
        <v>122</v>
      </c>
      <c r="G404" s="8">
        <v>8182</v>
      </c>
      <c r="H404" s="8" t="s">
        <v>126</v>
      </c>
      <c r="I404" s="3">
        <f>IF($H404="A VISTA", C404 + CADASTROS!$B$3, IF($H404="1+1", C404 + CADASTROS!$B$4, IF(H404="1+2", C404 + CADASTROS!$B$5, IF(H404="1+3", C404 + CADASTROS!$B$6, ""))))</f>
        <v>45113</v>
      </c>
      <c r="J404" s="8">
        <f t="shared" si="24"/>
        <v>8182</v>
      </c>
      <c r="K404" s="3" t="str">
        <f>IF($L404&lt;&gt;"", IF($H404="A VISTA", "", IF($H404="1+1", $C404 + CADASTROS!$C$4, IF($H404="1+2", $C404 + CADASTROS!$C$5, IF($H404="1+3", $C404 + CADASTROS!$E$4, "")))), "")</f>
        <v/>
      </c>
      <c r="L404" s="8" t="str">
        <f t="shared" si="25"/>
        <v/>
      </c>
      <c r="M404" s="3" t="str">
        <f>IF($N404&lt;&gt;"", IF($H404="A VISTA", "", IF($H404="1+1", $C404 + CADASTROS!$C$4, IF($H404="1+2", $C404 + CADASTROS!$D$5, IF($H404="1+3", $C404 + CADASTROS!$D$6, "")))), "")</f>
        <v/>
      </c>
      <c r="N404" s="8" t="str">
        <f t="shared" si="26"/>
        <v/>
      </c>
      <c r="O404" s="3" t="str">
        <f>IF($P404&lt;&gt;"", IF($H404="A VISTA", "", IF($H404="1+1", $C404 + CADASTROS!$C$4, IF($H404="1+2", $C404 + CADASTROS!$C$5, IF($H404="1+3", $C404 + CADASTROS!$E$6, "")))), "")</f>
        <v/>
      </c>
      <c r="P404" s="8" t="str">
        <f t="shared" si="27"/>
        <v/>
      </c>
    </row>
    <row r="405" spans="1:16">
      <c r="A405" s="2" t="s">
        <v>540</v>
      </c>
      <c r="B405" s="6" t="s">
        <v>45</v>
      </c>
      <c r="C405" s="7">
        <v>45141</v>
      </c>
      <c r="D405" s="7" t="s">
        <v>94</v>
      </c>
      <c r="E405" s="4" t="s">
        <v>110</v>
      </c>
      <c r="F405" s="4" t="s">
        <v>113</v>
      </c>
      <c r="G405" s="8">
        <v>3563</v>
      </c>
      <c r="H405" s="8" t="s">
        <v>136</v>
      </c>
      <c r="I405" s="3">
        <f>IF($H405="A VISTA", C405 + CADASTROS!$B$3, IF($H405="1+1", C405 + CADASTROS!$B$4, IF(H405="1+2", C405 + CADASTROS!$B$5, IF(H405="1+3", C405 + CADASTROS!$B$6, ""))))</f>
        <v>45142</v>
      </c>
      <c r="J405" s="8">
        <f t="shared" si="24"/>
        <v>890.75</v>
      </c>
      <c r="K405" s="3">
        <f>IF($L405&lt;&gt;"", IF($H405="A VISTA", "", IF($H405="1+1", $C405 + CADASTROS!$C$4, IF($H405="1+2", $C405 + CADASTROS!$C$5, IF($H405="1+3", $C405 + CADASTROS!$E$4, "")))), "")</f>
        <v>45141</v>
      </c>
      <c r="L405" s="8">
        <f t="shared" si="25"/>
        <v>890.75</v>
      </c>
      <c r="M405" s="3">
        <f>IF($N405&lt;&gt;"", IF($H405="A VISTA", "", IF($H405="1+1", $C405 + CADASTROS!$C$4, IF($H405="1+2", $C405 + CADASTROS!$D$5, IF($H405="1+3", $C405 + CADASTROS!$D$6, "")))), "")</f>
        <v>45186</v>
      </c>
      <c r="N405" s="8">
        <f t="shared" si="26"/>
        <v>890.75</v>
      </c>
      <c r="O405" s="3">
        <f>IF($P405&lt;&gt;"", IF($H405="A VISTA", "", IF($H405="1+1", $C405 + CADASTROS!$C$4, IF($H405="1+2", $C405 + CADASTROS!$C$5, IF($H405="1+3", $C405 + CADASTROS!$E$6, "")))), "")</f>
        <v>45201</v>
      </c>
      <c r="P405" s="8">
        <f t="shared" si="27"/>
        <v>890.75</v>
      </c>
    </row>
    <row r="406" spans="1:16">
      <c r="A406" s="2" t="s">
        <v>541</v>
      </c>
      <c r="B406" s="6" t="s">
        <v>37</v>
      </c>
      <c r="C406" s="7">
        <v>45342</v>
      </c>
      <c r="D406" s="7" t="s">
        <v>86</v>
      </c>
      <c r="E406" s="4" t="s">
        <v>112</v>
      </c>
      <c r="F406" s="4" t="s">
        <v>123</v>
      </c>
      <c r="G406" s="8">
        <v>2295</v>
      </c>
      <c r="H406" s="8" t="s">
        <v>126</v>
      </c>
      <c r="I406" s="3">
        <f>IF($H406="A VISTA", C406 + CADASTROS!$B$3, IF($H406="1+1", C406 + CADASTROS!$B$4, IF(H406="1+2", C406 + CADASTROS!$B$5, IF(H406="1+3", C406 + CADASTROS!$B$6, ""))))</f>
        <v>45343</v>
      </c>
      <c r="J406" s="8">
        <f t="shared" si="24"/>
        <v>2295</v>
      </c>
      <c r="K406" s="3" t="str">
        <f>IF($L406&lt;&gt;"", IF($H406="A VISTA", "", IF($H406="1+1", $C406 + CADASTROS!$C$4, IF($H406="1+2", $C406 + CADASTROS!$C$5, IF($H406="1+3", $C406 + CADASTROS!$E$4, "")))), "")</f>
        <v/>
      </c>
      <c r="L406" s="8" t="str">
        <f t="shared" si="25"/>
        <v/>
      </c>
      <c r="M406" s="3" t="str">
        <f>IF($N406&lt;&gt;"", IF($H406="A VISTA", "", IF($H406="1+1", $C406 + CADASTROS!$C$4, IF($H406="1+2", $C406 + CADASTROS!$D$5, IF($H406="1+3", $C406 + CADASTROS!$D$6, "")))), "")</f>
        <v/>
      </c>
      <c r="N406" s="8" t="str">
        <f t="shared" si="26"/>
        <v/>
      </c>
      <c r="O406" s="3" t="str">
        <f>IF($P406&lt;&gt;"", IF($H406="A VISTA", "", IF($H406="1+1", $C406 + CADASTROS!$C$4, IF($H406="1+2", $C406 + CADASTROS!$C$5, IF($H406="1+3", $C406 + CADASTROS!$E$6, "")))), "")</f>
        <v/>
      </c>
      <c r="P406" s="8" t="str">
        <f t="shared" si="27"/>
        <v/>
      </c>
    </row>
    <row r="407" spans="1:16">
      <c r="A407" s="2" t="s">
        <v>542</v>
      </c>
      <c r="B407" s="6" t="s">
        <v>26</v>
      </c>
      <c r="C407" s="7">
        <v>45184</v>
      </c>
      <c r="D407" s="7" t="s">
        <v>75</v>
      </c>
      <c r="E407" s="4" t="s">
        <v>112</v>
      </c>
      <c r="F407" s="4" t="s">
        <v>123</v>
      </c>
      <c r="G407" s="8">
        <v>5621</v>
      </c>
      <c r="H407" s="8" t="s">
        <v>126</v>
      </c>
      <c r="I407" s="3">
        <f>IF($H407="A VISTA", C407 + CADASTROS!$B$3, IF($H407="1+1", C407 + CADASTROS!$B$4, IF(H407="1+2", C407 + CADASTROS!$B$5, IF(H407="1+3", C407 + CADASTROS!$B$6, ""))))</f>
        <v>45185</v>
      </c>
      <c r="J407" s="8">
        <f t="shared" si="24"/>
        <v>5621</v>
      </c>
      <c r="K407" s="3" t="str">
        <f>IF($L407&lt;&gt;"", IF($H407="A VISTA", "", IF($H407="1+1", $C407 + CADASTROS!$C$4, IF($H407="1+2", $C407 + CADASTROS!$C$5, IF($H407="1+3", $C407 + CADASTROS!$E$4, "")))), "")</f>
        <v/>
      </c>
      <c r="L407" s="8" t="str">
        <f t="shared" si="25"/>
        <v/>
      </c>
      <c r="M407" s="3" t="str">
        <f>IF($N407&lt;&gt;"", IF($H407="A VISTA", "", IF($H407="1+1", $C407 + CADASTROS!$C$4, IF($H407="1+2", $C407 + CADASTROS!$D$5, IF($H407="1+3", $C407 + CADASTROS!$D$6, "")))), "")</f>
        <v/>
      </c>
      <c r="N407" s="8" t="str">
        <f t="shared" si="26"/>
        <v/>
      </c>
      <c r="O407" s="3" t="str">
        <f>IF($P407&lt;&gt;"", IF($H407="A VISTA", "", IF($H407="1+1", $C407 + CADASTROS!$C$4, IF($H407="1+2", $C407 + CADASTROS!$C$5, IF($H407="1+3", $C407 + CADASTROS!$E$6, "")))), "")</f>
        <v/>
      </c>
      <c r="P407" s="8" t="str">
        <f t="shared" si="27"/>
        <v/>
      </c>
    </row>
    <row r="408" spans="1:16">
      <c r="A408" s="2" t="s">
        <v>543</v>
      </c>
      <c r="B408" s="6" t="s">
        <v>52</v>
      </c>
      <c r="C408" s="7">
        <v>45334</v>
      </c>
      <c r="D408" s="7" t="s">
        <v>101</v>
      </c>
      <c r="E408" s="4" t="s">
        <v>111</v>
      </c>
      <c r="F408" s="4" t="s">
        <v>118</v>
      </c>
      <c r="G408" s="8">
        <v>5611</v>
      </c>
      <c r="H408" s="8" t="s">
        <v>126</v>
      </c>
      <c r="I408" s="3">
        <f>IF($H408="A VISTA", C408 + CADASTROS!$B$3, IF($H408="1+1", C408 + CADASTROS!$B$4, IF(H408="1+2", C408 + CADASTROS!$B$5, IF(H408="1+3", C408 + CADASTROS!$B$6, ""))))</f>
        <v>45335</v>
      </c>
      <c r="J408" s="8">
        <f t="shared" si="24"/>
        <v>5611</v>
      </c>
      <c r="K408" s="3" t="str">
        <f>IF($L408&lt;&gt;"", IF($H408="A VISTA", "", IF($H408="1+1", $C408 + CADASTROS!$C$4, IF($H408="1+2", $C408 + CADASTROS!$C$5, IF($H408="1+3", $C408 + CADASTROS!$E$4, "")))), "")</f>
        <v/>
      </c>
      <c r="L408" s="8" t="str">
        <f t="shared" si="25"/>
        <v/>
      </c>
      <c r="M408" s="3" t="str">
        <f>IF($N408&lt;&gt;"", IF($H408="A VISTA", "", IF($H408="1+1", $C408 + CADASTROS!$C$4, IF($H408="1+2", $C408 + CADASTROS!$D$5, IF($H408="1+3", $C408 + CADASTROS!$D$6, "")))), "")</f>
        <v/>
      </c>
      <c r="N408" s="8" t="str">
        <f t="shared" si="26"/>
        <v/>
      </c>
      <c r="O408" s="3" t="str">
        <f>IF($P408&lt;&gt;"", IF($H408="A VISTA", "", IF($H408="1+1", $C408 + CADASTROS!$C$4, IF($H408="1+2", $C408 + CADASTROS!$C$5, IF($H408="1+3", $C408 + CADASTROS!$E$6, "")))), "")</f>
        <v/>
      </c>
      <c r="P408" s="8" t="str">
        <f t="shared" si="27"/>
        <v/>
      </c>
    </row>
    <row r="409" spans="1:16">
      <c r="A409" s="2" t="s">
        <v>544</v>
      </c>
      <c r="B409" s="6" t="s">
        <v>43</v>
      </c>
      <c r="C409" s="7">
        <v>45471</v>
      </c>
      <c r="D409" s="7" t="s">
        <v>92</v>
      </c>
      <c r="E409" s="4" t="s">
        <v>110</v>
      </c>
      <c r="F409" s="4" t="s">
        <v>124</v>
      </c>
      <c r="G409" s="8">
        <v>9978</v>
      </c>
      <c r="H409" s="8" t="s">
        <v>138</v>
      </c>
      <c r="I409" s="3">
        <f>IF($H409="A VISTA", C409 + CADASTROS!$B$3, IF($H409="1+1", C409 + CADASTROS!$B$4, IF(H409="1+2", C409 + CADASTROS!$B$5, IF(H409="1+3", C409 + CADASTROS!$B$6, ""))))</f>
        <v>45472</v>
      </c>
      <c r="J409" s="8">
        <f t="shared" si="24"/>
        <v>4989</v>
      </c>
      <c r="K409" s="3">
        <f>IF($L409&lt;&gt;"", IF($H409="A VISTA", "", IF($H409="1+1", $C409 + CADASTROS!$C$4, IF($H409="1+2", $C409 + CADASTROS!$C$5, IF($H409="1+3", $C409 + CADASTROS!$E$4, "")))), "")</f>
        <v>45501</v>
      </c>
      <c r="L409" s="8">
        <f t="shared" si="25"/>
        <v>4989</v>
      </c>
      <c r="M409" s="3" t="str">
        <f>IF($N409&lt;&gt;"", IF($H409="A VISTA", "", IF($H409="1+1", $C409 + CADASTROS!$C$4, IF($H409="1+2", $C409 + CADASTROS!$D$5, IF($H409="1+3", $C409 + CADASTROS!$D$6, "")))), "")</f>
        <v/>
      </c>
      <c r="N409" s="8" t="str">
        <f t="shared" si="26"/>
        <v/>
      </c>
      <c r="O409" s="3" t="str">
        <f>IF($P409&lt;&gt;"", IF($H409="A VISTA", "", IF($H409="1+1", $C409 + CADASTROS!$C$4, IF($H409="1+2", $C409 + CADASTROS!$C$5, IF($H409="1+3", $C409 + CADASTROS!$E$6, "")))), "")</f>
        <v/>
      </c>
      <c r="P409" s="8" t="str">
        <f t="shared" si="27"/>
        <v/>
      </c>
    </row>
    <row r="410" spans="1:16">
      <c r="A410" s="2" t="s">
        <v>545</v>
      </c>
      <c r="B410" s="6" t="s">
        <v>30</v>
      </c>
      <c r="C410" s="7">
        <v>45236</v>
      </c>
      <c r="D410" s="7" t="s">
        <v>79</v>
      </c>
      <c r="E410" s="4" t="s">
        <v>111</v>
      </c>
      <c r="F410" s="4" t="s">
        <v>118</v>
      </c>
      <c r="G410" s="8">
        <v>8750</v>
      </c>
      <c r="H410" s="8" t="s">
        <v>138</v>
      </c>
      <c r="I410" s="3">
        <f>IF($H410="A VISTA", C410 + CADASTROS!$B$3, IF($H410="1+1", C410 + CADASTROS!$B$4, IF(H410="1+2", C410 + CADASTROS!$B$5, IF(H410="1+3", C410 + CADASTROS!$B$6, ""))))</f>
        <v>45237</v>
      </c>
      <c r="J410" s="8">
        <f t="shared" si="24"/>
        <v>4375</v>
      </c>
      <c r="K410" s="3">
        <f>IF($L410&lt;&gt;"", IF($H410="A VISTA", "", IF($H410="1+1", $C410 + CADASTROS!$C$4, IF($H410="1+2", $C410 + CADASTROS!$C$5, IF($H410="1+3", $C410 + CADASTROS!$E$4, "")))), "")</f>
        <v>45266</v>
      </c>
      <c r="L410" s="8">
        <f t="shared" si="25"/>
        <v>4375</v>
      </c>
      <c r="M410" s="3" t="str">
        <f>IF($N410&lt;&gt;"", IF($H410="A VISTA", "", IF($H410="1+1", $C410 + CADASTROS!$C$4, IF($H410="1+2", $C410 + CADASTROS!$D$5, IF($H410="1+3", $C410 + CADASTROS!$D$6, "")))), "")</f>
        <v/>
      </c>
      <c r="N410" s="8" t="str">
        <f t="shared" si="26"/>
        <v/>
      </c>
      <c r="O410" s="3" t="str">
        <f>IF($P410&lt;&gt;"", IF($H410="A VISTA", "", IF($H410="1+1", $C410 + CADASTROS!$C$4, IF($H410="1+2", $C410 + CADASTROS!$C$5, IF($H410="1+3", $C410 + CADASTROS!$E$6, "")))), "")</f>
        <v/>
      </c>
      <c r="P410" s="8" t="str">
        <f t="shared" si="27"/>
        <v/>
      </c>
    </row>
    <row r="411" spans="1:16">
      <c r="A411" s="2" t="s">
        <v>546</v>
      </c>
      <c r="B411" s="6" t="s">
        <v>51</v>
      </c>
      <c r="C411" s="7">
        <v>45107</v>
      </c>
      <c r="D411" s="7" t="s">
        <v>100</v>
      </c>
      <c r="E411" s="4" t="s">
        <v>111</v>
      </c>
      <c r="F411" s="4" t="s">
        <v>121</v>
      </c>
      <c r="G411" s="8">
        <v>8236</v>
      </c>
      <c r="H411" s="8" t="s">
        <v>136</v>
      </c>
      <c r="I411" s="3">
        <f>IF($H411="A VISTA", C411 + CADASTROS!$B$3, IF($H411="1+1", C411 + CADASTROS!$B$4, IF(H411="1+2", C411 + CADASTROS!$B$5, IF(H411="1+3", C411 + CADASTROS!$B$6, ""))))</f>
        <v>45108</v>
      </c>
      <c r="J411" s="8">
        <f t="shared" si="24"/>
        <v>2059</v>
      </c>
      <c r="K411" s="3">
        <f>IF($L411&lt;&gt;"", IF($H411="A VISTA", "", IF($H411="1+1", $C411 + CADASTROS!$C$4, IF($H411="1+2", $C411 + CADASTROS!$C$5, IF($H411="1+3", $C411 + CADASTROS!$E$4, "")))), "")</f>
        <v>45107</v>
      </c>
      <c r="L411" s="8">
        <f t="shared" si="25"/>
        <v>2059</v>
      </c>
      <c r="M411" s="3">
        <f>IF($N411&lt;&gt;"", IF($H411="A VISTA", "", IF($H411="1+1", $C411 + CADASTROS!$C$4, IF($H411="1+2", $C411 + CADASTROS!$D$5, IF($H411="1+3", $C411 + CADASTROS!$D$6, "")))), "")</f>
        <v>45152</v>
      </c>
      <c r="N411" s="8">
        <f t="shared" si="26"/>
        <v>2059</v>
      </c>
      <c r="O411" s="3">
        <f>IF($P411&lt;&gt;"", IF($H411="A VISTA", "", IF($H411="1+1", $C411 + CADASTROS!$C$4, IF($H411="1+2", $C411 + CADASTROS!$C$5, IF($H411="1+3", $C411 + CADASTROS!$E$6, "")))), "")</f>
        <v>45167</v>
      </c>
      <c r="P411" s="8">
        <f t="shared" si="27"/>
        <v>2059</v>
      </c>
    </row>
    <row r="412" spans="1:16">
      <c r="A412" s="2" t="s">
        <v>547</v>
      </c>
      <c r="B412" s="6" t="s">
        <v>46</v>
      </c>
      <c r="C412" s="7">
        <v>45307</v>
      </c>
      <c r="D412" s="7" t="s">
        <v>95</v>
      </c>
      <c r="E412" s="4" t="s">
        <v>112</v>
      </c>
      <c r="F412" s="4" t="s">
        <v>122</v>
      </c>
      <c r="G412" s="8">
        <v>1065</v>
      </c>
      <c r="H412" s="8" t="s">
        <v>126</v>
      </c>
      <c r="I412" s="3">
        <f>IF($H412="A VISTA", C412 + CADASTROS!$B$3, IF($H412="1+1", C412 + CADASTROS!$B$4, IF(H412="1+2", C412 + CADASTROS!$B$5, IF(H412="1+3", C412 + CADASTROS!$B$6, ""))))</f>
        <v>45308</v>
      </c>
      <c r="J412" s="8">
        <f t="shared" si="24"/>
        <v>1065</v>
      </c>
      <c r="K412" s="3" t="str">
        <f>IF($L412&lt;&gt;"", IF($H412="A VISTA", "", IF($H412="1+1", $C412 + CADASTROS!$C$4, IF($H412="1+2", $C412 + CADASTROS!$C$5, IF($H412="1+3", $C412 + CADASTROS!$E$4, "")))), "")</f>
        <v/>
      </c>
      <c r="L412" s="8" t="str">
        <f t="shared" si="25"/>
        <v/>
      </c>
      <c r="M412" s="3" t="str">
        <f>IF($N412&lt;&gt;"", IF($H412="A VISTA", "", IF($H412="1+1", $C412 + CADASTROS!$C$4, IF($H412="1+2", $C412 + CADASTROS!$D$5, IF($H412="1+3", $C412 + CADASTROS!$D$6, "")))), "")</f>
        <v/>
      </c>
      <c r="N412" s="8" t="str">
        <f t="shared" si="26"/>
        <v/>
      </c>
      <c r="O412" s="3" t="str">
        <f>IF($P412&lt;&gt;"", IF($H412="A VISTA", "", IF($H412="1+1", $C412 + CADASTROS!$C$4, IF($H412="1+2", $C412 + CADASTROS!$C$5, IF($H412="1+3", $C412 + CADASTROS!$E$6, "")))), "")</f>
        <v/>
      </c>
      <c r="P412" s="8" t="str">
        <f t="shared" si="27"/>
        <v/>
      </c>
    </row>
    <row r="413" spans="1:16">
      <c r="A413" s="2" t="s">
        <v>548</v>
      </c>
      <c r="B413" s="6" t="s">
        <v>12</v>
      </c>
      <c r="C413" s="7">
        <v>45371</v>
      </c>
      <c r="D413" s="7" t="s">
        <v>62</v>
      </c>
      <c r="E413" s="4" t="s">
        <v>112</v>
      </c>
      <c r="F413" s="4" t="s">
        <v>122</v>
      </c>
      <c r="G413" s="8">
        <v>486</v>
      </c>
      <c r="H413" s="8" t="s">
        <v>126</v>
      </c>
      <c r="I413" s="3">
        <f>IF($H413="A VISTA", C413 + CADASTROS!$B$3, IF($H413="1+1", C413 + CADASTROS!$B$4, IF(H413="1+2", C413 + CADASTROS!$B$5, IF(H413="1+3", C413 + CADASTROS!$B$6, ""))))</f>
        <v>45372</v>
      </c>
      <c r="J413" s="8">
        <f t="shared" si="24"/>
        <v>486</v>
      </c>
      <c r="K413" s="3" t="str">
        <f>IF($L413&lt;&gt;"", IF($H413="A VISTA", "", IF($H413="1+1", $C413 + CADASTROS!$C$4, IF($H413="1+2", $C413 + CADASTROS!$C$5, IF($H413="1+3", $C413 + CADASTROS!$E$4, "")))), "")</f>
        <v/>
      </c>
      <c r="L413" s="8" t="str">
        <f t="shared" si="25"/>
        <v/>
      </c>
      <c r="M413" s="3" t="str">
        <f>IF($N413&lt;&gt;"", IF($H413="A VISTA", "", IF($H413="1+1", $C413 + CADASTROS!$C$4, IF($H413="1+2", $C413 + CADASTROS!$D$5, IF($H413="1+3", $C413 + CADASTROS!$D$6, "")))), "")</f>
        <v/>
      </c>
      <c r="N413" s="8" t="str">
        <f t="shared" si="26"/>
        <v/>
      </c>
      <c r="O413" s="3" t="str">
        <f>IF($P413&lt;&gt;"", IF($H413="A VISTA", "", IF($H413="1+1", $C413 + CADASTROS!$C$4, IF($H413="1+2", $C413 + CADASTROS!$C$5, IF($H413="1+3", $C413 + CADASTROS!$E$6, "")))), "")</f>
        <v/>
      </c>
      <c r="P413" s="8" t="str">
        <f t="shared" si="27"/>
        <v/>
      </c>
    </row>
    <row r="414" spans="1:16">
      <c r="A414" s="2" t="s">
        <v>549</v>
      </c>
      <c r="B414" s="6" t="s">
        <v>49</v>
      </c>
      <c r="C414" s="7">
        <v>45271</v>
      </c>
      <c r="D414" s="7" t="s">
        <v>98</v>
      </c>
      <c r="E414" s="4" t="s">
        <v>110</v>
      </c>
      <c r="F414" s="4" t="s">
        <v>125</v>
      </c>
      <c r="G414" s="8">
        <v>8422</v>
      </c>
      <c r="H414" s="8" t="s">
        <v>138</v>
      </c>
      <c r="I414" s="3">
        <f>IF($H414="A VISTA", C414 + CADASTROS!$B$3, IF($H414="1+1", C414 + CADASTROS!$B$4, IF(H414="1+2", C414 + CADASTROS!$B$5, IF(H414="1+3", C414 + CADASTROS!$B$6, ""))))</f>
        <v>45272</v>
      </c>
      <c r="J414" s="8">
        <f t="shared" si="24"/>
        <v>4211</v>
      </c>
      <c r="K414" s="3">
        <f>IF($L414&lt;&gt;"", IF($H414="A VISTA", "", IF($H414="1+1", $C414 + CADASTROS!$C$4, IF($H414="1+2", $C414 + CADASTROS!$C$5, IF($H414="1+3", $C414 + CADASTROS!$E$4, "")))), "")</f>
        <v>45301</v>
      </c>
      <c r="L414" s="8">
        <f t="shared" si="25"/>
        <v>4211</v>
      </c>
      <c r="M414" s="3" t="str">
        <f>IF($N414&lt;&gt;"", IF($H414="A VISTA", "", IF($H414="1+1", $C414 + CADASTROS!$C$4, IF($H414="1+2", $C414 + CADASTROS!$D$5, IF($H414="1+3", $C414 + CADASTROS!$D$6, "")))), "")</f>
        <v/>
      </c>
      <c r="N414" s="8" t="str">
        <f t="shared" si="26"/>
        <v/>
      </c>
      <c r="O414" s="3" t="str">
        <f>IF($P414&lt;&gt;"", IF($H414="A VISTA", "", IF($H414="1+1", $C414 + CADASTROS!$C$4, IF($H414="1+2", $C414 + CADASTROS!$C$5, IF($H414="1+3", $C414 + CADASTROS!$E$6, "")))), "")</f>
        <v/>
      </c>
      <c r="P414" s="8" t="str">
        <f t="shared" si="27"/>
        <v/>
      </c>
    </row>
    <row r="415" spans="1:16">
      <c r="A415" s="2" t="s">
        <v>550</v>
      </c>
      <c r="B415" s="6" t="s">
        <v>37</v>
      </c>
      <c r="C415" s="7">
        <v>45414</v>
      </c>
      <c r="D415" s="7" t="s">
        <v>86</v>
      </c>
      <c r="E415" s="4" t="s">
        <v>112</v>
      </c>
      <c r="F415" s="4" t="s">
        <v>123</v>
      </c>
      <c r="G415" s="8">
        <v>5339</v>
      </c>
      <c r="H415" s="8" t="s">
        <v>126</v>
      </c>
      <c r="I415" s="3">
        <f>IF($H415="A VISTA", C415 + CADASTROS!$B$3, IF($H415="1+1", C415 + CADASTROS!$B$4, IF(H415="1+2", C415 + CADASTROS!$B$5, IF(H415="1+3", C415 + CADASTROS!$B$6, ""))))</f>
        <v>45415</v>
      </c>
      <c r="J415" s="8">
        <f t="shared" si="24"/>
        <v>5339</v>
      </c>
      <c r="K415" s="3" t="str">
        <f>IF($L415&lt;&gt;"", IF($H415="A VISTA", "", IF($H415="1+1", $C415 + CADASTROS!$C$4, IF($H415="1+2", $C415 + CADASTROS!$C$5, IF($H415="1+3", $C415 + CADASTROS!$E$4, "")))), "")</f>
        <v/>
      </c>
      <c r="L415" s="8" t="str">
        <f t="shared" si="25"/>
        <v/>
      </c>
      <c r="M415" s="3" t="str">
        <f>IF($N415&lt;&gt;"", IF($H415="A VISTA", "", IF($H415="1+1", $C415 + CADASTROS!$C$4, IF($H415="1+2", $C415 + CADASTROS!$D$5, IF($H415="1+3", $C415 + CADASTROS!$D$6, "")))), "")</f>
        <v/>
      </c>
      <c r="N415" s="8" t="str">
        <f t="shared" si="26"/>
        <v/>
      </c>
      <c r="O415" s="3" t="str">
        <f>IF($P415&lt;&gt;"", IF($H415="A VISTA", "", IF($H415="1+1", $C415 + CADASTROS!$C$4, IF($H415="1+2", $C415 + CADASTROS!$C$5, IF($H415="1+3", $C415 + CADASTROS!$E$6, "")))), "")</f>
        <v/>
      </c>
      <c r="P415" s="8" t="str">
        <f t="shared" si="27"/>
        <v/>
      </c>
    </row>
    <row r="416" spans="1:16">
      <c r="A416" s="2" t="s">
        <v>551</v>
      </c>
      <c r="B416" s="6" t="s">
        <v>47</v>
      </c>
      <c r="C416" s="7">
        <v>45421</v>
      </c>
      <c r="D416" s="7" t="s">
        <v>96</v>
      </c>
      <c r="E416" s="4" t="s">
        <v>111</v>
      </c>
      <c r="F416" s="4" t="s">
        <v>120</v>
      </c>
      <c r="G416" s="8">
        <v>1109</v>
      </c>
      <c r="H416" s="8" t="s">
        <v>126</v>
      </c>
      <c r="I416" s="3">
        <f>IF($H416="A VISTA", C416 + CADASTROS!$B$3, IF($H416="1+1", C416 + CADASTROS!$B$4, IF(H416="1+2", C416 + CADASTROS!$B$5, IF(H416="1+3", C416 + CADASTROS!$B$6, ""))))</f>
        <v>45422</v>
      </c>
      <c r="J416" s="8">
        <f t="shared" si="24"/>
        <v>1109</v>
      </c>
      <c r="K416" s="3" t="str">
        <f>IF($L416&lt;&gt;"", IF($H416="A VISTA", "", IF($H416="1+1", $C416 + CADASTROS!$C$4, IF($H416="1+2", $C416 + CADASTROS!$C$5, IF($H416="1+3", $C416 + CADASTROS!$E$4, "")))), "")</f>
        <v/>
      </c>
      <c r="L416" s="8" t="str">
        <f t="shared" si="25"/>
        <v/>
      </c>
      <c r="M416" s="3" t="str">
        <f>IF($N416&lt;&gt;"", IF($H416="A VISTA", "", IF($H416="1+1", $C416 + CADASTROS!$C$4, IF($H416="1+2", $C416 + CADASTROS!$D$5, IF($H416="1+3", $C416 + CADASTROS!$D$6, "")))), "")</f>
        <v/>
      </c>
      <c r="N416" s="8" t="str">
        <f t="shared" si="26"/>
        <v/>
      </c>
      <c r="O416" s="3" t="str">
        <f>IF($P416&lt;&gt;"", IF($H416="A VISTA", "", IF($H416="1+1", $C416 + CADASTROS!$C$4, IF($H416="1+2", $C416 + CADASTROS!$C$5, IF($H416="1+3", $C416 + CADASTROS!$E$6, "")))), "")</f>
        <v/>
      </c>
      <c r="P416" s="8" t="str">
        <f t="shared" si="27"/>
        <v/>
      </c>
    </row>
    <row r="417" spans="1:16">
      <c r="A417" s="2" t="s">
        <v>552</v>
      </c>
      <c r="B417" s="6" t="s">
        <v>17</v>
      </c>
      <c r="C417" s="7">
        <v>45087</v>
      </c>
      <c r="D417" s="7" t="s">
        <v>66</v>
      </c>
      <c r="E417" s="4" t="s">
        <v>110</v>
      </c>
      <c r="F417" s="4" t="s">
        <v>114</v>
      </c>
      <c r="G417" s="8">
        <v>9579</v>
      </c>
      <c r="H417" s="8" t="s">
        <v>138</v>
      </c>
      <c r="I417" s="3">
        <f>IF($H417="A VISTA", C417 + CADASTROS!$B$3, IF($H417="1+1", C417 + CADASTROS!$B$4, IF(H417="1+2", C417 + CADASTROS!$B$5, IF(H417="1+3", C417 + CADASTROS!$B$6, ""))))</f>
        <v>45088</v>
      </c>
      <c r="J417" s="8">
        <f t="shared" si="24"/>
        <v>4789.5</v>
      </c>
      <c r="K417" s="3">
        <f>IF($L417&lt;&gt;"", IF($H417="A VISTA", "", IF($H417="1+1", $C417 + CADASTROS!$C$4, IF($H417="1+2", $C417 + CADASTROS!$C$5, IF($H417="1+3", $C417 + CADASTROS!$E$4, "")))), "")</f>
        <v>45117</v>
      </c>
      <c r="L417" s="8">
        <f t="shared" si="25"/>
        <v>4789.5</v>
      </c>
      <c r="M417" s="3" t="str">
        <f>IF($N417&lt;&gt;"", IF($H417="A VISTA", "", IF($H417="1+1", $C417 + CADASTROS!$C$4, IF($H417="1+2", $C417 + CADASTROS!$D$5, IF($H417="1+3", $C417 + CADASTROS!$D$6, "")))), "")</f>
        <v/>
      </c>
      <c r="N417" s="8" t="str">
        <f t="shared" si="26"/>
        <v/>
      </c>
      <c r="O417" s="3" t="str">
        <f>IF($P417&lt;&gt;"", IF($H417="A VISTA", "", IF($H417="1+1", $C417 + CADASTROS!$C$4, IF($H417="1+2", $C417 + CADASTROS!$C$5, IF($H417="1+3", $C417 + CADASTROS!$E$6, "")))), "")</f>
        <v/>
      </c>
      <c r="P417" s="8" t="str">
        <f t="shared" si="27"/>
        <v/>
      </c>
    </row>
    <row r="418" spans="1:16">
      <c r="A418" s="2" t="s">
        <v>553</v>
      </c>
      <c r="B418" s="6" t="s">
        <v>43</v>
      </c>
      <c r="C418" s="7">
        <v>45239</v>
      </c>
      <c r="D418" s="7" t="s">
        <v>92</v>
      </c>
      <c r="E418" s="4" t="s">
        <v>110</v>
      </c>
      <c r="F418" s="4" t="s">
        <v>124</v>
      </c>
      <c r="G418" s="8">
        <v>7776</v>
      </c>
      <c r="H418" s="8" t="s">
        <v>136</v>
      </c>
      <c r="I418" s="3">
        <f>IF($H418="A VISTA", C418 + CADASTROS!$B$3, IF($H418="1+1", C418 + CADASTROS!$B$4, IF(H418="1+2", C418 + CADASTROS!$B$5, IF(H418="1+3", C418 + CADASTROS!$B$6, ""))))</f>
        <v>45240</v>
      </c>
      <c r="J418" s="8">
        <f t="shared" si="24"/>
        <v>1944</v>
      </c>
      <c r="K418" s="3">
        <f>IF($L418&lt;&gt;"", IF($H418="A VISTA", "", IF($H418="1+1", $C418 + CADASTROS!$C$4, IF($H418="1+2", $C418 + CADASTROS!$C$5, IF($H418="1+3", $C418 + CADASTROS!$E$4, "")))), "")</f>
        <v>45239</v>
      </c>
      <c r="L418" s="8">
        <f t="shared" si="25"/>
        <v>1944</v>
      </c>
      <c r="M418" s="3">
        <f>IF($N418&lt;&gt;"", IF($H418="A VISTA", "", IF($H418="1+1", $C418 + CADASTROS!$C$4, IF($H418="1+2", $C418 + CADASTROS!$D$5, IF($H418="1+3", $C418 + CADASTROS!$D$6, "")))), "")</f>
        <v>45284</v>
      </c>
      <c r="N418" s="8">
        <f t="shared" si="26"/>
        <v>1944</v>
      </c>
      <c r="O418" s="3">
        <f>IF($P418&lt;&gt;"", IF($H418="A VISTA", "", IF($H418="1+1", $C418 + CADASTROS!$C$4, IF($H418="1+2", $C418 + CADASTROS!$C$5, IF($H418="1+3", $C418 + CADASTROS!$E$6, "")))), "")</f>
        <v>45299</v>
      </c>
      <c r="P418" s="8">
        <f t="shared" si="27"/>
        <v>1944</v>
      </c>
    </row>
    <row r="419" spans="1:16">
      <c r="A419" s="2" t="s">
        <v>554</v>
      </c>
      <c r="B419" s="6" t="s">
        <v>60</v>
      </c>
      <c r="C419" s="7">
        <v>45276</v>
      </c>
      <c r="D419" s="7" t="s">
        <v>109</v>
      </c>
      <c r="E419" s="4" t="s">
        <v>111</v>
      </c>
      <c r="F419" s="4" t="s">
        <v>118</v>
      </c>
      <c r="G419" s="8">
        <v>2584</v>
      </c>
      <c r="H419" s="8" t="s">
        <v>136</v>
      </c>
      <c r="I419" s="3">
        <f>IF($H419="A VISTA", C419 + CADASTROS!$B$3, IF($H419="1+1", C419 + CADASTROS!$B$4, IF(H419="1+2", C419 + CADASTROS!$B$5, IF(H419="1+3", C419 + CADASTROS!$B$6, ""))))</f>
        <v>45277</v>
      </c>
      <c r="J419" s="8">
        <f t="shared" si="24"/>
        <v>646</v>
      </c>
      <c r="K419" s="3">
        <f>IF($L419&lt;&gt;"", IF($H419="A VISTA", "", IF($H419="1+1", $C419 + CADASTROS!$C$4, IF($H419="1+2", $C419 + CADASTROS!$C$5, IF($H419="1+3", $C419 + CADASTROS!$E$4, "")))), "")</f>
        <v>45276</v>
      </c>
      <c r="L419" s="8">
        <f t="shared" si="25"/>
        <v>646</v>
      </c>
      <c r="M419" s="3">
        <f>IF($N419&lt;&gt;"", IF($H419="A VISTA", "", IF($H419="1+1", $C419 + CADASTROS!$C$4, IF($H419="1+2", $C419 + CADASTROS!$D$5, IF($H419="1+3", $C419 + CADASTROS!$D$6, "")))), "")</f>
        <v>45321</v>
      </c>
      <c r="N419" s="8">
        <f t="shared" si="26"/>
        <v>646</v>
      </c>
      <c r="O419" s="3">
        <f>IF($P419&lt;&gt;"", IF($H419="A VISTA", "", IF($H419="1+1", $C419 + CADASTROS!$C$4, IF($H419="1+2", $C419 + CADASTROS!$C$5, IF($H419="1+3", $C419 + CADASTROS!$E$6, "")))), "")</f>
        <v>45336</v>
      </c>
      <c r="P419" s="8">
        <f t="shared" si="27"/>
        <v>646</v>
      </c>
    </row>
    <row r="420" spans="1:16">
      <c r="A420" s="2" t="s">
        <v>555</v>
      </c>
      <c r="B420" s="6" t="s">
        <v>41</v>
      </c>
      <c r="C420" s="7">
        <v>45388</v>
      </c>
      <c r="D420" s="7" t="s">
        <v>90</v>
      </c>
      <c r="E420" s="4" t="s">
        <v>111</v>
      </c>
      <c r="F420" s="4" t="s">
        <v>118</v>
      </c>
      <c r="G420" s="8">
        <v>6415</v>
      </c>
      <c r="H420" s="8" t="s">
        <v>136</v>
      </c>
      <c r="I420" s="3">
        <f>IF($H420="A VISTA", C420 + CADASTROS!$B$3, IF($H420="1+1", C420 + CADASTROS!$B$4, IF(H420="1+2", C420 + CADASTROS!$B$5, IF(H420="1+3", C420 + CADASTROS!$B$6, ""))))</f>
        <v>45389</v>
      </c>
      <c r="J420" s="8">
        <f t="shared" si="24"/>
        <v>1603.75</v>
      </c>
      <c r="K420" s="3">
        <f>IF($L420&lt;&gt;"", IF($H420="A VISTA", "", IF($H420="1+1", $C420 + CADASTROS!$C$4, IF($H420="1+2", $C420 + CADASTROS!$C$5, IF($H420="1+3", $C420 + CADASTROS!$E$4, "")))), "")</f>
        <v>45388</v>
      </c>
      <c r="L420" s="8">
        <f t="shared" si="25"/>
        <v>1603.75</v>
      </c>
      <c r="M420" s="3">
        <f>IF($N420&lt;&gt;"", IF($H420="A VISTA", "", IF($H420="1+1", $C420 + CADASTROS!$C$4, IF($H420="1+2", $C420 + CADASTROS!$D$5, IF($H420="1+3", $C420 + CADASTROS!$D$6, "")))), "")</f>
        <v>45433</v>
      </c>
      <c r="N420" s="8">
        <f t="shared" si="26"/>
        <v>1603.75</v>
      </c>
      <c r="O420" s="3">
        <f>IF($P420&lt;&gt;"", IF($H420="A VISTA", "", IF($H420="1+1", $C420 + CADASTROS!$C$4, IF($H420="1+2", $C420 + CADASTROS!$C$5, IF($H420="1+3", $C420 + CADASTROS!$E$6, "")))), "")</f>
        <v>45448</v>
      </c>
      <c r="P420" s="8">
        <f t="shared" si="27"/>
        <v>1603.75</v>
      </c>
    </row>
    <row r="421" spans="1:16">
      <c r="A421" s="2" t="s">
        <v>556</v>
      </c>
      <c r="B421" s="6" t="s">
        <v>50</v>
      </c>
      <c r="C421" s="7">
        <v>45213</v>
      </c>
      <c r="D421" s="7" t="s">
        <v>99</v>
      </c>
      <c r="E421" s="4" t="s">
        <v>110</v>
      </c>
      <c r="F421" s="4" t="s">
        <v>114</v>
      </c>
      <c r="G421" s="8">
        <v>1976</v>
      </c>
      <c r="H421" s="8" t="s">
        <v>136</v>
      </c>
      <c r="I421" s="3">
        <f>IF($H421="A VISTA", C421 + CADASTROS!$B$3, IF($H421="1+1", C421 + CADASTROS!$B$4, IF(H421="1+2", C421 + CADASTROS!$B$5, IF(H421="1+3", C421 + CADASTROS!$B$6, ""))))</f>
        <v>45214</v>
      </c>
      <c r="J421" s="8">
        <f t="shared" si="24"/>
        <v>494</v>
      </c>
      <c r="K421" s="3">
        <f>IF($L421&lt;&gt;"", IF($H421="A VISTA", "", IF($H421="1+1", $C421 + CADASTROS!$C$4, IF($H421="1+2", $C421 + CADASTROS!$C$5, IF($H421="1+3", $C421 + CADASTROS!$E$4, "")))), "")</f>
        <v>45213</v>
      </c>
      <c r="L421" s="8">
        <f t="shared" si="25"/>
        <v>494</v>
      </c>
      <c r="M421" s="3">
        <f>IF($N421&lt;&gt;"", IF($H421="A VISTA", "", IF($H421="1+1", $C421 + CADASTROS!$C$4, IF($H421="1+2", $C421 + CADASTROS!$D$5, IF($H421="1+3", $C421 + CADASTROS!$D$6, "")))), "")</f>
        <v>45258</v>
      </c>
      <c r="N421" s="8">
        <f t="shared" si="26"/>
        <v>494</v>
      </c>
      <c r="O421" s="3">
        <f>IF($P421&lt;&gt;"", IF($H421="A VISTA", "", IF($H421="1+1", $C421 + CADASTROS!$C$4, IF($H421="1+2", $C421 + CADASTROS!$C$5, IF($H421="1+3", $C421 + CADASTROS!$E$6, "")))), "")</f>
        <v>45273</v>
      </c>
      <c r="P421" s="8">
        <f t="shared" si="27"/>
        <v>494</v>
      </c>
    </row>
    <row r="422" spans="1:16">
      <c r="A422" s="2" t="s">
        <v>557</v>
      </c>
      <c r="B422" s="6" t="s">
        <v>53</v>
      </c>
      <c r="C422" s="7">
        <v>45235</v>
      </c>
      <c r="D422" s="7" t="s">
        <v>102</v>
      </c>
      <c r="E422" s="4" t="s">
        <v>111</v>
      </c>
      <c r="F422" s="4" t="s">
        <v>117</v>
      </c>
      <c r="G422" s="8">
        <v>690</v>
      </c>
      <c r="H422" s="8" t="s">
        <v>126</v>
      </c>
      <c r="I422" s="3">
        <f>IF($H422="A VISTA", C422 + CADASTROS!$B$3, IF($H422="1+1", C422 + CADASTROS!$B$4, IF(H422="1+2", C422 + CADASTROS!$B$5, IF(H422="1+3", C422 + CADASTROS!$B$6, ""))))</f>
        <v>45236</v>
      </c>
      <c r="J422" s="8">
        <f t="shared" si="24"/>
        <v>690</v>
      </c>
      <c r="K422" s="3" t="str">
        <f>IF($L422&lt;&gt;"", IF($H422="A VISTA", "", IF($H422="1+1", $C422 + CADASTROS!$C$4, IF($H422="1+2", $C422 + CADASTROS!$C$5, IF($H422="1+3", $C422 + CADASTROS!$E$4, "")))), "")</f>
        <v/>
      </c>
      <c r="L422" s="8" t="str">
        <f t="shared" si="25"/>
        <v/>
      </c>
      <c r="M422" s="3" t="str">
        <f>IF($N422&lt;&gt;"", IF($H422="A VISTA", "", IF($H422="1+1", $C422 + CADASTROS!$C$4, IF($H422="1+2", $C422 + CADASTROS!$D$5, IF($H422="1+3", $C422 + CADASTROS!$D$6, "")))), "")</f>
        <v/>
      </c>
      <c r="N422" s="8" t="str">
        <f t="shared" si="26"/>
        <v/>
      </c>
      <c r="O422" s="3" t="str">
        <f>IF($P422&lt;&gt;"", IF($H422="A VISTA", "", IF($H422="1+1", $C422 + CADASTROS!$C$4, IF($H422="1+2", $C422 + CADASTROS!$C$5, IF($H422="1+3", $C422 + CADASTROS!$E$6, "")))), "")</f>
        <v/>
      </c>
      <c r="P422" s="8" t="str">
        <f t="shared" si="27"/>
        <v/>
      </c>
    </row>
    <row r="423" spans="1:16">
      <c r="A423" s="2" t="s">
        <v>558</v>
      </c>
      <c r="B423" s="6" t="s">
        <v>53</v>
      </c>
      <c r="C423" s="7">
        <v>45512</v>
      </c>
      <c r="D423" s="7" t="s">
        <v>102</v>
      </c>
      <c r="E423" s="4" t="s">
        <v>111</v>
      </c>
      <c r="F423" s="4" t="s">
        <v>117</v>
      </c>
      <c r="G423" s="8">
        <v>4101</v>
      </c>
      <c r="H423" s="8" t="s">
        <v>126</v>
      </c>
      <c r="I423" s="3">
        <f>IF($H423="A VISTA", C423 + CADASTROS!$B$3, IF($H423="1+1", C423 + CADASTROS!$B$4, IF(H423="1+2", C423 + CADASTROS!$B$5, IF(H423="1+3", C423 + CADASTROS!$B$6, ""))))</f>
        <v>45513</v>
      </c>
      <c r="J423" s="8">
        <f t="shared" si="24"/>
        <v>4101</v>
      </c>
      <c r="K423" s="3" t="str">
        <f>IF($L423&lt;&gt;"", IF($H423="A VISTA", "", IF($H423="1+1", $C423 + CADASTROS!$C$4, IF($H423="1+2", $C423 + CADASTROS!$C$5, IF($H423="1+3", $C423 + CADASTROS!$E$4, "")))), "")</f>
        <v/>
      </c>
      <c r="L423" s="8" t="str">
        <f t="shared" si="25"/>
        <v/>
      </c>
      <c r="M423" s="3" t="str">
        <f>IF($N423&lt;&gt;"", IF($H423="A VISTA", "", IF($H423="1+1", $C423 + CADASTROS!$C$4, IF($H423="1+2", $C423 + CADASTROS!$D$5, IF($H423="1+3", $C423 + CADASTROS!$D$6, "")))), "")</f>
        <v/>
      </c>
      <c r="N423" s="8" t="str">
        <f t="shared" si="26"/>
        <v/>
      </c>
      <c r="O423" s="3" t="str">
        <f>IF($P423&lt;&gt;"", IF($H423="A VISTA", "", IF($H423="1+1", $C423 + CADASTROS!$C$4, IF($H423="1+2", $C423 + CADASTROS!$C$5, IF($H423="1+3", $C423 + CADASTROS!$E$6, "")))), "")</f>
        <v/>
      </c>
      <c r="P423" s="8" t="str">
        <f t="shared" si="27"/>
        <v/>
      </c>
    </row>
    <row r="424" spans="1:16">
      <c r="A424" s="2" t="s">
        <v>559</v>
      </c>
      <c r="B424" s="6" t="s">
        <v>42</v>
      </c>
      <c r="C424" s="7">
        <v>45380</v>
      </c>
      <c r="D424" s="7" t="s">
        <v>91</v>
      </c>
      <c r="E424" s="4" t="s">
        <v>111</v>
      </c>
      <c r="F424" s="4" t="s">
        <v>117</v>
      </c>
      <c r="G424" s="8">
        <v>4789</v>
      </c>
      <c r="H424" s="8" t="s">
        <v>138</v>
      </c>
      <c r="I424" s="3">
        <f>IF($H424="A VISTA", C424 + CADASTROS!$B$3, IF($H424="1+1", C424 + CADASTROS!$B$4, IF(H424="1+2", C424 + CADASTROS!$B$5, IF(H424="1+3", C424 + CADASTROS!$B$6, ""))))</f>
        <v>45381</v>
      </c>
      <c r="J424" s="8">
        <f t="shared" si="24"/>
        <v>2394.5</v>
      </c>
      <c r="K424" s="3">
        <f>IF($L424&lt;&gt;"", IF($H424="A VISTA", "", IF($H424="1+1", $C424 + CADASTROS!$C$4, IF($H424="1+2", $C424 + CADASTROS!$C$5, IF($H424="1+3", $C424 + CADASTROS!$E$4, "")))), "")</f>
        <v>45410</v>
      </c>
      <c r="L424" s="8">
        <f t="shared" si="25"/>
        <v>2394.5</v>
      </c>
      <c r="M424" s="3" t="str">
        <f>IF($N424&lt;&gt;"", IF($H424="A VISTA", "", IF($H424="1+1", $C424 + CADASTROS!$C$4, IF($H424="1+2", $C424 + CADASTROS!$D$5, IF($H424="1+3", $C424 + CADASTROS!$D$6, "")))), "")</f>
        <v/>
      </c>
      <c r="N424" s="8" t="str">
        <f t="shared" si="26"/>
        <v/>
      </c>
      <c r="O424" s="3" t="str">
        <f>IF($P424&lt;&gt;"", IF($H424="A VISTA", "", IF($H424="1+1", $C424 + CADASTROS!$C$4, IF($H424="1+2", $C424 + CADASTROS!$C$5, IF($H424="1+3", $C424 + CADASTROS!$E$6, "")))), "")</f>
        <v/>
      </c>
      <c r="P424" s="8" t="str">
        <f t="shared" si="27"/>
        <v/>
      </c>
    </row>
    <row r="425" spans="1:16">
      <c r="A425" s="2" t="s">
        <v>560</v>
      </c>
      <c r="B425" s="6" t="s">
        <v>42</v>
      </c>
      <c r="C425" s="7">
        <v>45285</v>
      </c>
      <c r="D425" s="7" t="s">
        <v>91</v>
      </c>
      <c r="E425" s="4" t="s">
        <v>111</v>
      </c>
      <c r="F425" s="4" t="s">
        <v>117</v>
      </c>
      <c r="G425" s="8">
        <v>6021</v>
      </c>
      <c r="H425" s="8" t="s">
        <v>136</v>
      </c>
      <c r="I425" s="3">
        <f>IF($H425="A VISTA", C425 + CADASTROS!$B$3, IF($H425="1+1", C425 + CADASTROS!$B$4, IF(H425="1+2", C425 + CADASTROS!$B$5, IF(H425="1+3", C425 + CADASTROS!$B$6, ""))))</f>
        <v>45286</v>
      </c>
      <c r="J425" s="8">
        <f t="shared" si="24"/>
        <v>1505.25</v>
      </c>
      <c r="K425" s="3">
        <f>IF($L425&lt;&gt;"", IF($H425="A VISTA", "", IF($H425="1+1", $C425 + CADASTROS!$C$4, IF($H425="1+2", $C425 + CADASTROS!$C$5, IF($H425="1+3", $C425 + CADASTROS!$E$4, "")))), "")</f>
        <v>45285</v>
      </c>
      <c r="L425" s="8">
        <f t="shared" si="25"/>
        <v>1505.25</v>
      </c>
      <c r="M425" s="3">
        <f>IF($N425&lt;&gt;"", IF($H425="A VISTA", "", IF($H425="1+1", $C425 + CADASTROS!$C$4, IF($H425="1+2", $C425 + CADASTROS!$D$5, IF($H425="1+3", $C425 + CADASTROS!$D$6, "")))), "")</f>
        <v>45330</v>
      </c>
      <c r="N425" s="8">
        <f t="shared" si="26"/>
        <v>1505.25</v>
      </c>
      <c r="O425" s="3">
        <f>IF($P425&lt;&gt;"", IF($H425="A VISTA", "", IF($H425="1+1", $C425 + CADASTROS!$C$4, IF($H425="1+2", $C425 + CADASTROS!$C$5, IF($H425="1+3", $C425 + CADASTROS!$E$6, "")))), "")</f>
        <v>45345</v>
      </c>
      <c r="P425" s="8">
        <f t="shared" si="27"/>
        <v>1505.25</v>
      </c>
    </row>
    <row r="426" spans="1:16">
      <c r="A426" s="2" t="s">
        <v>561</v>
      </c>
      <c r="B426" s="6" t="s">
        <v>17</v>
      </c>
      <c r="C426" s="7">
        <v>45269</v>
      </c>
      <c r="D426" s="7" t="s">
        <v>66</v>
      </c>
      <c r="E426" s="4" t="s">
        <v>110</v>
      </c>
      <c r="F426" s="4" t="s">
        <v>114</v>
      </c>
      <c r="G426" s="8">
        <v>1410</v>
      </c>
      <c r="H426" s="8" t="s">
        <v>138</v>
      </c>
      <c r="I426" s="3">
        <f>IF($H426="A VISTA", C426 + CADASTROS!$B$3, IF($H426="1+1", C426 + CADASTROS!$B$4, IF(H426="1+2", C426 + CADASTROS!$B$5, IF(H426="1+3", C426 + CADASTROS!$B$6, ""))))</f>
        <v>45270</v>
      </c>
      <c r="J426" s="8">
        <f t="shared" si="24"/>
        <v>705</v>
      </c>
      <c r="K426" s="3">
        <f>IF($L426&lt;&gt;"", IF($H426="A VISTA", "", IF($H426="1+1", $C426 + CADASTROS!$C$4, IF($H426="1+2", $C426 + CADASTROS!$C$5, IF($H426="1+3", $C426 + CADASTROS!$E$4, "")))), "")</f>
        <v>45299</v>
      </c>
      <c r="L426" s="8">
        <f t="shared" si="25"/>
        <v>705</v>
      </c>
      <c r="M426" s="3" t="str">
        <f>IF($N426&lt;&gt;"", IF($H426="A VISTA", "", IF($H426="1+1", $C426 + CADASTROS!$C$4, IF($H426="1+2", $C426 + CADASTROS!$D$5, IF($H426="1+3", $C426 + CADASTROS!$D$6, "")))), "")</f>
        <v/>
      </c>
      <c r="N426" s="8" t="str">
        <f t="shared" si="26"/>
        <v/>
      </c>
      <c r="O426" s="3" t="str">
        <f>IF($P426&lt;&gt;"", IF($H426="A VISTA", "", IF($H426="1+1", $C426 + CADASTROS!$C$4, IF($H426="1+2", $C426 + CADASTROS!$C$5, IF($H426="1+3", $C426 + CADASTROS!$E$6, "")))), "")</f>
        <v/>
      </c>
      <c r="P426" s="8" t="str">
        <f t="shared" si="27"/>
        <v/>
      </c>
    </row>
    <row r="427" spans="1:16">
      <c r="A427" s="2" t="s">
        <v>562</v>
      </c>
      <c r="B427" s="6" t="s">
        <v>17</v>
      </c>
      <c r="C427" s="7">
        <v>45177</v>
      </c>
      <c r="D427" s="7" t="s">
        <v>66</v>
      </c>
      <c r="E427" s="4" t="s">
        <v>110</v>
      </c>
      <c r="F427" s="4" t="s">
        <v>114</v>
      </c>
      <c r="G427" s="8">
        <v>818</v>
      </c>
      <c r="H427" s="8" t="s">
        <v>137</v>
      </c>
      <c r="I427" s="3">
        <f>IF($H427="A VISTA", C427 + CADASTROS!$B$3, IF($H427="1+1", C427 + CADASTROS!$B$4, IF(H427="1+2", C427 + CADASTROS!$B$5, IF(H427="1+3", C427 + CADASTROS!$B$6, ""))))</f>
        <v>45178</v>
      </c>
      <c r="J427" s="8">
        <f t="shared" si="24"/>
        <v>272.66666666666669</v>
      </c>
      <c r="K427" s="3">
        <f>IF($L427&lt;&gt;"", IF($H427="A VISTA", "", IF($H427="1+1", $C427 + CADASTROS!$C$4, IF($H427="1+2", $C427 + CADASTROS!$C$5, IF($H427="1+3", $C427 + CADASTROS!$E$4, "")))), "")</f>
        <v>45207</v>
      </c>
      <c r="L427" s="8">
        <f t="shared" si="25"/>
        <v>272.66666666666669</v>
      </c>
      <c r="M427" s="3">
        <f>IF($N427&lt;&gt;"", IF($H427="A VISTA", "", IF($H427="1+1", $C427 + CADASTROS!$C$4, IF($H427="1+2", $C427 + CADASTROS!$D$5, IF($H427="1+3", $C427 + CADASTROS!$D$6, "")))), "")</f>
        <v>45222</v>
      </c>
      <c r="N427" s="8">
        <f t="shared" si="26"/>
        <v>272.66666666666657</v>
      </c>
      <c r="O427" s="3" t="str">
        <f>IF($P427&lt;&gt;"", IF($H427="A VISTA", "", IF($H427="1+1", $C427 + CADASTROS!$C$4, IF($H427="1+2", $C427 + CADASTROS!$C$5, IF($H427="1+3", $C427 + CADASTROS!$E$6, "")))), "")</f>
        <v/>
      </c>
      <c r="P427" s="8" t="str">
        <f t="shared" si="27"/>
        <v/>
      </c>
    </row>
    <row r="428" spans="1:16">
      <c r="A428" s="2" t="s">
        <v>563</v>
      </c>
      <c r="B428" s="6" t="s">
        <v>60</v>
      </c>
      <c r="C428" s="7">
        <v>45189</v>
      </c>
      <c r="D428" s="7" t="s">
        <v>109</v>
      </c>
      <c r="E428" s="4" t="s">
        <v>111</v>
      </c>
      <c r="F428" s="4" t="s">
        <v>118</v>
      </c>
      <c r="G428" s="8">
        <v>1355</v>
      </c>
      <c r="H428" s="8" t="s">
        <v>137</v>
      </c>
      <c r="I428" s="3">
        <f>IF($H428="A VISTA", C428 + CADASTROS!$B$3, IF($H428="1+1", C428 + CADASTROS!$B$4, IF(H428="1+2", C428 + CADASTROS!$B$5, IF(H428="1+3", C428 + CADASTROS!$B$6, ""))))</f>
        <v>45190</v>
      </c>
      <c r="J428" s="8">
        <f t="shared" si="24"/>
        <v>451.66666666666669</v>
      </c>
      <c r="K428" s="3">
        <f>IF($L428&lt;&gt;"", IF($H428="A VISTA", "", IF($H428="1+1", $C428 + CADASTROS!$C$4, IF($H428="1+2", $C428 + CADASTROS!$C$5, IF($H428="1+3", $C428 + CADASTROS!$E$4, "")))), "")</f>
        <v>45219</v>
      </c>
      <c r="L428" s="8">
        <f t="shared" si="25"/>
        <v>451.66666666666669</v>
      </c>
      <c r="M428" s="3">
        <f>IF($N428&lt;&gt;"", IF($H428="A VISTA", "", IF($H428="1+1", $C428 + CADASTROS!$C$4, IF($H428="1+2", $C428 + CADASTROS!$D$5, IF($H428="1+3", $C428 + CADASTROS!$D$6, "")))), "")</f>
        <v>45234</v>
      </c>
      <c r="N428" s="8">
        <f t="shared" si="26"/>
        <v>451.66666666666657</v>
      </c>
      <c r="O428" s="3" t="str">
        <f>IF($P428&lt;&gt;"", IF($H428="A VISTA", "", IF($H428="1+1", $C428 + CADASTROS!$C$4, IF($H428="1+2", $C428 + CADASTROS!$C$5, IF($H428="1+3", $C428 + CADASTROS!$E$6, "")))), "")</f>
        <v/>
      </c>
      <c r="P428" s="8" t="str">
        <f t="shared" si="27"/>
        <v/>
      </c>
    </row>
    <row r="429" spans="1:16">
      <c r="A429" s="2" t="s">
        <v>564</v>
      </c>
      <c r="B429" s="6" t="s">
        <v>31</v>
      </c>
      <c r="C429" s="7">
        <v>45076</v>
      </c>
      <c r="D429" s="7" t="s">
        <v>80</v>
      </c>
      <c r="E429" s="4" t="s">
        <v>111</v>
      </c>
      <c r="F429" s="4" t="s">
        <v>117</v>
      </c>
      <c r="G429" s="8">
        <v>2689</v>
      </c>
      <c r="H429" s="8" t="s">
        <v>126</v>
      </c>
      <c r="I429" s="3">
        <f>IF($H429="A VISTA", C429 + CADASTROS!$B$3, IF($H429="1+1", C429 + CADASTROS!$B$4, IF(H429="1+2", C429 + CADASTROS!$B$5, IF(H429="1+3", C429 + CADASTROS!$B$6, ""))))</f>
        <v>45077</v>
      </c>
      <c r="J429" s="8">
        <f t="shared" si="24"/>
        <v>2689</v>
      </c>
      <c r="K429" s="3" t="str">
        <f>IF($L429&lt;&gt;"", IF($H429="A VISTA", "", IF($H429="1+1", $C429 + CADASTROS!$C$4, IF($H429="1+2", $C429 + CADASTROS!$C$5, IF($H429="1+3", $C429 + CADASTROS!$E$4, "")))), "")</f>
        <v/>
      </c>
      <c r="L429" s="8" t="str">
        <f t="shared" si="25"/>
        <v/>
      </c>
      <c r="M429" s="3" t="str">
        <f>IF($N429&lt;&gt;"", IF($H429="A VISTA", "", IF($H429="1+1", $C429 + CADASTROS!$C$4, IF($H429="1+2", $C429 + CADASTROS!$D$5, IF($H429="1+3", $C429 + CADASTROS!$D$6, "")))), "")</f>
        <v/>
      </c>
      <c r="N429" s="8" t="str">
        <f t="shared" si="26"/>
        <v/>
      </c>
      <c r="O429" s="3" t="str">
        <f>IF($P429&lt;&gt;"", IF($H429="A VISTA", "", IF($H429="1+1", $C429 + CADASTROS!$C$4, IF($H429="1+2", $C429 + CADASTROS!$C$5, IF($H429="1+3", $C429 + CADASTROS!$E$6, "")))), "")</f>
        <v/>
      </c>
      <c r="P429" s="8" t="str">
        <f t="shared" si="27"/>
        <v/>
      </c>
    </row>
    <row r="430" spans="1:16">
      <c r="A430" s="2" t="s">
        <v>565</v>
      </c>
      <c r="B430" s="6" t="s">
        <v>51</v>
      </c>
      <c r="C430" s="7">
        <v>45255</v>
      </c>
      <c r="D430" s="7" t="s">
        <v>100</v>
      </c>
      <c r="E430" s="4" t="s">
        <v>111</v>
      </c>
      <c r="F430" s="4" t="s">
        <v>121</v>
      </c>
      <c r="G430" s="8">
        <v>3042</v>
      </c>
      <c r="H430" s="8" t="s">
        <v>136</v>
      </c>
      <c r="I430" s="3">
        <f>IF($H430="A VISTA", C430 + CADASTROS!$B$3, IF($H430="1+1", C430 + CADASTROS!$B$4, IF(H430="1+2", C430 + CADASTROS!$B$5, IF(H430="1+3", C430 + CADASTROS!$B$6, ""))))</f>
        <v>45256</v>
      </c>
      <c r="J430" s="8">
        <f t="shared" si="24"/>
        <v>760.5</v>
      </c>
      <c r="K430" s="3">
        <f>IF($L430&lt;&gt;"", IF($H430="A VISTA", "", IF($H430="1+1", $C430 + CADASTROS!$C$4, IF($H430="1+2", $C430 + CADASTROS!$C$5, IF($H430="1+3", $C430 + CADASTROS!$E$4, "")))), "")</f>
        <v>45255</v>
      </c>
      <c r="L430" s="8">
        <f t="shared" si="25"/>
        <v>760.5</v>
      </c>
      <c r="M430" s="3">
        <f>IF($N430&lt;&gt;"", IF($H430="A VISTA", "", IF($H430="1+1", $C430 + CADASTROS!$C$4, IF($H430="1+2", $C430 + CADASTROS!$D$5, IF($H430="1+3", $C430 + CADASTROS!$D$6, "")))), "")</f>
        <v>45300</v>
      </c>
      <c r="N430" s="8">
        <f t="shared" si="26"/>
        <v>760.5</v>
      </c>
      <c r="O430" s="3">
        <f>IF($P430&lt;&gt;"", IF($H430="A VISTA", "", IF($H430="1+1", $C430 + CADASTROS!$C$4, IF($H430="1+2", $C430 + CADASTROS!$C$5, IF($H430="1+3", $C430 + CADASTROS!$E$6, "")))), "")</f>
        <v>45315</v>
      </c>
      <c r="P430" s="8">
        <f t="shared" si="27"/>
        <v>760.5</v>
      </c>
    </row>
    <row r="431" spans="1:16">
      <c r="A431" s="2" t="s">
        <v>566</v>
      </c>
      <c r="B431" s="6" t="s">
        <v>16</v>
      </c>
      <c r="C431" s="7">
        <v>45271</v>
      </c>
      <c r="D431" s="7" t="s">
        <v>65</v>
      </c>
      <c r="E431" s="4" t="s">
        <v>110</v>
      </c>
      <c r="F431" s="4" t="s">
        <v>125</v>
      </c>
      <c r="G431" s="8">
        <v>4050</v>
      </c>
      <c r="H431" s="8" t="s">
        <v>126</v>
      </c>
      <c r="I431" s="3">
        <f>IF($H431="A VISTA", C431 + CADASTROS!$B$3, IF($H431="1+1", C431 + CADASTROS!$B$4, IF(H431="1+2", C431 + CADASTROS!$B$5, IF(H431="1+3", C431 + CADASTROS!$B$6, ""))))</f>
        <v>45272</v>
      </c>
      <c r="J431" s="8">
        <f t="shared" si="24"/>
        <v>4050</v>
      </c>
      <c r="K431" s="3" t="str">
        <f>IF($L431&lt;&gt;"", IF($H431="A VISTA", "", IF($H431="1+1", $C431 + CADASTROS!$C$4, IF($H431="1+2", $C431 + CADASTROS!$C$5, IF($H431="1+3", $C431 + CADASTROS!$E$4, "")))), "")</f>
        <v/>
      </c>
      <c r="L431" s="8" t="str">
        <f t="shared" si="25"/>
        <v/>
      </c>
      <c r="M431" s="3" t="str">
        <f>IF($N431&lt;&gt;"", IF($H431="A VISTA", "", IF($H431="1+1", $C431 + CADASTROS!$C$4, IF($H431="1+2", $C431 + CADASTROS!$D$5, IF($H431="1+3", $C431 + CADASTROS!$D$6, "")))), "")</f>
        <v/>
      </c>
      <c r="N431" s="8" t="str">
        <f t="shared" si="26"/>
        <v/>
      </c>
      <c r="O431" s="3" t="str">
        <f>IF($P431&lt;&gt;"", IF($H431="A VISTA", "", IF($H431="1+1", $C431 + CADASTROS!$C$4, IF($H431="1+2", $C431 + CADASTROS!$C$5, IF($H431="1+3", $C431 + CADASTROS!$E$6, "")))), "")</f>
        <v/>
      </c>
      <c r="P431" s="8" t="str">
        <f t="shared" si="27"/>
        <v/>
      </c>
    </row>
    <row r="432" spans="1:16">
      <c r="A432" s="2" t="s">
        <v>567</v>
      </c>
      <c r="B432" s="6" t="s">
        <v>13</v>
      </c>
      <c r="C432" s="7">
        <v>45280</v>
      </c>
      <c r="D432" s="7" t="s">
        <v>63</v>
      </c>
      <c r="E432" s="4" t="s">
        <v>111</v>
      </c>
      <c r="F432" s="4" t="s">
        <v>120</v>
      </c>
      <c r="G432" s="8">
        <v>3048</v>
      </c>
      <c r="H432" s="8" t="s">
        <v>136</v>
      </c>
      <c r="I432" s="3">
        <f>IF($H432="A VISTA", C432 + CADASTROS!$B$3, IF($H432="1+1", C432 + CADASTROS!$B$4, IF(H432="1+2", C432 + CADASTROS!$B$5, IF(H432="1+3", C432 + CADASTROS!$B$6, ""))))</f>
        <v>45281</v>
      </c>
      <c r="J432" s="8">
        <f t="shared" si="24"/>
        <v>762</v>
      </c>
      <c r="K432" s="3">
        <f>IF($L432&lt;&gt;"", IF($H432="A VISTA", "", IF($H432="1+1", $C432 + CADASTROS!$C$4, IF($H432="1+2", $C432 + CADASTROS!$C$5, IF($H432="1+3", $C432 + CADASTROS!$E$4, "")))), "")</f>
        <v>45280</v>
      </c>
      <c r="L432" s="8">
        <f t="shared" si="25"/>
        <v>762</v>
      </c>
      <c r="M432" s="3">
        <f>IF($N432&lt;&gt;"", IF($H432="A VISTA", "", IF($H432="1+1", $C432 + CADASTROS!$C$4, IF($H432="1+2", $C432 + CADASTROS!$D$5, IF($H432="1+3", $C432 + CADASTROS!$D$6, "")))), "")</f>
        <v>45325</v>
      </c>
      <c r="N432" s="8">
        <f t="shared" si="26"/>
        <v>762</v>
      </c>
      <c r="O432" s="3">
        <f>IF($P432&lt;&gt;"", IF($H432="A VISTA", "", IF($H432="1+1", $C432 + CADASTROS!$C$4, IF($H432="1+2", $C432 + CADASTROS!$C$5, IF($H432="1+3", $C432 + CADASTROS!$E$6, "")))), "")</f>
        <v>45340</v>
      </c>
      <c r="P432" s="8">
        <f t="shared" si="27"/>
        <v>762</v>
      </c>
    </row>
    <row r="433" spans="1:16">
      <c r="A433" s="2" t="s">
        <v>568</v>
      </c>
      <c r="B433" s="6" t="s">
        <v>14</v>
      </c>
      <c r="C433" s="7">
        <v>45306</v>
      </c>
      <c r="D433" s="7" t="s">
        <v>61</v>
      </c>
      <c r="E433" s="4" t="s">
        <v>110</v>
      </c>
      <c r="F433" s="4" t="s">
        <v>113</v>
      </c>
      <c r="G433" s="8">
        <v>3601</v>
      </c>
      <c r="H433" s="8" t="s">
        <v>126</v>
      </c>
      <c r="I433" s="3">
        <f>IF($H433="A VISTA", C433 + CADASTROS!$B$3, IF($H433="1+1", C433 + CADASTROS!$B$4, IF(H433="1+2", C433 + CADASTROS!$B$5, IF(H433="1+3", C433 + CADASTROS!$B$6, ""))))</f>
        <v>45307</v>
      </c>
      <c r="J433" s="8">
        <f t="shared" si="24"/>
        <v>3601</v>
      </c>
      <c r="K433" s="3" t="str">
        <f>IF($L433&lt;&gt;"", IF($H433="A VISTA", "", IF($H433="1+1", $C433 + CADASTROS!$C$4, IF($H433="1+2", $C433 + CADASTROS!$C$5, IF($H433="1+3", $C433 + CADASTROS!$E$4, "")))), "")</f>
        <v/>
      </c>
      <c r="L433" s="8" t="str">
        <f t="shared" si="25"/>
        <v/>
      </c>
      <c r="M433" s="3" t="str">
        <f>IF($N433&lt;&gt;"", IF($H433="A VISTA", "", IF($H433="1+1", $C433 + CADASTROS!$C$4, IF($H433="1+2", $C433 + CADASTROS!$D$5, IF($H433="1+3", $C433 + CADASTROS!$D$6, "")))), "")</f>
        <v/>
      </c>
      <c r="N433" s="8" t="str">
        <f t="shared" si="26"/>
        <v/>
      </c>
      <c r="O433" s="3" t="str">
        <f>IF($P433&lt;&gt;"", IF($H433="A VISTA", "", IF($H433="1+1", $C433 + CADASTROS!$C$4, IF($H433="1+2", $C433 + CADASTROS!$C$5, IF($H433="1+3", $C433 + CADASTROS!$E$6, "")))), "")</f>
        <v/>
      </c>
      <c r="P433" s="8" t="str">
        <f t="shared" si="27"/>
        <v/>
      </c>
    </row>
    <row r="434" spans="1:16">
      <c r="A434" s="2" t="s">
        <v>569</v>
      </c>
      <c r="B434" s="6" t="s">
        <v>50</v>
      </c>
      <c r="C434" s="7">
        <v>45178</v>
      </c>
      <c r="D434" s="7" t="s">
        <v>99</v>
      </c>
      <c r="E434" s="4" t="s">
        <v>110</v>
      </c>
      <c r="F434" s="4" t="s">
        <v>114</v>
      </c>
      <c r="G434" s="8">
        <v>2213</v>
      </c>
      <c r="H434" s="8" t="s">
        <v>136</v>
      </c>
      <c r="I434" s="3">
        <f>IF($H434="A VISTA", C434 + CADASTROS!$B$3, IF($H434="1+1", C434 + CADASTROS!$B$4, IF(H434="1+2", C434 + CADASTROS!$B$5, IF(H434="1+3", C434 + CADASTROS!$B$6, ""))))</f>
        <v>45179</v>
      </c>
      <c r="J434" s="8">
        <f t="shared" si="24"/>
        <v>553.25</v>
      </c>
      <c r="K434" s="3">
        <f>IF($L434&lt;&gt;"", IF($H434="A VISTA", "", IF($H434="1+1", $C434 + CADASTROS!$C$4, IF($H434="1+2", $C434 + CADASTROS!$C$5, IF($H434="1+3", $C434 + CADASTROS!$E$4, "")))), "")</f>
        <v>45178</v>
      </c>
      <c r="L434" s="8">
        <f t="shared" si="25"/>
        <v>553.25</v>
      </c>
      <c r="M434" s="3">
        <f>IF($N434&lt;&gt;"", IF($H434="A VISTA", "", IF($H434="1+1", $C434 + CADASTROS!$C$4, IF($H434="1+2", $C434 + CADASTROS!$D$5, IF($H434="1+3", $C434 + CADASTROS!$D$6, "")))), "")</f>
        <v>45223</v>
      </c>
      <c r="N434" s="8">
        <f t="shared" si="26"/>
        <v>553.25</v>
      </c>
      <c r="O434" s="3">
        <f>IF($P434&lt;&gt;"", IF($H434="A VISTA", "", IF($H434="1+1", $C434 + CADASTROS!$C$4, IF($H434="1+2", $C434 + CADASTROS!$C$5, IF($H434="1+3", $C434 + CADASTROS!$E$6, "")))), "")</f>
        <v>45238</v>
      </c>
      <c r="P434" s="8">
        <f t="shared" si="27"/>
        <v>553.25</v>
      </c>
    </row>
    <row r="435" spans="1:16">
      <c r="A435" s="2" t="s">
        <v>570</v>
      </c>
      <c r="B435" s="6" t="s">
        <v>24</v>
      </c>
      <c r="C435" s="7">
        <v>45204</v>
      </c>
      <c r="D435" s="7" t="s">
        <v>73</v>
      </c>
      <c r="E435" s="4" t="s">
        <v>112</v>
      </c>
      <c r="F435" s="4" t="s">
        <v>122</v>
      </c>
      <c r="G435" s="8">
        <v>8007</v>
      </c>
      <c r="H435" s="8" t="s">
        <v>126</v>
      </c>
      <c r="I435" s="3">
        <f>IF($H435="A VISTA", C435 + CADASTROS!$B$3, IF($H435="1+1", C435 + CADASTROS!$B$4, IF(H435="1+2", C435 + CADASTROS!$B$5, IF(H435="1+3", C435 + CADASTROS!$B$6, ""))))</f>
        <v>45205</v>
      </c>
      <c r="J435" s="8">
        <f t="shared" si="24"/>
        <v>8007</v>
      </c>
      <c r="K435" s="3" t="str">
        <f>IF($L435&lt;&gt;"", IF($H435="A VISTA", "", IF($H435="1+1", $C435 + CADASTROS!$C$4, IF($H435="1+2", $C435 + CADASTROS!$C$5, IF($H435="1+3", $C435 + CADASTROS!$E$4, "")))), "")</f>
        <v/>
      </c>
      <c r="L435" s="8" t="str">
        <f t="shared" si="25"/>
        <v/>
      </c>
      <c r="M435" s="3" t="str">
        <f>IF($N435&lt;&gt;"", IF($H435="A VISTA", "", IF($H435="1+1", $C435 + CADASTROS!$C$4, IF($H435="1+2", $C435 + CADASTROS!$D$5, IF($H435="1+3", $C435 + CADASTROS!$D$6, "")))), "")</f>
        <v/>
      </c>
      <c r="N435" s="8" t="str">
        <f t="shared" si="26"/>
        <v/>
      </c>
      <c r="O435" s="3" t="str">
        <f>IF($P435&lt;&gt;"", IF($H435="A VISTA", "", IF($H435="1+1", $C435 + CADASTROS!$C$4, IF($H435="1+2", $C435 + CADASTROS!$C$5, IF($H435="1+3", $C435 + CADASTROS!$E$6, "")))), "")</f>
        <v/>
      </c>
      <c r="P435" s="8" t="str">
        <f t="shared" si="27"/>
        <v/>
      </c>
    </row>
    <row r="436" spans="1:16">
      <c r="A436" s="2" t="s">
        <v>571</v>
      </c>
      <c r="B436" s="6" t="s">
        <v>51</v>
      </c>
      <c r="C436" s="7">
        <v>45442</v>
      </c>
      <c r="D436" s="7" t="s">
        <v>100</v>
      </c>
      <c r="E436" s="4" t="s">
        <v>111</v>
      </c>
      <c r="F436" s="4" t="s">
        <v>121</v>
      </c>
      <c r="G436" s="8">
        <v>8142</v>
      </c>
      <c r="H436" s="8" t="s">
        <v>137</v>
      </c>
      <c r="I436" s="3">
        <f>IF($H436="A VISTA", C436 + CADASTROS!$B$3, IF($H436="1+1", C436 + CADASTROS!$B$4, IF(H436="1+2", C436 + CADASTROS!$B$5, IF(H436="1+3", C436 + CADASTROS!$B$6, ""))))</f>
        <v>45443</v>
      </c>
      <c r="J436" s="8">
        <f t="shared" si="24"/>
        <v>2714</v>
      </c>
      <c r="K436" s="3">
        <f>IF($L436&lt;&gt;"", IF($H436="A VISTA", "", IF($H436="1+1", $C436 + CADASTROS!$C$4, IF($H436="1+2", $C436 + CADASTROS!$C$5, IF($H436="1+3", $C436 + CADASTROS!$E$4, "")))), "")</f>
        <v>45472</v>
      </c>
      <c r="L436" s="8">
        <f t="shared" si="25"/>
        <v>2714</v>
      </c>
      <c r="M436" s="3">
        <f>IF($N436&lt;&gt;"", IF($H436="A VISTA", "", IF($H436="1+1", $C436 + CADASTROS!$C$4, IF($H436="1+2", $C436 + CADASTROS!$D$5, IF($H436="1+3", $C436 + CADASTROS!$D$6, "")))), "")</f>
        <v>45487</v>
      </c>
      <c r="N436" s="8">
        <f t="shared" si="26"/>
        <v>2714</v>
      </c>
      <c r="O436" s="3" t="str">
        <f>IF($P436&lt;&gt;"", IF($H436="A VISTA", "", IF($H436="1+1", $C436 + CADASTROS!$C$4, IF($H436="1+2", $C436 + CADASTROS!$C$5, IF($H436="1+3", $C436 + CADASTROS!$E$6, "")))), "")</f>
        <v/>
      </c>
      <c r="P436" s="8" t="str">
        <f t="shared" si="27"/>
        <v/>
      </c>
    </row>
    <row r="437" spans="1:16">
      <c r="A437" s="2" t="s">
        <v>572</v>
      </c>
      <c r="B437" s="6" t="s">
        <v>23</v>
      </c>
      <c r="C437" s="7">
        <v>45258</v>
      </c>
      <c r="D437" s="7" t="s">
        <v>72</v>
      </c>
      <c r="E437" s="4" t="s">
        <v>110</v>
      </c>
      <c r="F437" s="4" t="s">
        <v>113</v>
      </c>
      <c r="G437" s="8">
        <v>6611</v>
      </c>
      <c r="H437" s="8" t="s">
        <v>137</v>
      </c>
      <c r="I437" s="3">
        <f>IF($H437="A VISTA", C437 + CADASTROS!$B$3, IF($H437="1+1", C437 + CADASTROS!$B$4, IF(H437="1+2", C437 + CADASTROS!$B$5, IF(H437="1+3", C437 + CADASTROS!$B$6, ""))))</f>
        <v>45259</v>
      </c>
      <c r="J437" s="8">
        <f t="shared" si="24"/>
        <v>2203.6666666666665</v>
      </c>
      <c r="K437" s="3">
        <f>IF($L437&lt;&gt;"", IF($H437="A VISTA", "", IF($H437="1+1", $C437 + CADASTROS!$C$4, IF($H437="1+2", $C437 + CADASTROS!$C$5, IF($H437="1+3", $C437 + CADASTROS!$E$4, "")))), "")</f>
        <v>45288</v>
      </c>
      <c r="L437" s="8">
        <f t="shared" si="25"/>
        <v>2203.6666666666665</v>
      </c>
      <c r="M437" s="3">
        <f>IF($N437&lt;&gt;"", IF($H437="A VISTA", "", IF($H437="1+1", $C437 + CADASTROS!$C$4, IF($H437="1+2", $C437 + CADASTROS!$D$5, IF($H437="1+3", $C437 + CADASTROS!$D$6, "")))), "")</f>
        <v>45303</v>
      </c>
      <c r="N437" s="8">
        <f t="shared" si="26"/>
        <v>2203.6666666666674</v>
      </c>
      <c r="O437" s="3" t="str">
        <f>IF($P437&lt;&gt;"", IF($H437="A VISTA", "", IF($H437="1+1", $C437 + CADASTROS!$C$4, IF($H437="1+2", $C437 + CADASTROS!$C$5, IF($H437="1+3", $C437 + CADASTROS!$E$6, "")))), "")</f>
        <v/>
      </c>
      <c r="P437" s="8" t="str">
        <f t="shared" si="27"/>
        <v/>
      </c>
    </row>
    <row r="438" spans="1:16">
      <c r="A438" s="2" t="s">
        <v>573</v>
      </c>
      <c r="B438" s="6" t="s">
        <v>49</v>
      </c>
      <c r="C438" s="7">
        <v>45159</v>
      </c>
      <c r="D438" s="7" t="s">
        <v>98</v>
      </c>
      <c r="E438" s="4" t="s">
        <v>110</v>
      </c>
      <c r="F438" s="4" t="s">
        <v>125</v>
      </c>
      <c r="G438" s="8">
        <v>4532</v>
      </c>
      <c r="H438" s="8" t="s">
        <v>137</v>
      </c>
      <c r="I438" s="3">
        <f>IF($H438="A VISTA", C438 + CADASTROS!$B$3, IF($H438="1+1", C438 + CADASTROS!$B$4, IF(H438="1+2", C438 + CADASTROS!$B$5, IF(H438="1+3", C438 + CADASTROS!$B$6, ""))))</f>
        <v>45160</v>
      </c>
      <c r="J438" s="8">
        <f t="shared" si="24"/>
        <v>1510.6666666666667</v>
      </c>
      <c r="K438" s="3">
        <f>IF($L438&lt;&gt;"", IF($H438="A VISTA", "", IF($H438="1+1", $C438 + CADASTROS!$C$4, IF($H438="1+2", $C438 + CADASTROS!$C$5, IF($H438="1+3", $C438 + CADASTROS!$E$4, "")))), "")</f>
        <v>45189</v>
      </c>
      <c r="L438" s="8">
        <f t="shared" si="25"/>
        <v>1510.6666666666667</v>
      </c>
      <c r="M438" s="3">
        <f>IF($N438&lt;&gt;"", IF($H438="A VISTA", "", IF($H438="1+1", $C438 + CADASTROS!$C$4, IF($H438="1+2", $C438 + CADASTROS!$D$5, IF($H438="1+3", $C438 + CADASTROS!$D$6, "")))), "")</f>
        <v>45204</v>
      </c>
      <c r="N438" s="8">
        <f t="shared" si="26"/>
        <v>1510.6666666666663</v>
      </c>
      <c r="O438" s="3" t="str">
        <f>IF($P438&lt;&gt;"", IF($H438="A VISTA", "", IF($H438="1+1", $C438 + CADASTROS!$C$4, IF($H438="1+2", $C438 + CADASTROS!$C$5, IF($H438="1+3", $C438 + CADASTROS!$E$6, "")))), "")</f>
        <v/>
      </c>
      <c r="P438" s="8" t="str">
        <f t="shared" si="27"/>
        <v/>
      </c>
    </row>
    <row r="439" spans="1:16">
      <c r="A439" s="2" t="s">
        <v>574</v>
      </c>
      <c r="B439" s="6" t="s">
        <v>58</v>
      </c>
      <c r="C439" s="7">
        <v>45316</v>
      </c>
      <c r="D439" s="7" t="s">
        <v>107</v>
      </c>
      <c r="E439" s="4" t="s">
        <v>111</v>
      </c>
      <c r="F439" s="4" t="s">
        <v>120</v>
      </c>
      <c r="G439" s="8">
        <v>4881</v>
      </c>
      <c r="H439" s="8" t="s">
        <v>137</v>
      </c>
      <c r="I439" s="3">
        <f>IF($H439="A VISTA", C439 + CADASTROS!$B$3, IF($H439="1+1", C439 + CADASTROS!$B$4, IF(H439="1+2", C439 + CADASTROS!$B$5, IF(H439="1+3", C439 + CADASTROS!$B$6, ""))))</f>
        <v>45317</v>
      </c>
      <c r="J439" s="8">
        <f t="shared" si="24"/>
        <v>1627</v>
      </c>
      <c r="K439" s="3">
        <f>IF($L439&lt;&gt;"", IF($H439="A VISTA", "", IF($H439="1+1", $C439 + CADASTROS!$C$4, IF($H439="1+2", $C439 + CADASTROS!$C$5, IF($H439="1+3", $C439 + CADASTROS!$E$4, "")))), "")</f>
        <v>45346</v>
      </c>
      <c r="L439" s="8">
        <f t="shared" si="25"/>
        <v>1627</v>
      </c>
      <c r="M439" s="3">
        <f>IF($N439&lt;&gt;"", IF($H439="A VISTA", "", IF($H439="1+1", $C439 + CADASTROS!$C$4, IF($H439="1+2", $C439 + CADASTROS!$D$5, IF($H439="1+3", $C439 + CADASTROS!$D$6, "")))), "")</f>
        <v>45361</v>
      </c>
      <c r="N439" s="8">
        <f t="shared" si="26"/>
        <v>1627</v>
      </c>
      <c r="O439" s="3" t="str">
        <f>IF($P439&lt;&gt;"", IF($H439="A VISTA", "", IF($H439="1+1", $C439 + CADASTROS!$C$4, IF($H439="1+2", $C439 + CADASTROS!$C$5, IF($H439="1+3", $C439 + CADASTROS!$E$6, "")))), "")</f>
        <v/>
      </c>
      <c r="P439" s="8" t="str">
        <f t="shared" si="27"/>
        <v/>
      </c>
    </row>
    <row r="440" spans="1:16">
      <c r="A440" s="2" t="s">
        <v>575</v>
      </c>
      <c r="B440" s="6" t="s">
        <v>56</v>
      </c>
      <c r="C440" s="7">
        <v>45484</v>
      </c>
      <c r="D440" s="7" t="s">
        <v>105</v>
      </c>
      <c r="E440" s="4" t="s">
        <v>110</v>
      </c>
      <c r="F440" s="4" t="s">
        <v>113</v>
      </c>
      <c r="G440" s="8">
        <v>708</v>
      </c>
      <c r="H440" s="8" t="s">
        <v>138</v>
      </c>
      <c r="I440" s="3">
        <f>IF($H440="A VISTA", C440 + CADASTROS!$B$3, IF($H440="1+1", C440 + CADASTROS!$B$4, IF(H440="1+2", C440 + CADASTROS!$B$5, IF(H440="1+3", C440 + CADASTROS!$B$6, ""))))</f>
        <v>45485</v>
      </c>
      <c r="J440" s="8">
        <f t="shared" si="24"/>
        <v>354</v>
      </c>
      <c r="K440" s="3">
        <f>IF($L440&lt;&gt;"", IF($H440="A VISTA", "", IF($H440="1+1", $C440 + CADASTROS!$C$4, IF($H440="1+2", $C440 + CADASTROS!$C$5, IF($H440="1+3", $C440 + CADASTROS!$E$4, "")))), "")</f>
        <v>45514</v>
      </c>
      <c r="L440" s="8">
        <f t="shared" si="25"/>
        <v>354</v>
      </c>
      <c r="M440" s="3" t="str">
        <f>IF($N440&lt;&gt;"", IF($H440="A VISTA", "", IF($H440="1+1", $C440 + CADASTROS!$C$4, IF($H440="1+2", $C440 + CADASTROS!$D$5, IF($H440="1+3", $C440 + CADASTROS!$D$6, "")))), "")</f>
        <v/>
      </c>
      <c r="N440" s="8" t="str">
        <f t="shared" si="26"/>
        <v/>
      </c>
      <c r="O440" s="3" t="str">
        <f>IF($P440&lt;&gt;"", IF($H440="A VISTA", "", IF($H440="1+1", $C440 + CADASTROS!$C$4, IF($H440="1+2", $C440 + CADASTROS!$C$5, IF($H440="1+3", $C440 + CADASTROS!$E$6, "")))), "")</f>
        <v/>
      </c>
      <c r="P440" s="8" t="str">
        <f t="shared" si="27"/>
        <v/>
      </c>
    </row>
    <row r="441" spans="1:16">
      <c r="A441" s="2" t="s">
        <v>576</v>
      </c>
      <c r="B441" s="6" t="s">
        <v>32</v>
      </c>
      <c r="C441" s="7">
        <v>45375</v>
      </c>
      <c r="D441" s="7" t="s">
        <v>81</v>
      </c>
      <c r="E441" s="4" t="s">
        <v>110</v>
      </c>
      <c r="F441" s="4" t="s">
        <v>124</v>
      </c>
      <c r="G441" s="8">
        <v>2981</v>
      </c>
      <c r="H441" s="8" t="s">
        <v>136</v>
      </c>
      <c r="I441" s="3">
        <f>IF($H441="A VISTA", C441 + CADASTROS!$B$3, IF($H441="1+1", C441 + CADASTROS!$B$4, IF(H441="1+2", C441 + CADASTROS!$B$5, IF(H441="1+3", C441 + CADASTROS!$B$6, ""))))</f>
        <v>45376</v>
      </c>
      <c r="J441" s="8">
        <f t="shared" si="24"/>
        <v>745.25</v>
      </c>
      <c r="K441" s="3">
        <f>IF($L441&lt;&gt;"", IF($H441="A VISTA", "", IF($H441="1+1", $C441 + CADASTROS!$C$4, IF($H441="1+2", $C441 + CADASTROS!$C$5, IF($H441="1+3", $C441 + CADASTROS!$E$4, "")))), "")</f>
        <v>45375</v>
      </c>
      <c r="L441" s="8">
        <f t="shared" si="25"/>
        <v>745.25</v>
      </c>
      <c r="M441" s="3">
        <f>IF($N441&lt;&gt;"", IF($H441="A VISTA", "", IF($H441="1+1", $C441 + CADASTROS!$C$4, IF($H441="1+2", $C441 + CADASTROS!$D$5, IF($H441="1+3", $C441 + CADASTROS!$D$6, "")))), "")</f>
        <v>45420</v>
      </c>
      <c r="N441" s="8">
        <f t="shared" si="26"/>
        <v>745.25</v>
      </c>
      <c r="O441" s="3">
        <f>IF($P441&lt;&gt;"", IF($H441="A VISTA", "", IF($H441="1+1", $C441 + CADASTROS!$C$4, IF($H441="1+2", $C441 + CADASTROS!$C$5, IF($H441="1+3", $C441 + CADASTROS!$E$6, "")))), "")</f>
        <v>45435</v>
      </c>
      <c r="P441" s="8">
        <f t="shared" si="27"/>
        <v>745.25</v>
      </c>
    </row>
    <row r="442" spans="1:16">
      <c r="A442" s="2" t="s">
        <v>577</v>
      </c>
      <c r="B442" s="6" t="s">
        <v>41</v>
      </c>
      <c r="C442" s="7">
        <v>45211</v>
      </c>
      <c r="D442" s="7" t="s">
        <v>90</v>
      </c>
      <c r="E442" s="4" t="s">
        <v>111</v>
      </c>
      <c r="F442" s="4" t="s">
        <v>118</v>
      </c>
      <c r="G442" s="8">
        <v>5334</v>
      </c>
      <c r="H442" s="8" t="s">
        <v>126</v>
      </c>
      <c r="I442" s="3">
        <f>IF($H442="A VISTA", C442 + CADASTROS!$B$3, IF($H442="1+1", C442 + CADASTROS!$B$4, IF(H442="1+2", C442 + CADASTROS!$B$5, IF(H442="1+3", C442 + CADASTROS!$B$6, ""))))</f>
        <v>45212</v>
      </c>
      <c r="J442" s="8">
        <f t="shared" si="24"/>
        <v>5334</v>
      </c>
      <c r="K442" s="3" t="str">
        <f>IF($L442&lt;&gt;"", IF($H442="A VISTA", "", IF($H442="1+1", $C442 + CADASTROS!$C$4, IF($H442="1+2", $C442 + CADASTROS!$C$5, IF($H442="1+3", $C442 + CADASTROS!$E$4, "")))), "")</f>
        <v/>
      </c>
      <c r="L442" s="8" t="str">
        <f t="shared" si="25"/>
        <v/>
      </c>
      <c r="M442" s="3" t="str">
        <f>IF($N442&lt;&gt;"", IF($H442="A VISTA", "", IF($H442="1+1", $C442 + CADASTROS!$C$4, IF($H442="1+2", $C442 + CADASTROS!$D$5, IF($H442="1+3", $C442 + CADASTROS!$D$6, "")))), "")</f>
        <v/>
      </c>
      <c r="N442" s="8" t="str">
        <f t="shared" si="26"/>
        <v/>
      </c>
      <c r="O442" s="3" t="str">
        <f>IF($P442&lt;&gt;"", IF($H442="A VISTA", "", IF($H442="1+1", $C442 + CADASTROS!$C$4, IF($H442="1+2", $C442 + CADASTROS!$C$5, IF($H442="1+3", $C442 + CADASTROS!$E$6, "")))), "")</f>
        <v/>
      </c>
      <c r="P442" s="8" t="str">
        <f t="shared" si="27"/>
        <v/>
      </c>
    </row>
    <row r="443" spans="1:16">
      <c r="A443" s="2" t="s">
        <v>578</v>
      </c>
      <c r="B443" s="6" t="s">
        <v>26</v>
      </c>
      <c r="C443" s="7">
        <v>45309</v>
      </c>
      <c r="D443" s="7" t="s">
        <v>75</v>
      </c>
      <c r="E443" s="4" t="s">
        <v>112</v>
      </c>
      <c r="F443" s="4" t="s">
        <v>123</v>
      </c>
      <c r="G443" s="8">
        <v>3281</v>
      </c>
      <c r="H443" s="8" t="s">
        <v>126</v>
      </c>
      <c r="I443" s="3">
        <f>IF($H443="A VISTA", C443 + CADASTROS!$B$3, IF($H443="1+1", C443 + CADASTROS!$B$4, IF(H443="1+2", C443 + CADASTROS!$B$5, IF(H443="1+3", C443 + CADASTROS!$B$6, ""))))</f>
        <v>45310</v>
      </c>
      <c r="J443" s="8">
        <f t="shared" si="24"/>
        <v>3281</v>
      </c>
      <c r="K443" s="3" t="str">
        <f>IF($L443&lt;&gt;"", IF($H443="A VISTA", "", IF($H443="1+1", $C443 + CADASTROS!$C$4, IF($H443="1+2", $C443 + CADASTROS!$C$5, IF($H443="1+3", $C443 + CADASTROS!$E$4, "")))), "")</f>
        <v/>
      </c>
      <c r="L443" s="8" t="str">
        <f t="shared" si="25"/>
        <v/>
      </c>
      <c r="M443" s="3" t="str">
        <f>IF($N443&lt;&gt;"", IF($H443="A VISTA", "", IF($H443="1+1", $C443 + CADASTROS!$C$4, IF($H443="1+2", $C443 + CADASTROS!$D$5, IF($H443="1+3", $C443 + CADASTROS!$D$6, "")))), "")</f>
        <v/>
      </c>
      <c r="N443" s="8" t="str">
        <f t="shared" si="26"/>
        <v/>
      </c>
      <c r="O443" s="3" t="str">
        <f>IF($P443&lt;&gt;"", IF($H443="A VISTA", "", IF($H443="1+1", $C443 + CADASTROS!$C$4, IF($H443="1+2", $C443 + CADASTROS!$C$5, IF($H443="1+3", $C443 + CADASTROS!$E$6, "")))), "")</f>
        <v/>
      </c>
      <c r="P443" s="8" t="str">
        <f t="shared" si="27"/>
        <v/>
      </c>
    </row>
    <row r="444" spans="1:16">
      <c r="A444" s="2" t="s">
        <v>579</v>
      </c>
      <c r="B444" s="6" t="s">
        <v>60</v>
      </c>
      <c r="C444" s="7">
        <v>45281</v>
      </c>
      <c r="D444" s="7" t="s">
        <v>109</v>
      </c>
      <c r="E444" s="4" t="s">
        <v>111</v>
      </c>
      <c r="F444" s="4" t="s">
        <v>118</v>
      </c>
      <c r="G444" s="8">
        <v>7392</v>
      </c>
      <c r="H444" s="8" t="s">
        <v>138</v>
      </c>
      <c r="I444" s="3">
        <f>IF($H444="A VISTA", C444 + CADASTROS!$B$3, IF($H444="1+1", C444 + CADASTROS!$B$4, IF(H444="1+2", C444 + CADASTROS!$B$5, IF(H444="1+3", C444 + CADASTROS!$B$6, ""))))</f>
        <v>45282</v>
      </c>
      <c r="J444" s="8">
        <f t="shared" si="24"/>
        <v>3696</v>
      </c>
      <c r="K444" s="3">
        <f>IF($L444&lt;&gt;"", IF($H444="A VISTA", "", IF($H444="1+1", $C444 + CADASTROS!$C$4, IF($H444="1+2", $C444 + CADASTROS!$C$5, IF($H444="1+3", $C444 + CADASTROS!$E$4, "")))), "")</f>
        <v>45311</v>
      </c>
      <c r="L444" s="8">
        <f t="shared" si="25"/>
        <v>3696</v>
      </c>
      <c r="M444" s="3" t="str">
        <f>IF($N444&lt;&gt;"", IF($H444="A VISTA", "", IF($H444="1+1", $C444 + CADASTROS!$C$4, IF($H444="1+2", $C444 + CADASTROS!$D$5, IF($H444="1+3", $C444 + CADASTROS!$D$6, "")))), "")</f>
        <v/>
      </c>
      <c r="N444" s="8" t="str">
        <f t="shared" si="26"/>
        <v/>
      </c>
      <c r="O444" s="3" t="str">
        <f>IF($P444&lt;&gt;"", IF($H444="A VISTA", "", IF($H444="1+1", $C444 + CADASTROS!$C$4, IF($H444="1+2", $C444 + CADASTROS!$C$5, IF($H444="1+3", $C444 + CADASTROS!$E$6, "")))), "")</f>
        <v/>
      </c>
      <c r="P444" s="8" t="str">
        <f t="shared" si="27"/>
        <v/>
      </c>
    </row>
    <row r="445" spans="1:16">
      <c r="A445" s="2" t="s">
        <v>580</v>
      </c>
      <c r="B445" s="6" t="s">
        <v>52</v>
      </c>
      <c r="C445" s="7">
        <v>45408</v>
      </c>
      <c r="D445" s="7" t="s">
        <v>101</v>
      </c>
      <c r="E445" s="4" t="s">
        <v>111</v>
      </c>
      <c r="F445" s="4" t="s">
        <v>118</v>
      </c>
      <c r="G445" s="8">
        <v>3364</v>
      </c>
      <c r="H445" s="8" t="s">
        <v>136</v>
      </c>
      <c r="I445" s="3">
        <f>IF($H445="A VISTA", C445 + CADASTROS!$B$3, IF($H445="1+1", C445 + CADASTROS!$B$4, IF(H445="1+2", C445 + CADASTROS!$B$5, IF(H445="1+3", C445 + CADASTROS!$B$6, ""))))</f>
        <v>45409</v>
      </c>
      <c r="J445" s="8">
        <f t="shared" si="24"/>
        <v>841</v>
      </c>
      <c r="K445" s="3">
        <f>IF($L445&lt;&gt;"", IF($H445="A VISTA", "", IF($H445="1+1", $C445 + CADASTROS!$C$4, IF($H445="1+2", $C445 + CADASTROS!$C$5, IF($H445="1+3", $C445 + CADASTROS!$E$4, "")))), "")</f>
        <v>45408</v>
      </c>
      <c r="L445" s="8">
        <f t="shared" si="25"/>
        <v>841</v>
      </c>
      <c r="M445" s="3">
        <f>IF($N445&lt;&gt;"", IF($H445="A VISTA", "", IF($H445="1+1", $C445 + CADASTROS!$C$4, IF($H445="1+2", $C445 + CADASTROS!$D$5, IF($H445="1+3", $C445 + CADASTROS!$D$6, "")))), "")</f>
        <v>45453</v>
      </c>
      <c r="N445" s="8">
        <f t="shared" si="26"/>
        <v>841</v>
      </c>
      <c r="O445" s="3">
        <f>IF($P445&lt;&gt;"", IF($H445="A VISTA", "", IF($H445="1+1", $C445 + CADASTROS!$C$4, IF($H445="1+2", $C445 + CADASTROS!$C$5, IF($H445="1+3", $C445 + CADASTROS!$E$6, "")))), "")</f>
        <v>45468</v>
      </c>
      <c r="P445" s="8">
        <f t="shared" si="27"/>
        <v>841</v>
      </c>
    </row>
    <row r="446" spans="1:16">
      <c r="A446" s="2" t="s">
        <v>581</v>
      </c>
      <c r="B446" s="6" t="s">
        <v>21</v>
      </c>
      <c r="C446" s="7">
        <v>45291</v>
      </c>
      <c r="D446" s="7" t="s">
        <v>70</v>
      </c>
      <c r="E446" s="4" t="s">
        <v>110</v>
      </c>
      <c r="F446" s="4" t="s">
        <v>124</v>
      </c>
      <c r="G446" s="8">
        <v>870</v>
      </c>
      <c r="H446" s="8" t="s">
        <v>126</v>
      </c>
      <c r="I446" s="3">
        <f>IF($H446="A VISTA", C446 + CADASTROS!$B$3, IF($H446="1+1", C446 + CADASTROS!$B$4, IF(H446="1+2", C446 + CADASTROS!$B$5, IF(H446="1+3", C446 + CADASTROS!$B$6, ""))))</f>
        <v>45292</v>
      </c>
      <c r="J446" s="8">
        <f t="shared" si="24"/>
        <v>870</v>
      </c>
      <c r="K446" s="3" t="str">
        <f>IF($L446&lt;&gt;"", IF($H446="A VISTA", "", IF($H446="1+1", $C446 + CADASTROS!$C$4, IF($H446="1+2", $C446 + CADASTROS!$C$5, IF($H446="1+3", $C446 + CADASTROS!$E$4, "")))), "")</f>
        <v/>
      </c>
      <c r="L446" s="8" t="str">
        <f t="shared" si="25"/>
        <v/>
      </c>
      <c r="M446" s="3" t="str">
        <f>IF($N446&lt;&gt;"", IF($H446="A VISTA", "", IF($H446="1+1", $C446 + CADASTROS!$C$4, IF($H446="1+2", $C446 + CADASTROS!$D$5, IF($H446="1+3", $C446 + CADASTROS!$D$6, "")))), "")</f>
        <v/>
      </c>
      <c r="N446" s="8" t="str">
        <f t="shared" si="26"/>
        <v/>
      </c>
      <c r="O446" s="3" t="str">
        <f>IF($P446&lt;&gt;"", IF($H446="A VISTA", "", IF($H446="1+1", $C446 + CADASTROS!$C$4, IF($H446="1+2", $C446 + CADASTROS!$C$5, IF($H446="1+3", $C446 + CADASTROS!$E$6, "")))), "")</f>
        <v/>
      </c>
      <c r="P446" s="8" t="str">
        <f t="shared" si="27"/>
        <v/>
      </c>
    </row>
    <row r="447" spans="1:16">
      <c r="A447" s="2" t="s">
        <v>582</v>
      </c>
      <c r="B447" s="6" t="s">
        <v>38</v>
      </c>
      <c r="C447" s="7">
        <v>45477</v>
      </c>
      <c r="D447" s="7" t="s">
        <v>87</v>
      </c>
      <c r="E447" s="4" t="s">
        <v>110</v>
      </c>
      <c r="F447" s="4" t="s">
        <v>125</v>
      </c>
      <c r="G447" s="8">
        <v>5221</v>
      </c>
      <c r="H447" s="8" t="s">
        <v>126</v>
      </c>
      <c r="I447" s="3">
        <f>IF($H447="A VISTA", C447 + CADASTROS!$B$3, IF($H447="1+1", C447 + CADASTROS!$B$4, IF(H447="1+2", C447 + CADASTROS!$B$5, IF(H447="1+3", C447 + CADASTROS!$B$6, ""))))</f>
        <v>45478</v>
      </c>
      <c r="J447" s="8">
        <f t="shared" si="24"/>
        <v>5221</v>
      </c>
      <c r="K447" s="3" t="str">
        <f>IF($L447&lt;&gt;"", IF($H447="A VISTA", "", IF($H447="1+1", $C447 + CADASTROS!$C$4, IF($H447="1+2", $C447 + CADASTROS!$C$5, IF($H447="1+3", $C447 + CADASTROS!$E$4, "")))), "")</f>
        <v/>
      </c>
      <c r="L447" s="8" t="str">
        <f t="shared" si="25"/>
        <v/>
      </c>
      <c r="M447" s="3" t="str">
        <f>IF($N447&lt;&gt;"", IF($H447="A VISTA", "", IF($H447="1+1", $C447 + CADASTROS!$C$4, IF($H447="1+2", $C447 + CADASTROS!$D$5, IF($H447="1+3", $C447 + CADASTROS!$D$6, "")))), "")</f>
        <v/>
      </c>
      <c r="N447" s="8" t="str">
        <f t="shared" si="26"/>
        <v/>
      </c>
      <c r="O447" s="3" t="str">
        <f>IF($P447&lt;&gt;"", IF($H447="A VISTA", "", IF($H447="1+1", $C447 + CADASTROS!$C$4, IF($H447="1+2", $C447 + CADASTROS!$C$5, IF($H447="1+3", $C447 + CADASTROS!$E$6, "")))), "")</f>
        <v/>
      </c>
      <c r="P447" s="8" t="str">
        <f t="shared" si="27"/>
        <v/>
      </c>
    </row>
    <row r="448" spans="1:16">
      <c r="A448" s="2" t="s">
        <v>583</v>
      </c>
      <c r="B448" s="6" t="s">
        <v>14</v>
      </c>
      <c r="C448" s="7">
        <v>45222</v>
      </c>
      <c r="D448" s="7" t="s">
        <v>61</v>
      </c>
      <c r="E448" s="4" t="s">
        <v>110</v>
      </c>
      <c r="F448" s="4" t="s">
        <v>113</v>
      </c>
      <c r="G448" s="8">
        <v>8538</v>
      </c>
      <c r="H448" s="8" t="s">
        <v>126</v>
      </c>
      <c r="I448" s="3">
        <f>IF($H448="A VISTA", C448 + CADASTROS!$B$3, IF($H448="1+1", C448 + CADASTROS!$B$4, IF(H448="1+2", C448 + CADASTROS!$B$5, IF(H448="1+3", C448 + CADASTROS!$B$6, ""))))</f>
        <v>45223</v>
      </c>
      <c r="J448" s="8">
        <f t="shared" si="24"/>
        <v>8538</v>
      </c>
      <c r="K448" s="3" t="str">
        <f>IF($L448&lt;&gt;"", IF($H448="A VISTA", "", IF($H448="1+1", $C448 + CADASTROS!$C$4, IF($H448="1+2", $C448 + CADASTROS!$C$5, IF($H448="1+3", $C448 + CADASTROS!$E$4, "")))), "")</f>
        <v/>
      </c>
      <c r="L448" s="8" t="str">
        <f t="shared" si="25"/>
        <v/>
      </c>
      <c r="M448" s="3" t="str">
        <f>IF($N448&lt;&gt;"", IF($H448="A VISTA", "", IF($H448="1+1", $C448 + CADASTROS!$C$4, IF($H448="1+2", $C448 + CADASTROS!$D$5, IF($H448="1+3", $C448 + CADASTROS!$D$6, "")))), "")</f>
        <v/>
      </c>
      <c r="N448" s="8" t="str">
        <f t="shared" si="26"/>
        <v/>
      </c>
      <c r="O448" s="3" t="str">
        <f>IF($P448&lt;&gt;"", IF($H448="A VISTA", "", IF($H448="1+1", $C448 + CADASTROS!$C$4, IF($H448="1+2", $C448 + CADASTROS!$C$5, IF($H448="1+3", $C448 + CADASTROS!$E$6, "")))), "")</f>
        <v/>
      </c>
      <c r="P448" s="8" t="str">
        <f t="shared" si="27"/>
        <v/>
      </c>
    </row>
    <row r="449" spans="1:16">
      <c r="A449" s="2" t="s">
        <v>584</v>
      </c>
      <c r="B449" s="6" t="s">
        <v>12</v>
      </c>
      <c r="C449" s="7">
        <v>45322</v>
      </c>
      <c r="D449" s="7" t="s">
        <v>62</v>
      </c>
      <c r="E449" s="4" t="s">
        <v>112</v>
      </c>
      <c r="F449" s="4" t="s">
        <v>122</v>
      </c>
      <c r="G449" s="8">
        <v>1688</v>
      </c>
      <c r="H449" s="8" t="s">
        <v>126</v>
      </c>
      <c r="I449" s="3">
        <f>IF($H449="A VISTA", C449 + CADASTROS!$B$3, IF($H449="1+1", C449 + CADASTROS!$B$4, IF(H449="1+2", C449 + CADASTROS!$B$5, IF(H449="1+3", C449 + CADASTROS!$B$6, ""))))</f>
        <v>45323</v>
      </c>
      <c r="J449" s="8">
        <f t="shared" si="24"/>
        <v>1688</v>
      </c>
      <c r="K449" s="3" t="str">
        <f>IF($L449&lt;&gt;"", IF($H449="A VISTA", "", IF($H449="1+1", $C449 + CADASTROS!$C$4, IF($H449="1+2", $C449 + CADASTROS!$C$5, IF($H449="1+3", $C449 + CADASTROS!$E$4, "")))), "")</f>
        <v/>
      </c>
      <c r="L449" s="8" t="str">
        <f t="shared" si="25"/>
        <v/>
      </c>
      <c r="M449" s="3" t="str">
        <f>IF($N449&lt;&gt;"", IF($H449="A VISTA", "", IF($H449="1+1", $C449 + CADASTROS!$C$4, IF($H449="1+2", $C449 + CADASTROS!$D$5, IF($H449="1+3", $C449 + CADASTROS!$D$6, "")))), "")</f>
        <v/>
      </c>
      <c r="N449" s="8" t="str">
        <f t="shared" si="26"/>
        <v/>
      </c>
      <c r="O449" s="3" t="str">
        <f>IF($P449&lt;&gt;"", IF($H449="A VISTA", "", IF($H449="1+1", $C449 + CADASTROS!$C$4, IF($H449="1+2", $C449 + CADASTROS!$C$5, IF($H449="1+3", $C449 + CADASTROS!$E$6, "")))), "")</f>
        <v/>
      </c>
      <c r="P449" s="8" t="str">
        <f t="shared" si="27"/>
        <v/>
      </c>
    </row>
    <row r="450" spans="1:16">
      <c r="A450" s="2" t="s">
        <v>585</v>
      </c>
      <c r="B450" s="6" t="s">
        <v>44</v>
      </c>
      <c r="C450" s="7">
        <v>45079</v>
      </c>
      <c r="D450" s="7" t="s">
        <v>93</v>
      </c>
      <c r="E450" s="4" t="s">
        <v>111</v>
      </c>
      <c r="F450" s="4" t="s">
        <v>119</v>
      </c>
      <c r="G450" s="8">
        <v>1112</v>
      </c>
      <c r="H450" s="8" t="s">
        <v>137</v>
      </c>
      <c r="I450" s="3">
        <f>IF($H450="A VISTA", C450 + CADASTROS!$B$3, IF($H450="1+1", C450 + CADASTROS!$B$4, IF(H450="1+2", C450 + CADASTROS!$B$5, IF(H450="1+3", C450 + CADASTROS!$B$6, ""))))</f>
        <v>45080</v>
      </c>
      <c r="J450" s="8">
        <f t="shared" si="24"/>
        <v>370.66666666666669</v>
      </c>
      <c r="K450" s="3">
        <f>IF($L450&lt;&gt;"", IF($H450="A VISTA", "", IF($H450="1+1", $C450 + CADASTROS!$C$4, IF($H450="1+2", $C450 + CADASTROS!$C$5, IF($H450="1+3", $C450 + CADASTROS!$E$4, "")))), "")</f>
        <v>45109</v>
      </c>
      <c r="L450" s="8">
        <f t="shared" si="25"/>
        <v>370.66666666666669</v>
      </c>
      <c r="M450" s="3">
        <f>IF($N450&lt;&gt;"", IF($H450="A VISTA", "", IF($H450="1+1", $C450 + CADASTROS!$C$4, IF($H450="1+2", $C450 + CADASTROS!$D$5, IF($H450="1+3", $C450 + CADASTROS!$D$6, "")))), "")</f>
        <v>45124</v>
      </c>
      <c r="N450" s="8">
        <f t="shared" si="26"/>
        <v>370.66666666666657</v>
      </c>
      <c r="O450" s="3" t="str">
        <f>IF($P450&lt;&gt;"", IF($H450="A VISTA", "", IF($H450="1+1", $C450 + CADASTROS!$C$4, IF($H450="1+2", $C450 + CADASTROS!$C$5, IF($H450="1+3", $C450 + CADASTROS!$E$6, "")))), "")</f>
        <v/>
      </c>
      <c r="P450" s="8" t="str">
        <f t="shared" si="27"/>
        <v/>
      </c>
    </row>
    <row r="451" spans="1:16">
      <c r="A451" s="2" t="s">
        <v>586</v>
      </c>
      <c r="B451" s="6" t="s">
        <v>47</v>
      </c>
      <c r="C451" s="7">
        <v>45304</v>
      </c>
      <c r="D451" s="7" t="s">
        <v>96</v>
      </c>
      <c r="E451" s="4" t="s">
        <v>111</v>
      </c>
      <c r="F451" s="4" t="s">
        <v>120</v>
      </c>
      <c r="G451" s="8">
        <v>8387</v>
      </c>
      <c r="H451" s="8" t="s">
        <v>126</v>
      </c>
      <c r="I451" s="3">
        <f>IF($H451="A VISTA", C451 + CADASTROS!$B$3, IF($H451="1+1", C451 + CADASTROS!$B$4, IF(H451="1+2", C451 + CADASTROS!$B$5, IF(H451="1+3", C451 + CADASTROS!$B$6, ""))))</f>
        <v>45305</v>
      </c>
      <c r="J451" s="8">
        <f t="shared" ref="J451:J501" si="28">IF($H451="A VISTA", $G451, IF($H451="1+1", $G451/2, IF($H451="1+2", $G451/3, IF($H451="1+3", $G451/4, ""))))</f>
        <v>8387</v>
      </c>
      <c r="K451" s="3" t="str">
        <f>IF($L451&lt;&gt;"", IF($H451="A VISTA", "", IF($H451="1+1", $C451 + CADASTROS!$C$4, IF($H451="1+2", $C451 + CADASTROS!$C$5, IF($H451="1+3", $C451 + CADASTROS!$E$4, "")))), "")</f>
        <v/>
      </c>
      <c r="L451" s="8" t="str">
        <f t="shared" ref="L451:L501" si="29">IF($H451="A VISTA", "", IF($H451="1+1", $G451-$J451, IF($H451="1+2", $G451/3, IF($H451="1+3", ($G451-$J451)/3, ""))))</f>
        <v/>
      </c>
      <c r="M451" s="3" t="str">
        <f>IF($N451&lt;&gt;"", IF($H451="A VISTA", "", IF($H451="1+1", $C451 + CADASTROS!$C$4, IF($H451="1+2", $C451 + CADASTROS!$D$5, IF($H451="1+3", $C451 + CADASTROS!$D$6, "")))), "")</f>
        <v/>
      </c>
      <c r="N451" s="8" t="str">
        <f t="shared" ref="N451:N501" si="30">IF($H451="A VISTA","",IF($H451="1+2",$G451-$J451-$L451,IF($H451="1+3",($G451-$J451-$L451)/2,"")))</f>
        <v/>
      </c>
      <c r="O451" s="3" t="str">
        <f>IF($P451&lt;&gt;"", IF($H451="A VISTA", "", IF($H451="1+1", $C451 + CADASTROS!$C$4, IF($H451="1+2", $C451 + CADASTROS!$C$5, IF($H451="1+3", $C451 + CADASTROS!$E$6, "")))), "")</f>
        <v/>
      </c>
      <c r="P451" s="8" t="str">
        <f t="shared" ref="P451:P501" si="31">IF($H451="A VISTA", "", IF($H451="1+3", $G451-$J451-$L451-$N451, ""))</f>
        <v/>
      </c>
    </row>
    <row r="452" spans="1:16">
      <c r="A452" s="2" t="s">
        <v>587</v>
      </c>
      <c r="B452" s="6" t="s">
        <v>41</v>
      </c>
      <c r="C452" s="7">
        <v>45295</v>
      </c>
      <c r="D452" s="7" t="s">
        <v>90</v>
      </c>
      <c r="E452" s="4" t="s">
        <v>111</v>
      </c>
      <c r="F452" s="4" t="s">
        <v>118</v>
      </c>
      <c r="G452" s="8">
        <v>1802</v>
      </c>
      <c r="H452" s="8" t="s">
        <v>138</v>
      </c>
      <c r="I452" s="3">
        <f>IF($H452="A VISTA", C452 + CADASTROS!$B$3, IF($H452="1+1", C452 + CADASTROS!$B$4, IF(H452="1+2", C452 + CADASTROS!$B$5, IF(H452="1+3", C452 + CADASTROS!$B$6, ""))))</f>
        <v>45296</v>
      </c>
      <c r="J452" s="8">
        <f t="shared" si="28"/>
        <v>901</v>
      </c>
      <c r="K452" s="3">
        <f>IF($L452&lt;&gt;"", IF($H452="A VISTA", "", IF($H452="1+1", $C452 + CADASTROS!$C$4, IF($H452="1+2", $C452 + CADASTROS!$C$5, IF($H452="1+3", $C452 + CADASTROS!$E$4, "")))), "")</f>
        <v>45325</v>
      </c>
      <c r="L452" s="8">
        <f t="shared" si="29"/>
        <v>901</v>
      </c>
      <c r="M452" s="3" t="str">
        <f>IF($N452&lt;&gt;"", IF($H452="A VISTA", "", IF($H452="1+1", $C452 + CADASTROS!$C$4, IF($H452="1+2", $C452 + CADASTROS!$D$5, IF($H452="1+3", $C452 + CADASTROS!$D$6, "")))), "")</f>
        <v/>
      </c>
      <c r="N452" s="8" t="str">
        <f t="shared" si="30"/>
        <v/>
      </c>
      <c r="O452" s="3" t="str">
        <f>IF($P452&lt;&gt;"", IF($H452="A VISTA", "", IF($H452="1+1", $C452 + CADASTROS!$C$4, IF($H452="1+2", $C452 + CADASTROS!$C$5, IF($H452="1+3", $C452 + CADASTROS!$E$6, "")))), "")</f>
        <v/>
      </c>
      <c r="P452" s="8" t="str">
        <f t="shared" si="31"/>
        <v/>
      </c>
    </row>
    <row r="453" spans="1:16">
      <c r="A453" s="2" t="s">
        <v>588</v>
      </c>
      <c r="B453" s="6" t="s">
        <v>23</v>
      </c>
      <c r="C453" s="7">
        <v>45187</v>
      </c>
      <c r="D453" s="7" t="s">
        <v>72</v>
      </c>
      <c r="E453" s="4" t="s">
        <v>110</v>
      </c>
      <c r="F453" s="4" t="s">
        <v>113</v>
      </c>
      <c r="G453" s="8">
        <v>5788</v>
      </c>
      <c r="H453" s="8" t="s">
        <v>138</v>
      </c>
      <c r="I453" s="3">
        <f>IF($H453="A VISTA", C453 + CADASTROS!$B$3, IF($H453="1+1", C453 + CADASTROS!$B$4, IF(H453="1+2", C453 + CADASTROS!$B$5, IF(H453="1+3", C453 + CADASTROS!$B$6, ""))))</f>
        <v>45188</v>
      </c>
      <c r="J453" s="8">
        <f t="shared" si="28"/>
        <v>2894</v>
      </c>
      <c r="K453" s="3">
        <f>IF($L453&lt;&gt;"", IF($H453="A VISTA", "", IF($H453="1+1", $C453 + CADASTROS!$C$4, IF($H453="1+2", $C453 + CADASTROS!$C$5, IF($H453="1+3", $C453 + CADASTROS!$E$4, "")))), "")</f>
        <v>45217</v>
      </c>
      <c r="L453" s="8">
        <f t="shared" si="29"/>
        <v>2894</v>
      </c>
      <c r="M453" s="3" t="str">
        <f>IF($N453&lt;&gt;"", IF($H453="A VISTA", "", IF($H453="1+1", $C453 + CADASTROS!$C$4, IF($H453="1+2", $C453 + CADASTROS!$D$5, IF($H453="1+3", $C453 + CADASTROS!$D$6, "")))), "")</f>
        <v/>
      </c>
      <c r="N453" s="8" t="str">
        <f t="shared" si="30"/>
        <v/>
      </c>
      <c r="O453" s="3" t="str">
        <f>IF($P453&lt;&gt;"", IF($H453="A VISTA", "", IF($H453="1+1", $C453 + CADASTROS!$C$4, IF($H453="1+2", $C453 + CADASTROS!$C$5, IF($H453="1+3", $C453 + CADASTROS!$E$6, "")))), "")</f>
        <v/>
      </c>
      <c r="P453" s="8" t="str">
        <f t="shared" si="31"/>
        <v/>
      </c>
    </row>
    <row r="454" spans="1:16">
      <c r="A454" s="2" t="s">
        <v>589</v>
      </c>
      <c r="B454" s="6" t="s">
        <v>17</v>
      </c>
      <c r="C454" s="7">
        <v>45254</v>
      </c>
      <c r="D454" s="7" t="s">
        <v>66</v>
      </c>
      <c r="E454" s="4" t="s">
        <v>110</v>
      </c>
      <c r="F454" s="4" t="s">
        <v>114</v>
      </c>
      <c r="G454" s="8">
        <v>5519</v>
      </c>
      <c r="H454" s="8" t="s">
        <v>136</v>
      </c>
      <c r="I454" s="3">
        <f>IF($H454="A VISTA", C454 + CADASTROS!$B$3, IF($H454="1+1", C454 + CADASTROS!$B$4, IF(H454="1+2", C454 + CADASTROS!$B$5, IF(H454="1+3", C454 + CADASTROS!$B$6, ""))))</f>
        <v>45255</v>
      </c>
      <c r="J454" s="8">
        <f t="shared" si="28"/>
        <v>1379.75</v>
      </c>
      <c r="K454" s="3">
        <f>IF($L454&lt;&gt;"", IF($H454="A VISTA", "", IF($H454="1+1", $C454 + CADASTROS!$C$4, IF($H454="1+2", $C454 + CADASTROS!$C$5, IF($H454="1+3", $C454 + CADASTROS!$E$4, "")))), "")</f>
        <v>45254</v>
      </c>
      <c r="L454" s="8">
        <f t="shared" si="29"/>
        <v>1379.75</v>
      </c>
      <c r="M454" s="3">
        <f>IF($N454&lt;&gt;"", IF($H454="A VISTA", "", IF($H454="1+1", $C454 + CADASTROS!$C$4, IF($H454="1+2", $C454 + CADASTROS!$D$5, IF($H454="1+3", $C454 + CADASTROS!$D$6, "")))), "")</f>
        <v>45299</v>
      </c>
      <c r="N454" s="8">
        <f t="shared" si="30"/>
        <v>1379.75</v>
      </c>
      <c r="O454" s="3">
        <f>IF($P454&lt;&gt;"", IF($H454="A VISTA", "", IF($H454="1+1", $C454 + CADASTROS!$C$4, IF($H454="1+2", $C454 + CADASTROS!$C$5, IF($H454="1+3", $C454 + CADASTROS!$E$6, "")))), "")</f>
        <v>45314</v>
      </c>
      <c r="P454" s="8">
        <f t="shared" si="31"/>
        <v>1379.75</v>
      </c>
    </row>
    <row r="455" spans="1:16">
      <c r="A455" s="2" t="s">
        <v>590</v>
      </c>
      <c r="B455" s="6" t="s">
        <v>41</v>
      </c>
      <c r="C455" s="7">
        <v>45006</v>
      </c>
      <c r="D455" s="7" t="s">
        <v>90</v>
      </c>
      <c r="E455" s="4" t="s">
        <v>111</v>
      </c>
      <c r="F455" s="4" t="s">
        <v>118</v>
      </c>
      <c r="G455" s="8">
        <v>9182</v>
      </c>
      <c r="H455" s="8" t="s">
        <v>126</v>
      </c>
      <c r="I455" s="3">
        <f>IF($H455="A VISTA", C455 + CADASTROS!$B$3, IF($H455="1+1", C455 + CADASTROS!$B$4, IF(H455="1+2", C455 + CADASTROS!$B$5, IF(H455="1+3", C455 + CADASTROS!$B$6, ""))))</f>
        <v>45007</v>
      </c>
      <c r="J455" s="8">
        <f t="shared" si="28"/>
        <v>9182</v>
      </c>
      <c r="K455" s="3" t="str">
        <f>IF($L455&lt;&gt;"", IF($H455="A VISTA", "", IF($H455="1+1", $C455 + CADASTROS!$C$4, IF($H455="1+2", $C455 + CADASTROS!$C$5, IF($H455="1+3", $C455 + CADASTROS!$E$4, "")))), "")</f>
        <v/>
      </c>
      <c r="L455" s="8" t="str">
        <f t="shared" si="29"/>
        <v/>
      </c>
      <c r="M455" s="3" t="str">
        <f>IF($N455&lt;&gt;"", IF($H455="A VISTA", "", IF($H455="1+1", $C455 + CADASTROS!$C$4, IF($H455="1+2", $C455 + CADASTROS!$D$5, IF($H455="1+3", $C455 + CADASTROS!$D$6, "")))), "")</f>
        <v/>
      </c>
      <c r="N455" s="8" t="str">
        <f t="shared" si="30"/>
        <v/>
      </c>
      <c r="O455" s="3" t="str">
        <f>IF($P455&lt;&gt;"", IF($H455="A VISTA", "", IF($H455="1+1", $C455 + CADASTROS!$C$4, IF($H455="1+2", $C455 + CADASTROS!$C$5, IF($H455="1+3", $C455 + CADASTROS!$E$6, "")))), "")</f>
        <v/>
      </c>
      <c r="P455" s="8" t="str">
        <f t="shared" si="31"/>
        <v/>
      </c>
    </row>
    <row r="456" spans="1:16">
      <c r="A456" s="2" t="s">
        <v>591</v>
      </c>
      <c r="B456" s="6" t="s">
        <v>21</v>
      </c>
      <c r="C456" s="7">
        <v>45171</v>
      </c>
      <c r="D456" s="7" t="s">
        <v>70</v>
      </c>
      <c r="E456" s="4" t="s">
        <v>110</v>
      </c>
      <c r="F456" s="4" t="s">
        <v>124</v>
      </c>
      <c r="G456" s="8">
        <v>3154</v>
      </c>
      <c r="H456" s="8" t="s">
        <v>136</v>
      </c>
      <c r="I456" s="3">
        <f>IF($H456="A VISTA", C456 + CADASTROS!$B$3, IF($H456="1+1", C456 + CADASTROS!$B$4, IF(H456="1+2", C456 + CADASTROS!$B$5, IF(H456="1+3", C456 + CADASTROS!$B$6, ""))))</f>
        <v>45172</v>
      </c>
      <c r="J456" s="8">
        <f t="shared" si="28"/>
        <v>788.5</v>
      </c>
      <c r="K456" s="3">
        <f>IF($L456&lt;&gt;"", IF($H456="A VISTA", "", IF($H456="1+1", $C456 + CADASTROS!$C$4, IF($H456="1+2", $C456 + CADASTROS!$C$5, IF($H456="1+3", $C456 + CADASTROS!$E$4, "")))), "")</f>
        <v>45171</v>
      </c>
      <c r="L456" s="8">
        <f t="shared" si="29"/>
        <v>788.5</v>
      </c>
      <c r="M456" s="3">
        <f>IF($N456&lt;&gt;"", IF($H456="A VISTA", "", IF($H456="1+1", $C456 + CADASTROS!$C$4, IF($H456="1+2", $C456 + CADASTROS!$D$5, IF($H456="1+3", $C456 + CADASTROS!$D$6, "")))), "")</f>
        <v>45216</v>
      </c>
      <c r="N456" s="8">
        <f t="shared" si="30"/>
        <v>788.5</v>
      </c>
      <c r="O456" s="3">
        <f>IF($P456&lt;&gt;"", IF($H456="A VISTA", "", IF($H456="1+1", $C456 + CADASTROS!$C$4, IF($H456="1+2", $C456 + CADASTROS!$C$5, IF($H456="1+3", $C456 + CADASTROS!$E$6, "")))), "")</f>
        <v>45231</v>
      </c>
      <c r="P456" s="8">
        <f t="shared" si="31"/>
        <v>788.5</v>
      </c>
    </row>
    <row r="457" spans="1:16">
      <c r="A457" s="2" t="s">
        <v>592</v>
      </c>
      <c r="B457" s="6" t="s">
        <v>37</v>
      </c>
      <c r="C457" s="7">
        <v>45437</v>
      </c>
      <c r="D457" s="7" t="s">
        <v>86</v>
      </c>
      <c r="E457" s="4" t="s">
        <v>112</v>
      </c>
      <c r="F457" s="4" t="s">
        <v>123</v>
      </c>
      <c r="G457" s="8">
        <v>6164</v>
      </c>
      <c r="H457" s="8" t="s">
        <v>126</v>
      </c>
      <c r="I457" s="3">
        <f>IF($H457="A VISTA", C457 + CADASTROS!$B$3, IF($H457="1+1", C457 + CADASTROS!$B$4, IF(H457="1+2", C457 + CADASTROS!$B$5, IF(H457="1+3", C457 + CADASTROS!$B$6, ""))))</f>
        <v>45438</v>
      </c>
      <c r="J457" s="8">
        <f t="shared" si="28"/>
        <v>6164</v>
      </c>
      <c r="K457" s="3" t="str">
        <f>IF($L457&lt;&gt;"", IF($H457="A VISTA", "", IF($H457="1+1", $C457 + CADASTROS!$C$4, IF($H457="1+2", $C457 + CADASTROS!$C$5, IF($H457="1+3", $C457 + CADASTROS!$E$4, "")))), "")</f>
        <v/>
      </c>
      <c r="L457" s="8" t="str">
        <f t="shared" si="29"/>
        <v/>
      </c>
      <c r="M457" s="3" t="str">
        <f>IF($N457&lt;&gt;"", IF($H457="A VISTA", "", IF($H457="1+1", $C457 + CADASTROS!$C$4, IF($H457="1+2", $C457 + CADASTROS!$D$5, IF($H457="1+3", $C457 + CADASTROS!$D$6, "")))), "")</f>
        <v/>
      </c>
      <c r="N457" s="8" t="str">
        <f t="shared" si="30"/>
        <v/>
      </c>
      <c r="O457" s="3" t="str">
        <f>IF($P457&lt;&gt;"", IF($H457="A VISTA", "", IF($H457="1+1", $C457 + CADASTROS!$C$4, IF($H457="1+2", $C457 + CADASTROS!$C$5, IF($H457="1+3", $C457 + CADASTROS!$E$6, "")))), "")</f>
        <v/>
      </c>
      <c r="P457" s="8" t="str">
        <f t="shared" si="31"/>
        <v/>
      </c>
    </row>
    <row r="458" spans="1:16">
      <c r="A458" s="2" t="s">
        <v>593</v>
      </c>
      <c r="B458" s="6" t="s">
        <v>18</v>
      </c>
      <c r="C458" s="7">
        <v>45507</v>
      </c>
      <c r="D458" s="7" t="s">
        <v>67</v>
      </c>
      <c r="E458" s="4" t="s">
        <v>111</v>
      </c>
      <c r="F458" s="4" t="s">
        <v>121</v>
      </c>
      <c r="G458" s="8">
        <v>3859</v>
      </c>
      <c r="H458" s="8" t="s">
        <v>126</v>
      </c>
      <c r="I458" s="3">
        <f>IF($H458="A VISTA", C458 + CADASTROS!$B$3, IF($H458="1+1", C458 + CADASTROS!$B$4, IF(H458="1+2", C458 + CADASTROS!$B$5, IF(H458="1+3", C458 + CADASTROS!$B$6, ""))))</f>
        <v>45508</v>
      </c>
      <c r="J458" s="8">
        <f t="shared" si="28"/>
        <v>3859</v>
      </c>
      <c r="K458" s="3" t="str">
        <f>IF($L458&lt;&gt;"", IF($H458="A VISTA", "", IF($H458="1+1", $C458 + CADASTROS!$C$4, IF($H458="1+2", $C458 + CADASTROS!$C$5, IF($H458="1+3", $C458 + CADASTROS!$E$4, "")))), "")</f>
        <v/>
      </c>
      <c r="L458" s="8" t="str">
        <f t="shared" si="29"/>
        <v/>
      </c>
      <c r="M458" s="3" t="str">
        <f>IF($N458&lt;&gt;"", IF($H458="A VISTA", "", IF($H458="1+1", $C458 + CADASTROS!$C$4, IF($H458="1+2", $C458 + CADASTROS!$D$5, IF($H458="1+3", $C458 + CADASTROS!$D$6, "")))), "")</f>
        <v/>
      </c>
      <c r="N458" s="8" t="str">
        <f t="shared" si="30"/>
        <v/>
      </c>
      <c r="O458" s="3" t="str">
        <f>IF($P458&lt;&gt;"", IF($H458="A VISTA", "", IF($H458="1+1", $C458 + CADASTROS!$C$4, IF($H458="1+2", $C458 + CADASTROS!$C$5, IF($H458="1+3", $C458 + CADASTROS!$E$6, "")))), "")</f>
        <v/>
      </c>
      <c r="P458" s="8" t="str">
        <f t="shared" si="31"/>
        <v/>
      </c>
    </row>
    <row r="459" spans="1:16">
      <c r="A459" s="2" t="s">
        <v>594</v>
      </c>
      <c r="B459" s="6" t="s">
        <v>24</v>
      </c>
      <c r="C459" s="7">
        <v>45410</v>
      </c>
      <c r="D459" s="7" t="s">
        <v>73</v>
      </c>
      <c r="E459" s="4" t="s">
        <v>112</v>
      </c>
      <c r="F459" s="4" t="s">
        <v>122</v>
      </c>
      <c r="G459" s="8">
        <v>6257</v>
      </c>
      <c r="H459" s="8" t="s">
        <v>126</v>
      </c>
      <c r="I459" s="3">
        <f>IF($H459="A VISTA", C459 + CADASTROS!$B$3, IF($H459="1+1", C459 + CADASTROS!$B$4, IF(H459="1+2", C459 + CADASTROS!$B$5, IF(H459="1+3", C459 + CADASTROS!$B$6, ""))))</f>
        <v>45411</v>
      </c>
      <c r="J459" s="8">
        <f t="shared" si="28"/>
        <v>6257</v>
      </c>
      <c r="K459" s="3" t="str">
        <f>IF($L459&lt;&gt;"", IF($H459="A VISTA", "", IF($H459="1+1", $C459 + CADASTROS!$C$4, IF($H459="1+2", $C459 + CADASTROS!$C$5, IF($H459="1+3", $C459 + CADASTROS!$E$4, "")))), "")</f>
        <v/>
      </c>
      <c r="L459" s="8" t="str">
        <f t="shared" si="29"/>
        <v/>
      </c>
      <c r="M459" s="3" t="str">
        <f>IF($N459&lt;&gt;"", IF($H459="A VISTA", "", IF($H459="1+1", $C459 + CADASTROS!$C$4, IF($H459="1+2", $C459 + CADASTROS!$D$5, IF($H459="1+3", $C459 + CADASTROS!$D$6, "")))), "")</f>
        <v/>
      </c>
      <c r="N459" s="8" t="str">
        <f t="shared" si="30"/>
        <v/>
      </c>
      <c r="O459" s="3" t="str">
        <f>IF($P459&lt;&gt;"", IF($H459="A VISTA", "", IF($H459="1+1", $C459 + CADASTROS!$C$4, IF($H459="1+2", $C459 + CADASTROS!$C$5, IF($H459="1+3", $C459 + CADASTROS!$E$6, "")))), "")</f>
        <v/>
      </c>
      <c r="P459" s="8" t="str">
        <f t="shared" si="31"/>
        <v/>
      </c>
    </row>
    <row r="460" spans="1:16">
      <c r="A460" s="2" t="s">
        <v>595</v>
      </c>
      <c r="B460" s="6" t="s">
        <v>48</v>
      </c>
      <c r="C460" s="7">
        <v>45117</v>
      </c>
      <c r="D460" s="7" t="s">
        <v>97</v>
      </c>
      <c r="E460" s="4" t="s">
        <v>112</v>
      </c>
      <c r="F460" s="4" t="s">
        <v>123</v>
      </c>
      <c r="G460" s="8">
        <v>4081</v>
      </c>
      <c r="H460" s="8" t="s">
        <v>126</v>
      </c>
      <c r="I460" s="3">
        <f>IF($H460="A VISTA", C460 + CADASTROS!$B$3, IF($H460="1+1", C460 + CADASTROS!$B$4, IF(H460="1+2", C460 + CADASTROS!$B$5, IF(H460="1+3", C460 + CADASTROS!$B$6, ""))))</f>
        <v>45118</v>
      </c>
      <c r="J460" s="8">
        <f t="shared" si="28"/>
        <v>4081</v>
      </c>
      <c r="K460" s="3" t="str">
        <f>IF($L460&lt;&gt;"", IF($H460="A VISTA", "", IF($H460="1+1", $C460 + CADASTROS!$C$4, IF($H460="1+2", $C460 + CADASTROS!$C$5, IF($H460="1+3", $C460 + CADASTROS!$E$4, "")))), "")</f>
        <v/>
      </c>
      <c r="L460" s="8" t="str">
        <f t="shared" si="29"/>
        <v/>
      </c>
      <c r="M460" s="3" t="str">
        <f>IF($N460&lt;&gt;"", IF($H460="A VISTA", "", IF($H460="1+1", $C460 + CADASTROS!$C$4, IF($H460="1+2", $C460 + CADASTROS!$D$5, IF($H460="1+3", $C460 + CADASTROS!$D$6, "")))), "")</f>
        <v/>
      </c>
      <c r="N460" s="8" t="str">
        <f t="shared" si="30"/>
        <v/>
      </c>
      <c r="O460" s="3" t="str">
        <f>IF($P460&lt;&gt;"", IF($H460="A VISTA", "", IF($H460="1+1", $C460 + CADASTROS!$C$4, IF($H460="1+2", $C460 + CADASTROS!$C$5, IF($H460="1+3", $C460 + CADASTROS!$E$6, "")))), "")</f>
        <v/>
      </c>
      <c r="P460" s="8" t="str">
        <f t="shared" si="31"/>
        <v/>
      </c>
    </row>
    <row r="461" spans="1:16">
      <c r="A461" s="2" t="s">
        <v>596</v>
      </c>
      <c r="B461" s="6" t="s">
        <v>34</v>
      </c>
      <c r="C461" s="7">
        <v>45346</v>
      </c>
      <c r="D461" s="7" t="s">
        <v>83</v>
      </c>
      <c r="E461" s="4" t="s">
        <v>110</v>
      </c>
      <c r="F461" s="4" t="s">
        <v>113</v>
      </c>
      <c r="G461" s="8">
        <v>8508</v>
      </c>
      <c r="H461" s="8" t="s">
        <v>138</v>
      </c>
      <c r="I461" s="3">
        <f>IF($H461="A VISTA", C461 + CADASTROS!$B$3, IF($H461="1+1", C461 + CADASTROS!$B$4, IF(H461="1+2", C461 + CADASTROS!$B$5, IF(H461="1+3", C461 + CADASTROS!$B$6, ""))))</f>
        <v>45347</v>
      </c>
      <c r="J461" s="8">
        <f t="shared" si="28"/>
        <v>4254</v>
      </c>
      <c r="K461" s="3">
        <f>IF($L461&lt;&gt;"", IF($H461="A VISTA", "", IF($H461="1+1", $C461 + CADASTROS!$C$4, IF($H461="1+2", $C461 + CADASTROS!$C$5, IF($H461="1+3", $C461 + CADASTROS!$E$4, "")))), "")</f>
        <v>45376</v>
      </c>
      <c r="L461" s="8">
        <f t="shared" si="29"/>
        <v>4254</v>
      </c>
      <c r="M461" s="3" t="str">
        <f>IF($N461&lt;&gt;"", IF($H461="A VISTA", "", IF($H461="1+1", $C461 + CADASTROS!$C$4, IF($H461="1+2", $C461 + CADASTROS!$D$5, IF($H461="1+3", $C461 + CADASTROS!$D$6, "")))), "")</f>
        <v/>
      </c>
      <c r="N461" s="8" t="str">
        <f t="shared" si="30"/>
        <v/>
      </c>
      <c r="O461" s="3" t="str">
        <f>IF($P461&lt;&gt;"", IF($H461="A VISTA", "", IF($H461="1+1", $C461 + CADASTROS!$C$4, IF($H461="1+2", $C461 + CADASTROS!$C$5, IF($H461="1+3", $C461 + CADASTROS!$E$6, "")))), "")</f>
        <v/>
      </c>
      <c r="P461" s="8" t="str">
        <f t="shared" si="31"/>
        <v/>
      </c>
    </row>
    <row r="462" spans="1:16">
      <c r="A462" s="2" t="s">
        <v>597</v>
      </c>
      <c r="B462" s="6" t="s">
        <v>21</v>
      </c>
      <c r="C462" s="7">
        <v>45311</v>
      </c>
      <c r="D462" s="7" t="s">
        <v>70</v>
      </c>
      <c r="E462" s="4" t="s">
        <v>110</v>
      </c>
      <c r="F462" s="4" t="s">
        <v>124</v>
      </c>
      <c r="G462" s="8">
        <v>8975</v>
      </c>
      <c r="H462" s="8" t="s">
        <v>138</v>
      </c>
      <c r="I462" s="3">
        <f>IF($H462="A VISTA", C462 + CADASTROS!$B$3, IF($H462="1+1", C462 + CADASTROS!$B$4, IF(H462="1+2", C462 + CADASTROS!$B$5, IF(H462="1+3", C462 + CADASTROS!$B$6, ""))))</f>
        <v>45312</v>
      </c>
      <c r="J462" s="8">
        <f t="shared" si="28"/>
        <v>4487.5</v>
      </c>
      <c r="K462" s="3">
        <f>IF($L462&lt;&gt;"", IF($H462="A VISTA", "", IF($H462="1+1", $C462 + CADASTROS!$C$4, IF($H462="1+2", $C462 + CADASTROS!$C$5, IF($H462="1+3", $C462 + CADASTROS!$E$4, "")))), "")</f>
        <v>45341</v>
      </c>
      <c r="L462" s="8">
        <f t="shared" si="29"/>
        <v>4487.5</v>
      </c>
      <c r="M462" s="3" t="str">
        <f>IF($N462&lt;&gt;"", IF($H462="A VISTA", "", IF($H462="1+1", $C462 + CADASTROS!$C$4, IF($H462="1+2", $C462 + CADASTROS!$D$5, IF($H462="1+3", $C462 + CADASTROS!$D$6, "")))), "")</f>
        <v/>
      </c>
      <c r="N462" s="8" t="str">
        <f t="shared" si="30"/>
        <v/>
      </c>
      <c r="O462" s="3" t="str">
        <f>IF($P462&lt;&gt;"", IF($H462="A VISTA", "", IF($H462="1+1", $C462 + CADASTROS!$C$4, IF($H462="1+2", $C462 + CADASTROS!$C$5, IF($H462="1+3", $C462 + CADASTROS!$E$6, "")))), "")</f>
        <v/>
      </c>
      <c r="P462" s="8" t="str">
        <f t="shared" si="31"/>
        <v/>
      </c>
    </row>
    <row r="463" spans="1:16">
      <c r="A463" s="2" t="s">
        <v>598</v>
      </c>
      <c r="B463" s="6" t="s">
        <v>35</v>
      </c>
      <c r="C463" s="7">
        <v>45378</v>
      </c>
      <c r="D463" s="7" t="s">
        <v>84</v>
      </c>
      <c r="E463" s="4" t="s">
        <v>112</v>
      </c>
      <c r="F463" s="4" t="s">
        <v>122</v>
      </c>
      <c r="G463" s="8">
        <v>5195</v>
      </c>
      <c r="H463" s="8" t="s">
        <v>126</v>
      </c>
      <c r="I463" s="3">
        <f>IF($H463="A VISTA", C463 + CADASTROS!$B$3, IF($H463="1+1", C463 + CADASTROS!$B$4, IF(H463="1+2", C463 + CADASTROS!$B$5, IF(H463="1+3", C463 + CADASTROS!$B$6, ""))))</f>
        <v>45379</v>
      </c>
      <c r="J463" s="8">
        <f t="shared" si="28"/>
        <v>5195</v>
      </c>
      <c r="K463" s="3" t="str">
        <f>IF($L463&lt;&gt;"", IF($H463="A VISTA", "", IF($H463="1+1", $C463 + CADASTROS!$C$4, IF($H463="1+2", $C463 + CADASTROS!$C$5, IF($H463="1+3", $C463 + CADASTROS!$E$4, "")))), "")</f>
        <v/>
      </c>
      <c r="L463" s="8" t="str">
        <f t="shared" si="29"/>
        <v/>
      </c>
      <c r="M463" s="3" t="str">
        <f>IF($N463&lt;&gt;"", IF($H463="A VISTA", "", IF($H463="1+1", $C463 + CADASTROS!$C$4, IF($H463="1+2", $C463 + CADASTROS!$D$5, IF($H463="1+3", $C463 + CADASTROS!$D$6, "")))), "")</f>
        <v/>
      </c>
      <c r="N463" s="8" t="str">
        <f t="shared" si="30"/>
        <v/>
      </c>
      <c r="O463" s="3" t="str">
        <f>IF($P463&lt;&gt;"", IF($H463="A VISTA", "", IF($H463="1+1", $C463 + CADASTROS!$C$4, IF($H463="1+2", $C463 + CADASTROS!$C$5, IF($H463="1+3", $C463 + CADASTROS!$E$6, "")))), "")</f>
        <v/>
      </c>
      <c r="P463" s="8" t="str">
        <f t="shared" si="31"/>
        <v/>
      </c>
    </row>
    <row r="464" spans="1:16">
      <c r="A464" s="2" t="s">
        <v>599</v>
      </c>
      <c r="B464" s="6" t="s">
        <v>46</v>
      </c>
      <c r="C464" s="7">
        <v>45332</v>
      </c>
      <c r="D464" s="7" t="s">
        <v>95</v>
      </c>
      <c r="E464" s="4" t="s">
        <v>112</v>
      </c>
      <c r="F464" s="4" t="s">
        <v>122</v>
      </c>
      <c r="G464" s="8">
        <v>5649</v>
      </c>
      <c r="H464" s="8" t="s">
        <v>126</v>
      </c>
      <c r="I464" s="3">
        <f>IF($H464="A VISTA", C464 + CADASTROS!$B$3, IF($H464="1+1", C464 + CADASTROS!$B$4, IF(H464="1+2", C464 + CADASTROS!$B$5, IF(H464="1+3", C464 + CADASTROS!$B$6, ""))))</f>
        <v>45333</v>
      </c>
      <c r="J464" s="8">
        <f t="shared" si="28"/>
        <v>5649</v>
      </c>
      <c r="K464" s="3" t="str">
        <f>IF($L464&lt;&gt;"", IF($H464="A VISTA", "", IF($H464="1+1", $C464 + CADASTROS!$C$4, IF($H464="1+2", $C464 + CADASTROS!$C$5, IF($H464="1+3", $C464 + CADASTROS!$E$4, "")))), "")</f>
        <v/>
      </c>
      <c r="L464" s="8" t="str">
        <f t="shared" si="29"/>
        <v/>
      </c>
      <c r="M464" s="3" t="str">
        <f>IF($N464&lt;&gt;"", IF($H464="A VISTA", "", IF($H464="1+1", $C464 + CADASTROS!$C$4, IF($H464="1+2", $C464 + CADASTROS!$D$5, IF($H464="1+3", $C464 + CADASTROS!$D$6, "")))), "")</f>
        <v/>
      </c>
      <c r="N464" s="8" t="str">
        <f t="shared" si="30"/>
        <v/>
      </c>
      <c r="O464" s="3" t="str">
        <f>IF($P464&lt;&gt;"", IF($H464="A VISTA", "", IF($H464="1+1", $C464 + CADASTROS!$C$4, IF($H464="1+2", $C464 + CADASTROS!$C$5, IF($H464="1+3", $C464 + CADASTROS!$E$6, "")))), "")</f>
        <v/>
      </c>
      <c r="P464" s="8" t="str">
        <f t="shared" si="31"/>
        <v/>
      </c>
    </row>
    <row r="465" spans="1:16">
      <c r="A465" s="2" t="s">
        <v>600</v>
      </c>
      <c r="B465" s="6" t="s">
        <v>47</v>
      </c>
      <c r="C465" s="7">
        <v>45543</v>
      </c>
      <c r="D465" s="7" t="s">
        <v>96</v>
      </c>
      <c r="E465" s="4" t="s">
        <v>111</v>
      </c>
      <c r="F465" s="4" t="s">
        <v>120</v>
      </c>
      <c r="G465" s="8">
        <v>527</v>
      </c>
      <c r="H465" s="8" t="s">
        <v>137</v>
      </c>
      <c r="I465" s="3">
        <f>IF($H465="A VISTA", C465 + CADASTROS!$B$3, IF($H465="1+1", C465 + CADASTROS!$B$4, IF(H465="1+2", C465 + CADASTROS!$B$5, IF(H465="1+3", C465 + CADASTROS!$B$6, ""))))</f>
        <v>45544</v>
      </c>
      <c r="J465" s="8">
        <f t="shared" si="28"/>
        <v>175.66666666666666</v>
      </c>
      <c r="K465" s="3">
        <f>IF($L465&lt;&gt;"", IF($H465="A VISTA", "", IF($H465="1+1", $C465 + CADASTROS!$C$4, IF($H465="1+2", $C465 + CADASTROS!$C$5, IF($H465="1+3", $C465 + CADASTROS!$E$4, "")))), "")</f>
        <v>45573</v>
      </c>
      <c r="L465" s="8">
        <f t="shared" si="29"/>
        <v>175.66666666666666</v>
      </c>
      <c r="M465" s="3">
        <f>IF($N465&lt;&gt;"", IF($H465="A VISTA", "", IF($H465="1+1", $C465 + CADASTROS!$C$4, IF($H465="1+2", $C465 + CADASTROS!$D$5, IF($H465="1+3", $C465 + CADASTROS!$D$6, "")))), "")</f>
        <v>45588</v>
      </c>
      <c r="N465" s="8">
        <f t="shared" si="30"/>
        <v>175.66666666666671</v>
      </c>
      <c r="O465" s="3" t="str">
        <f>IF($P465&lt;&gt;"", IF($H465="A VISTA", "", IF($H465="1+1", $C465 + CADASTROS!$C$4, IF($H465="1+2", $C465 + CADASTROS!$C$5, IF($H465="1+3", $C465 + CADASTROS!$E$6, "")))), "")</f>
        <v/>
      </c>
      <c r="P465" s="8" t="str">
        <f t="shared" si="31"/>
        <v/>
      </c>
    </row>
    <row r="466" spans="1:16">
      <c r="A466" s="2" t="s">
        <v>601</v>
      </c>
      <c r="B466" s="6" t="s">
        <v>42</v>
      </c>
      <c r="C466" s="7">
        <v>45404</v>
      </c>
      <c r="D466" s="7" t="s">
        <v>91</v>
      </c>
      <c r="E466" s="4" t="s">
        <v>111</v>
      </c>
      <c r="F466" s="4" t="s">
        <v>117</v>
      </c>
      <c r="G466" s="8">
        <v>7277</v>
      </c>
      <c r="H466" s="8" t="s">
        <v>126</v>
      </c>
      <c r="I466" s="3">
        <f>IF($H466="A VISTA", C466 + CADASTROS!$B$3, IF($H466="1+1", C466 + CADASTROS!$B$4, IF(H466="1+2", C466 + CADASTROS!$B$5, IF(H466="1+3", C466 + CADASTROS!$B$6, ""))))</f>
        <v>45405</v>
      </c>
      <c r="J466" s="8">
        <f t="shared" si="28"/>
        <v>7277</v>
      </c>
      <c r="K466" s="3" t="str">
        <f>IF($L466&lt;&gt;"", IF($H466="A VISTA", "", IF($H466="1+1", $C466 + CADASTROS!$C$4, IF($H466="1+2", $C466 + CADASTROS!$C$5, IF($H466="1+3", $C466 + CADASTROS!$E$4, "")))), "")</f>
        <v/>
      </c>
      <c r="L466" s="8" t="str">
        <f t="shared" si="29"/>
        <v/>
      </c>
      <c r="M466" s="3" t="str">
        <f>IF($N466&lt;&gt;"", IF($H466="A VISTA", "", IF($H466="1+1", $C466 + CADASTROS!$C$4, IF($H466="1+2", $C466 + CADASTROS!$D$5, IF($H466="1+3", $C466 + CADASTROS!$D$6, "")))), "")</f>
        <v/>
      </c>
      <c r="N466" s="8" t="str">
        <f t="shared" si="30"/>
        <v/>
      </c>
      <c r="O466" s="3" t="str">
        <f>IF($P466&lt;&gt;"", IF($H466="A VISTA", "", IF($H466="1+1", $C466 + CADASTROS!$C$4, IF($H466="1+2", $C466 + CADASTROS!$C$5, IF($H466="1+3", $C466 + CADASTROS!$E$6, "")))), "")</f>
        <v/>
      </c>
      <c r="P466" s="8" t="str">
        <f t="shared" si="31"/>
        <v/>
      </c>
    </row>
    <row r="467" spans="1:16">
      <c r="A467" s="2" t="s">
        <v>602</v>
      </c>
      <c r="B467" s="6" t="s">
        <v>24</v>
      </c>
      <c r="C467" s="7">
        <v>45271</v>
      </c>
      <c r="D467" s="7" t="s">
        <v>73</v>
      </c>
      <c r="E467" s="4" t="s">
        <v>112</v>
      </c>
      <c r="F467" s="4" t="s">
        <v>122</v>
      </c>
      <c r="G467" s="8">
        <v>6242</v>
      </c>
      <c r="H467" s="8" t="s">
        <v>126</v>
      </c>
      <c r="I467" s="3">
        <f>IF($H467="A VISTA", C467 + CADASTROS!$B$3, IF($H467="1+1", C467 + CADASTROS!$B$4, IF(H467="1+2", C467 + CADASTROS!$B$5, IF(H467="1+3", C467 + CADASTROS!$B$6, ""))))</f>
        <v>45272</v>
      </c>
      <c r="J467" s="8">
        <f t="shared" si="28"/>
        <v>6242</v>
      </c>
      <c r="K467" s="3" t="str">
        <f>IF($L467&lt;&gt;"", IF($H467="A VISTA", "", IF($H467="1+1", $C467 + CADASTROS!$C$4, IF($H467="1+2", $C467 + CADASTROS!$C$5, IF($H467="1+3", $C467 + CADASTROS!$E$4, "")))), "")</f>
        <v/>
      </c>
      <c r="L467" s="8" t="str">
        <f t="shared" si="29"/>
        <v/>
      </c>
      <c r="M467" s="3" t="str">
        <f>IF($N467&lt;&gt;"", IF($H467="A VISTA", "", IF($H467="1+1", $C467 + CADASTROS!$C$4, IF($H467="1+2", $C467 + CADASTROS!$D$5, IF($H467="1+3", $C467 + CADASTROS!$D$6, "")))), "")</f>
        <v/>
      </c>
      <c r="N467" s="8" t="str">
        <f t="shared" si="30"/>
        <v/>
      </c>
      <c r="O467" s="3" t="str">
        <f>IF($P467&lt;&gt;"", IF($H467="A VISTA", "", IF($H467="1+1", $C467 + CADASTROS!$C$4, IF($H467="1+2", $C467 + CADASTROS!$C$5, IF($H467="1+3", $C467 + CADASTROS!$E$6, "")))), "")</f>
        <v/>
      </c>
      <c r="P467" s="8" t="str">
        <f t="shared" si="31"/>
        <v/>
      </c>
    </row>
    <row r="468" spans="1:16">
      <c r="A468" s="2" t="s">
        <v>603</v>
      </c>
      <c r="B468" s="6" t="s">
        <v>38</v>
      </c>
      <c r="C468" s="7">
        <v>45270</v>
      </c>
      <c r="D468" s="7" t="s">
        <v>87</v>
      </c>
      <c r="E468" s="4" t="s">
        <v>110</v>
      </c>
      <c r="F468" s="4" t="s">
        <v>125</v>
      </c>
      <c r="G468" s="8">
        <v>9670</v>
      </c>
      <c r="H468" s="8" t="s">
        <v>138</v>
      </c>
      <c r="I468" s="3">
        <f>IF($H468="A VISTA", C468 + CADASTROS!$B$3, IF($H468="1+1", C468 + CADASTROS!$B$4, IF(H468="1+2", C468 + CADASTROS!$B$5, IF(H468="1+3", C468 + CADASTROS!$B$6, ""))))</f>
        <v>45271</v>
      </c>
      <c r="J468" s="8">
        <f t="shared" si="28"/>
        <v>4835</v>
      </c>
      <c r="K468" s="3">
        <f>IF($L468&lt;&gt;"", IF($H468="A VISTA", "", IF($H468="1+1", $C468 + CADASTROS!$C$4, IF($H468="1+2", $C468 + CADASTROS!$C$5, IF($H468="1+3", $C468 + CADASTROS!$E$4, "")))), "")</f>
        <v>45300</v>
      </c>
      <c r="L468" s="8">
        <f t="shared" si="29"/>
        <v>4835</v>
      </c>
      <c r="M468" s="3" t="str">
        <f>IF($N468&lt;&gt;"", IF($H468="A VISTA", "", IF($H468="1+1", $C468 + CADASTROS!$C$4, IF($H468="1+2", $C468 + CADASTROS!$D$5, IF($H468="1+3", $C468 + CADASTROS!$D$6, "")))), "")</f>
        <v/>
      </c>
      <c r="N468" s="8" t="str">
        <f t="shared" si="30"/>
        <v/>
      </c>
      <c r="O468" s="3" t="str">
        <f>IF($P468&lt;&gt;"", IF($H468="A VISTA", "", IF($H468="1+1", $C468 + CADASTROS!$C$4, IF($H468="1+2", $C468 + CADASTROS!$C$5, IF($H468="1+3", $C468 + CADASTROS!$E$6, "")))), "")</f>
        <v/>
      </c>
      <c r="P468" s="8" t="str">
        <f t="shared" si="31"/>
        <v/>
      </c>
    </row>
    <row r="469" spans="1:16">
      <c r="A469" s="2" t="s">
        <v>604</v>
      </c>
      <c r="B469" s="6" t="s">
        <v>52</v>
      </c>
      <c r="C469" s="7">
        <v>45200</v>
      </c>
      <c r="D469" s="7" t="s">
        <v>101</v>
      </c>
      <c r="E469" s="4" t="s">
        <v>111</v>
      </c>
      <c r="F469" s="4" t="s">
        <v>118</v>
      </c>
      <c r="G469" s="8">
        <v>2636</v>
      </c>
      <c r="H469" s="8" t="s">
        <v>126</v>
      </c>
      <c r="I469" s="3">
        <f>IF($H469="A VISTA", C469 + CADASTROS!$B$3, IF($H469="1+1", C469 + CADASTROS!$B$4, IF(H469="1+2", C469 + CADASTROS!$B$5, IF(H469="1+3", C469 + CADASTROS!$B$6, ""))))</f>
        <v>45201</v>
      </c>
      <c r="J469" s="8">
        <f t="shared" si="28"/>
        <v>2636</v>
      </c>
      <c r="K469" s="3" t="str">
        <f>IF($L469&lt;&gt;"", IF($H469="A VISTA", "", IF($H469="1+1", $C469 + CADASTROS!$C$4, IF($H469="1+2", $C469 + CADASTROS!$C$5, IF($H469="1+3", $C469 + CADASTROS!$E$4, "")))), "")</f>
        <v/>
      </c>
      <c r="L469" s="8" t="str">
        <f t="shared" si="29"/>
        <v/>
      </c>
      <c r="M469" s="3" t="str">
        <f>IF($N469&lt;&gt;"", IF($H469="A VISTA", "", IF($H469="1+1", $C469 + CADASTROS!$C$4, IF($H469="1+2", $C469 + CADASTROS!$D$5, IF($H469="1+3", $C469 + CADASTROS!$D$6, "")))), "")</f>
        <v/>
      </c>
      <c r="N469" s="8" t="str">
        <f t="shared" si="30"/>
        <v/>
      </c>
      <c r="O469" s="3" t="str">
        <f>IF($P469&lt;&gt;"", IF($H469="A VISTA", "", IF($H469="1+1", $C469 + CADASTROS!$C$4, IF($H469="1+2", $C469 + CADASTROS!$C$5, IF($H469="1+3", $C469 + CADASTROS!$E$6, "")))), "")</f>
        <v/>
      </c>
      <c r="P469" s="8" t="str">
        <f t="shared" si="31"/>
        <v/>
      </c>
    </row>
    <row r="470" spans="1:16">
      <c r="A470" s="2" t="s">
        <v>605</v>
      </c>
      <c r="B470" s="6" t="s">
        <v>28</v>
      </c>
      <c r="C470" s="7">
        <v>45325</v>
      </c>
      <c r="D470" s="7" t="s">
        <v>77</v>
      </c>
      <c r="E470" s="4" t="s">
        <v>110</v>
      </c>
      <c r="F470" s="4" t="s">
        <v>114</v>
      </c>
      <c r="G470" s="8">
        <v>1670</v>
      </c>
      <c r="H470" s="8" t="s">
        <v>136</v>
      </c>
      <c r="I470" s="3">
        <f>IF($H470="A VISTA", C470 + CADASTROS!$B$3, IF($H470="1+1", C470 + CADASTROS!$B$4, IF(H470="1+2", C470 + CADASTROS!$B$5, IF(H470="1+3", C470 + CADASTROS!$B$6, ""))))</f>
        <v>45326</v>
      </c>
      <c r="J470" s="8">
        <f t="shared" si="28"/>
        <v>417.5</v>
      </c>
      <c r="K470" s="3">
        <f>IF($L470&lt;&gt;"", IF($H470="A VISTA", "", IF($H470="1+1", $C470 + CADASTROS!$C$4, IF($H470="1+2", $C470 + CADASTROS!$C$5, IF($H470="1+3", $C470 + CADASTROS!$E$4, "")))), "")</f>
        <v>45325</v>
      </c>
      <c r="L470" s="8">
        <f t="shared" si="29"/>
        <v>417.5</v>
      </c>
      <c r="M470" s="3">
        <f>IF($N470&lt;&gt;"", IF($H470="A VISTA", "", IF($H470="1+1", $C470 + CADASTROS!$C$4, IF($H470="1+2", $C470 + CADASTROS!$D$5, IF($H470="1+3", $C470 + CADASTROS!$D$6, "")))), "")</f>
        <v>45370</v>
      </c>
      <c r="N470" s="8">
        <f t="shared" si="30"/>
        <v>417.5</v>
      </c>
      <c r="O470" s="3">
        <f>IF($P470&lt;&gt;"", IF($H470="A VISTA", "", IF($H470="1+1", $C470 + CADASTROS!$C$4, IF($H470="1+2", $C470 + CADASTROS!$C$5, IF($H470="1+3", $C470 + CADASTROS!$E$6, "")))), "")</f>
        <v>45385</v>
      </c>
      <c r="P470" s="8">
        <f t="shared" si="31"/>
        <v>417.5</v>
      </c>
    </row>
    <row r="471" spans="1:16">
      <c r="A471" s="2" t="s">
        <v>606</v>
      </c>
      <c r="B471" s="6" t="s">
        <v>55</v>
      </c>
      <c r="C471" s="7">
        <v>45187</v>
      </c>
      <c r="D471" s="7" t="s">
        <v>104</v>
      </c>
      <c r="E471" s="4" t="s">
        <v>111</v>
      </c>
      <c r="F471" s="4" t="s">
        <v>119</v>
      </c>
      <c r="G471" s="8">
        <v>1754</v>
      </c>
      <c r="H471" s="8" t="s">
        <v>138</v>
      </c>
      <c r="I471" s="3">
        <f>IF($H471="A VISTA", C471 + CADASTROS!$B$3, IF($H471="1+1", C471 + CADASTROS!$B$4, IF(H471="1+2", C471 + CADASTROS!$B$5, IF(H471="1+3", C471 + CADASTROS!$B$6, ""))))</f>
        <v>45188</v>
      </c>
      <c r="J471" s="8">
        <f t="shared" si="28"/>
        <v>877</v>
      </c>
      <c r="K471" s="3">
        <f>IF($L471&lt;&gt;"", IF($H471="A VISTA", "", IF($H471="1+1", $C471 + CADASTROS!$C$4, IF($H471="1+2", $C471 + CADASTROS!$C$5, IF($H471="1+3", $C471 + CADASTROS!$E$4, "")))), "")</f>
        <v>45217</v>
      </c>
      <c r="L471" s="8">
        <f t="shared" si="29"/>
        <v>877</v>
      </c>
      <c r="M471" s="3" t="str">
        <f>IF($N471&lt;&gt;"", IF($H471="A VISTA", "", IF($H471="1+1", $C471 + CADASTROS!$C$4, IF($H471="1+2", $C471 + CADASTROS!$D$5, IF($H471="1+3", $C471 + CADASTROS!$D$6, "")))), "")</f>
        <v/>
      </c>
      <c r="N471" s="8" t="str">
        <f t="shared" si="30"/>
        <v/>
      </c>
      <c r="O471" s="3" t="str">
        <f>IF($P471&lt;&gt;"", IF($H471="A VISTA", "", IF($H471="1+1", $C471 + CADASTROS!$C$4, IF($H471="1+2", $C471 + CADASTROS!$C$5, IF($H471="1+3", $C471 + CADASTROS!$E$6, "")))), "")</f>
        <v/>
      </c>
      <c r="P471" s="8" t="str">
        <f t="shared" si="31"/>
        <v/>
      </c>
    </row>
    <row r="472" spans="1:16">
      <c r="A472" s="2" t="s">
        <v>607</v>
      </c>
      <c r="B472" s="6" t="s">
        <v>13</v>
      </c>
      <c r="C472" s="7">
        <v>45289</v>
      </c>
      <c r="D472" s="7" t="s">
        <v>63</v>
      </c>
      <c r="E472" s="4" t="s">
        <v>111</v>
      </c>
      <c r="F472" s="4" t="s">
        <v>120</v>
      </c>
      <c r="G472" s="8">
        <v>1967</v>
      </c>
      <c r="H472" s="8" t="s">
        <v>126</v>
      </c>
      <c r="I472" s="3">
        <f>IF($H472="A VISTA", C472 + CADASTROS!$B$3, IF($H472="1+1", C472 + CADASTROS!$B$4, IF(H472="1+2", C472 + CADASTROS!$B$5, IF(H472="1+3", C472 + CADASTROS!$B$6, ""))))</f>
        <v>45290</v>
      </c>
      <c r="J472" s="8">
        <f t="shared" si="28"/>
        <v>1967</v>
      </c>
      <c r="K472" s="3" t="str">
        <f>IF($L472&lt;&gt;"", IF($H472="A VISTA", "", IF($H472="1+1", $C472 + CADASTROS!$C$4, IF($H472="1+2", $C472 + CADASTROS!$C$5, IF($H472="1+3", $C472 + CADASTROS!$E$4, "")))), "")</f>
        <v/>
      </c>
      <c r="L472" s="8" t="str">
        <f t="shared" si="29"/>
        <v/>
      </c>
      <c r="M472" s="3" t="str">
        <f>IF($N472&lt;&gt;"", IF($H472="A VISTA", "", IF($H472="1+1", $C472 + CADASTROS!$C$4, IF($H472="1+2", $C472 + CADASTROS!$D$5, IF($H472="1+3", $C472 + CADASTROS!$D$6, "")))), "")</f>
        <v/>
      </c>
      <c r="N472" s="8" t="str">
        <f t="shared" si="30"/>
        <v/>
      </c>
      <c r="O472" s="3" t="str">
        <f>IF($P472&lt;&gt;"", IF($H472="A VISTA", "", IF($H472="1+1", $C472 + CADASTROS!$C$4, IF($H472="1+2", $C472 + CADASTROS!$C$5, IF($H472="1+3", $C472 + CADASTROS!$E$6, "")))), "")</f>
        <v/>
      </c>
      <c r="P472" s="8" t="str">
        <f t="shared" si="31"/>
        <v/>
      </c>
    </row>
    <row r="473" spans="1:16">
      <c r="A473" s="2" t="s">
        <v>608</v>
      </c>
      <c r="B473" s="6" t="s">
        <v>25</v>
      </c>
      <c r="C473" s="7">
        <v>45343</v>
      </c>
      <c r="D473" s="7" t="s">
        <v>74</v>
      </c>
      <c r="E473" s="4" t="s">
        <v>111</v>
      </c>
      <c r="F473" s="4" t="s">
        <v>120</v>
      </c>
      <c r="G473" s="8">
        <v>2838</v>
      </c>
      <c r="H473" s="8" t="s">
        <v>126</v>
      </c>
      <c r="I473" s="3">
        <f>IF($H473="A VISTA", C473 + CADASTROS!$B$3, IF($H473="1+1", C473 + CADASTROS!$B$4, IF(H473="1+2", C473 + CADASTROS!$B$5, IF(H473="1+3", C473 + CADASTROS!$B$6, ""))))</f>
        <v>45344</v>
      </c>
      <c r="J473" s="8">
        <f t="shared" si="28"/>
        <v>2838</v>
      </c>
      <c r="K473" s="3" t="str">
        <f>IF($L473&lt;&gt;"", IF($H473="A VISTA", "", IF($H473="1+1", $C473 + CADASTROS!$C$4, IF($H473="1+2", $C473 + CADASTROS!$C$5, IF($H473="1+3", $C473 + CADASTROS!$E$4, "")))), "")</f>
        <v/>
      </c>
      <c r="L473" s="8" t="str">
        <f t="shared" si="29"/>
        <v/>
      </c>
      <c r="M473" s="3" t="str">
        <f>IF($N473&lt;&gt;"", IF($H473="A VISTA", "", IF($H473="1+1", $C473 + CADASTROS!$C$4, IF($H473="1+2", $C473 + CADASTROS!$D$5, IF($H473="1+3", $C473 + CADASTROS!$D$6, "")))), "")</f>
        <v/>
      </c>
      <c r="N473" s="8" t="str">
        <f t="shared" si="30"/>
        <v/>
      </c>
      <c r="O473" s="3" t="str">
        <f>IF($P473&lt;&gt;"", IF($H473="A VISTA", "", IF($H473="1+1", $C473 + CADASTROS!$C$4, IF($H473="1+2", $C473 + CADASTROS!$C$5, IF($H473="1+3", $C473 + CADASTROS!$E$6, "")))), "")</f>
        <v/>
      </c>
      <c r="P473" s="8" t="str">
        <f t="shared" si="31"/>
        <v/>
      </c>
    </row>
    <row r="474" spans="1:16">
      <c r="A474" s="2" t="s">
        <v>609</v>
      </c>
      <c r="B474" s="6" t="s">
        <v>60</v>
      </c>
      <c r="C474" s="7">
        <v>45387</v>
      </c>
      <c r="D474" s="7" t="s">
        <v>109</v>
      </c>
      <c r="E474" s="4" t="s">
        <v>111</v>
      </c>
      <c r="F474" s="4" t="s">
        <v>118</v>
      </c>
      <c r="G474" s="8">
        <v>6251</v>
      </c>
      <c r="H474" s="8" t="s">
        <v>126</v>
      </c>
      <c r="I474" s="3">
        <f>IF($H474="A VISTA", C474 + CADASTROS!$B$3, IF($H474="1+1", C474 + CADASTROS!$B$4, IF(H474="1+2", C474 + CADASTROS!$B$5, IF(H474="1+3", C474 + CADASTROS!$B$6, ""))))</f>
        <v>45388</v>
      </c>
      <c r="J474" s="8">
        <f t="shared" si="28"/>
        <v>6251</v>
      </c>
      <c r="K474" s="3" t="str">
        <f>IF($L474&lt;&gt;"", IF($H474="A VISTA", "", IF($H474="1+1", $C474 + CADASTROS!$C$4, IF($H474="1+2", $C474 + CADASTROS!$C$5, IF($H474="1+3", $C474 + CADASTROS!$E$4, "")))), "")</f>
        <v/>
      </c>
      <c r="L474" s="8" t="str">
        <f t="shared" si="29"/>
        <v/>
      </c>
      <c r="M474" s="3" t="str">
        <f>IF($N474&lt;&gt;"", IF($H474="A VISTA", "", IF($H474="1+1", $C474 + CADASTROS!$C$4, IF($H474="1+2", $C474 + CADASTROS!$D$5, IF($H474="1+3", $C474 + CADASTROS!$D$6, "")))), "")</f>
        <v/>
      </c>
      <c r="N474" s="8" t="str">
        <f t="shared" si="30"/>
        <v/>
      </c>
      <c r="O474" s="3" t="str">
        <f>IF($P474&lt;&gt;"", IF($H474="A VISTA", "", IF($H474="1+1", $C474 + CADASTROS!$C$4, IF($H474="1+2", $C474 + CADASTROS!$C$5, IF($H474="1+3", $C474 + CADASTROS!$E$6, "")))), "")</f>
        <v/>
      </c>
      <c r="P474" s="8" t="str">
        <f t="shared" si="31"/>
        <v/>
      </c>
    </row>
    <row r="475" spans="1:16">
      <c r="A475" s="2" t="s">
        <v>610</v>
      </c>
      <c r="B475" s="6" t="s">
        <v>33</v>
      </c>
      <c r="C475" s="7">
        <v>45301</v>
      </c>
      <c r="D475" s="7" t="s">
        <v>82</v>
      </c>
      <c r="E475" s="4" t="s">
        <v>111</v>
      </c>
      <c r="F475" s="4" t="s">
        <v>119</v>
      </c>
      <c r="G475" s="8">
        <v>8439</v>
      </c>
      <c r="H475" s="8" t="s">
        <v>137</v>
      </c>
      <c r="I475" s="3">
        <f>IF($H475="A VISTA", C475 + CADASTROS!$B$3, IF($H475="1+1", C475 + CADASTROS!$B$4, IF(H475="1+2", C475 + CADASTROS!$B$5, IF(H475="1+3", C475 + CADASTROS!$B$6, ""))))</f>
        <v>45302</v>
      </c>
      <c r="J475" s="8">
        <f t="shared" si="28"/>
        <v>2813</v>
      </c>
      <c r="K475" s="3">
        <f>IF($L475&lt;&gt;"", IF($H475="A VISTA", "", IF($H475="1+1", $C475 + CADASTROS!$C$4, IF($H475="1+2", $C475 + CADASTROS!$C$5, IF($H475="1+3", $C475 + CADASTROS!$E$4, "")))), "")</f>
        <v>45331</v>
      </c>
      <c r="L475" s="8">
        <f t="shared" si="29"/>
        <v>2813</v>
      </c>
      <c r="M475" s="3">
        <f>IF($N475&lt;&gt;"", IF($H475="A VISTA", "", IF($H475="1+1", $C475 + CADASTROS!$C$4, IF($H475="1+2", $C475 + CADASTROS!$D$5, IF($H475="1+3", $C475 + CADASTROS!$D$6, "")))), "")</f>
        <v>45346</v>
      </c>
      <c r="N475" s="8">
        <f t="shared" si="30"/>
        <v>2813</v>
      </c>
      <c r="O475" s="3" t="str">
        <f>IF($P475&lt;&gt;"", IF($H475="A VISTA", "", IF($H475="1+1", $C475 + CADASTROS!$C$4, IF($H475="1+2", $C475 + CADASTROS!$C$5, IF($H475="1+3", $C475 + CADASTROS!$E$6, "")))), "")</f>
        <v/>
      </c>
      <c r="P475" s="8" t="str">
        <f t="shared" si="31"/>
        <v/>
      </c>
    </row>
    <row r="476" spans="1:16">
      <c r="A476" s="2" t="s">
        <v>611</v>
      </c>
      <c r="B476" s="6" t="s">
        <v>38</v>
      </c>
      <c r="C476" s="7">
        <v>45473</v>
      </c>
      <c r="D476" s="7" t="s">
        <v>87</v>
      </c>
      <c r="E476" s="4" t="s">
        <v>110</v>
      </c>
      <c r="F476" s="4" t="s">
        <v>125</v>
      </c>
      <c r="G476" s="8">
        <v>8706</v>
      </c>
      <c r="H476" s="8" t="s">
        <v>138</v>
      </c>
      <c r="I476" s="3">
        <f>IF($H476="A VISTA", C476 + CADASTROS!$B$3, IF($H476="1+1", C476 + CADASTROS!$B$4, IF(H476="1+2", C476 + CADASTROS!$B$5, IF(H476="1+3", C476 + CADASTROS!$B$6, ""))))</f>
        <v>45474</v>
      </c>
      <c r="J476" s="8">
        <f t="shared" si="28"/>
        <v>4353</v>
      </c>
      <c r="K476" s="3">
        <f>IF($L476&lt;&gt;"", IF($H476="A VISTA", "", IF($H476="1+1", $C476 + CADASTROS!$C$4, IF($H476="1+2", $C476 + CADASTROS!$C$5, IF($H476="1+3", $C476 + CADASTROS!$E$4, "")))), "")</f>
        <v>45503</v>
      </c>
      <c r="L476" s="8">
        <f t="shared" si="29"/>
        <v>4353</v>
      </c>
      <c r="M476" s="3" t="str">
        <f>IF($N476&lt;&gt;"", IF($H476="A VISTA", "", IF($H476="1+1", $C476 + CADASTROS!$C$4, IF($H476="1+2", $C476 + CADASTROS!$D$5, IF($H476="1+3", $C476 + CADASTROS!$D$6, "")))), "")</f>
        <v/>
      </c>
      <c r="N476" s="8" t="str">
        <f t="shared" si="30"/>
        <v/>
      </c>
      <c r="O476" s="3" t="str">
        <f>IF($P476&lt;&gt;"", IF($H476="A VISTA", "", IF($H476="1+1", $C476 + CADASTROS!$C$4, IF($H476="1+2", $C476 + CADASTROS!$C$5, IF($H476="1+3", $C476 + CADASTROS!$E$6, "")))), "")</f>
        <v/>
      </c>
      <c r="P476" s="8" t="str">
        <f t="shared" si="31"/>
        <v/>
      </c>
    </row>
    <row r="477" spans="1:16">
      <c r="A477" s="2" t="s">
        <v>612</v>
      </c>
      <c r="B477" s="6" t="s">
        <v>34</v>
      </c>
      <c r="C477" s="7">
        <v>45180</v>
      </c>
      <c r="D477" s="7" t="s">
        <v>83</v>
      </c>
      <c r="E477" s="4" t="s">
        <v>110</v>
      </c>
      <c r="F477" s="4" t="s">
        <v>113</v>
      </c>
      <c r="G477" s="8">
        <v>9705</v>
      </c>
      <c r="H477" s="8" t="s">
        <v>126</v>
      </c>
      <c r="I477" s="3">
        <f>IF($H477="A VISTA", C477 + CADASTROS!$B$3, IF($H477="1+1", C477 + CADASTROS!$B$4, IF(H477="1+2", C477 + CADASTROS!$B$5, IF(H477="1+3", C477 + CADASTROS!$B$6, ""))))</f>
        <v>45181</v>
      </c>
      <c r="J477" s="8">
        <f t="shared" si="28"/>
        <v>9705</v>
      </c>
      <c r="K477" s="3" t="str">
        <f>IF($L477&lt;&gt;"", IF($H477="A VISTA", "", IF($H477="1+1", $C477 + CADASTROS!$C$4, IF($H477="1+2", $C477 + CADASTROS!$C$5, IF($H477="1+3", $C477 + CADASTROS!$E$4, "")))), "")</f>
        <v/>
      </c>
      <c r="L477" s="8" t="str">
        <f t="shared" si="29"/>
        <v/>
      </c>
      <c r="M477" s="3" t="str">
        <f>IF($N477&lt;&gt;"", IF($H477="A VISTA", "", IF($H477="1+1", $C477 + CADASTROS!$C$4, IF($H477="1+2", $C477 + CADASTROS!$D$5, IF($H477="1+3", $C477 + CADASTROS!$D$6, "")))), "")</f>
        <v/>
      </c>
      <c r="N477" s="8" t="str">
        <f t="shared" si="30"/>
        <v/>
      </c>
      <c r="O477" s="3" t="str">
        <f>IF($P477&lt;&gt;"", IF($H477="A VISTA", "", IF($H477="1+1", $C477 + CADASTROS!$C$4, IF($H477="1+2", $C477 + CADASTROS!$C$5, IF($H477="1+3", $C477 + CADASTROS!$E$6, "")))), "")</f>
        <v/>
      </c>
      <c r="P477" s="8" t="str">
        <f t="shared" si="31"/>
        <v/>
      </c>
    </row>
    <row r="478" spans="1:16">
      <c r="A478" s="2" t="s">
        <v>613</v>
      </c>
      <c r="B478" s="6" t="s">
        <v>55</v>
      </c>
      <c r="C478" s="7">
        <v>45272</v>
      </c>
      <c r="D478" s="7" t="s">
        <v>104</v>
      </c>
      <c r="E478" s="4" t="s">
        <v>111</v>
      </c>
      <c r="F478" s="4" t="s">
        <v>119</v>
      </c>
      <c r="G478" s="8">
        <v>2802</v>
      </c>
      <c r="H478" s="8" t="s">
        <v>137</v>
      </c>
      <c r="I478" s="3">
        <f>IF($H478="A VISTA", C478 + CADASTROS!$B$3, IF($H478="1+1", C478 + CADASTROS!$B$4, IF(H478="1+2", C478 + CADASTROS!$B$5, IF(H478="1+3", C478 + CADASTROS!$B$6, ""))))</f>
        <v>45273</v>
      </c>
      <c r="J478" s="8">
        <f t="shared" si="28"/>
        <v>934</v>
      </c>
      <c r="K478" s="3">
        <f>IF($L478&lt;&gt;"", IF($H478="A VISTA", "", IF($H478="1+1", $C478 + CADASTROS!$C$4, IF($H478="1+2", $C478 + CADASTROS!$C$5, IF($H478="1+3", $C478 + CADASTROS!$E$4, "")))), "")</f>
        <v>45302</v>
      </c>
      <c r="L478" s="8">
        <f t="shared" si="29"/>
        <v>934</v>
      </c>
      <c r="M478" s="3">
        <f>IF($N478&lt;&gt;"", IF($H478="A VISTA", "", IF($H478="1+1", $C478 + CADASTROS!$C$4, IF($H478="1+2", $C478 + CADASTROS!$D$5, IF($H478="1+3", $C478 + CADASTROS!$D$6, "")))), "")</f>
        <v>45317</v>
      </c>
      <c r="N478" s="8">
        <f t="shared" si="30"/>
        <v>934</v>
      </c>
      <c r="O478" s="3" t="str">
        <f>IF($P478&lt;&gt;"", IF($H478="A VISTA", "", IF($H478="1+1", $C478 + CADASTROS!$C$4, IF($H478="1+2", $C478 + CADASTROS!$C$5, IF($H478="1+3", $C478 + CADASTROS!$E$6, "")))), "")</f>
        <v/>
      </c>
      <c r="P478" s="8" t="str">
        <f t="shared" si="31"/>
        <v/>
      </c>
    </row>
    <row r="479" spans="1:16">
      <c r="A479" s="2" t="s">
        <v>614</v>
      </c>
      <c r="B479" s="6" t="s">
        <v>27</v>
      </c>
      <c r="C479" s="7">
        <v>45455</v>
      </c>
      <c r="D479" s="7" t="s">
        <v>76</v>
      </c>
      <c r="E479" s="4" t="s">
        <v>110</v>
      </c>
      <c r="F479" s="4" t="s">
        <v>125</v>
      </c>
      <c r="G479" s="8">
        <v>4886</v>
      </c>
      <c r="H479" s="8" t="s">
        <v>126</v>
      </c>
      <c r="I479" s="3">
        <f>IF($H479="A VISTA", C479 + CADASTROS!$B$3, IF($H479="1+1", C479 + CADASTROS!$B$4, IF(H479="1+2", C479 + CADASTROS!$B$5, IF(H479="1+3", C479 + CADASTROS!$B$6, ""))))</f>
        <v>45456</v>
      </c>
      <c r="J479" s="8">
        <f t="shared" si="28"/>
        <v>4886</v>
      </c>
      <c r="K479" s="3" t="str">
        <f>IF($L479&lt;&gt;"", IF($H479="A VISTA", "", IF($H479="1+1", $C479 + CADASTROS!$C$4, IF($H479="1+2", $C479 + CADASTROS!$C$5, IF($H479="1+3", $C479 + CADASTROS!$E$4, "")))), "")</f>
        <v/>
      </c>
      <c r="L479" s="8" t="str">
        <f t="shared" si="29"/>
        <v/>
      </c>
      <c r="M479" s="3" t="str">
        <f>IF($N479&lt;&gt;"", IF($H479="A VISTA", "", IF($H479="1+1", $C479 + CADASTROS!$C$4, IF($H479="1+2", $C479 + CADASTROS!$D$5, IF($H479="1+3", $C479 + CADASTROS!$D$6, "")))), "")</f>
        <v/>
      </c>
      <c r="N479" s="8" t="str">
        <f t="shared" si="30"/>
        <v/>
      </c>
      <c r="O479" s="3" t="str">
        <f>IF($P479&lt;&gt;"", IF($H479="A VISTA", "", IF($H479="1+1", $C479 + CADASTROS!$C$4, IF($H479="1+2", $C479 + CADASTROS!$C$5, IF($H479="1+3", $C479 + CADASTROS!$E$6, "")))), "")</f>
        <v/>
      </c>
      <c r="P479" s="8" t="str">
        <f t="shared" si="31"/>
        <v/>
      </c>
    </row>
    <row r="480" spans="1:16">
      <c r="A480" s="2" t="s">
        <v>615</v>
      </c>
      <c r="B480" s="6" t="s">
        <v>43</v>
      </c>
      <c r="C480" s="7">
        <v>45499</v>
      </c>
      <c r="D480" s="7" t="s">
        <v>92</v>
      </c>
      <c r="E480" s="4" t="s">
        <v>110</v>
      </c>
      <c r="F480" s="4" t="s">
        <v>124</v>
      </c>
      <c r="G480" s="8">
        <v>5905</v>
      </c>
      <c r="H480" s="8" t="s">
        <v>126</v>
      </c>
      <c r="I480" s="3">
        <f>IF($H480="A VISTA", C480 + CADASTROS!$B$3, IF($H480="1+1", C480 + CADASTROS!$B$4, IF(H480="1+2", C480 + CADASTROS!$B$5, IF(H480="1+3", C480 + CADASTROS!$B$6, ""))))</f>
        <v>45500</v>
      </c>
      <c r="J480" s="8">
        <f t="shared" si="28"/>
        <v>5905</v>
      </c>
      <c r="K480" s="3" t="str">
        <f>IF($L480&lt;&gt;"", IF($H480="A VISTA", "", IF($H480="1+1", $C480 + CADASTROS!$C$4, IF($H480="1+2", $C480 + CADASTROS!$C$5, IF($H480="1+3", $C480 + CADASTROS!$E$4, "")))), "")</f>
        <v/>
      </c>
      <c r="L480" s="8" t="str">
        <f t="shared" si="29"/>
        <v/>
      </c>
      <c r="M480" s="3" t="str">
        <f>IF($N480&lt;&gt;"", IF($H480="A VISTA", "", IF($H480="1+1", $C480 + CADASTROS!$C$4, IF($H480="1+2", $C480 + CADASTROS!$D$5, IF($H480="1+3", $C480 + CADASTROS!$D$6, "")))), "")</f>
        <v/>
      </c>
      <c r="N480" s="8" t="str">
        <f t="shared" si="30"/>
        <v/>
      </c>
      <c r="O480" s="3" t="str">
        <f>IF($P480&lt;&gt;"", IF($H480="A VISTA", "", IF($H480="1+1", $C480 + CADASTROS!$C$4, IF($H480="1+2", $C480 + CADASTROS!$C$5, IF($H480="1+3", $C480 + CADASTROS!$E$6, "")))), "")</f>
        <v/>
      </c>
      <c r="P480" s="8" t="str">
        <f t="shared" si="31"/>
        <v/>
      </c>
    </row>
    <row r="481" spans="1:16">
      <c r="A481" s="2" t="s">
        <v>616</v>
      </c>
      <c r="B481" s="6" t="s">
        <v>30</v>
      </c>
      <c r="C481" s="7">
        <v>45184</v>
      </c>
      <c r="D481" s="7" t="s">
        <v>79</v>
      </c>
      <c r="E481" s="4" t="s">
        <v>111</v>
      </c>
      <c r="F481" s="4" t="s">
        <v>118</v>
      </c>
      <c r="G481" s="8">
        <v>7209</v>
      </c>
      <c r="H481" s="8" t="s">
        <v>136</v>
      </c>
      <c r="I481" s="3">
        <f>IF($H481="A VISTA", C481 + CADASTROS!$B$3, IF($H481="1+1", C481 + CADASTROS!$B$4, IF(H481="1+2", C481 + CADASTROS!$B$5, IF(H481="1+3", C481 + CADASTROS!$B$6, ""))))</f>
        <v>45185</v>
      </c>
      <c r="J481" s="8">
        <f t="shared" si="28"/>
        <v>1802.25</v>
      </c>
      <c r="K481" s="3">
        <f>IF($L481&lt;&gt;"", IF($H481="A VISTA", "", IF($H481="1+1", $C481 + CADASTROS!$C$4, IF($H481="1+2", $C481 + CADASTROS!$C$5, IF($H481="1+3", $C481 + CADASTROS!$E$4, "")))), "")</f>
        <v>45184</v>
      </c>
      <c r="L481" s="8">
        <f t="shared" si="29"/>
        <v>1802.25</v>
      </c>
      <c r="M481" s="3">
        <f>IF($N481&lt;&gt;"", IF($H481="A VISTA", "", IF($H481="1+1", $C481 + CADASTROS!$C$4, IF($H481="1+2", $C481 + CADASTROS!$D$5, IF($H481="1+3", $C481 + CADASTROS!$D$6, "")))), "")</f>
        <v>45229</v>
      </c>
      <c r="N481" s="8">
        <f t="shared" si="30"/>
        <v>1802.25</v>
      </c>
      <c r="O481" s="3">
        <f>IF($P481&lt;&gt;"", IF($H481="A VISTA", "", IF($H481="1+1", $C481 + CADASTROS!$C$4, IF($H481="1+2", $C481 + CADASTROS!$C$5, IF($H481="1+3", $C481 + CADASTROS!$E$6, "")))), "")</f>
        <v>45244</v>
      </c>
      <c r="P481" s="8">
        <f t="shared" si="31"/>
        <v>1802.25</v>
      </c>
    </row>
    <row r="482" spans="1:16">
      <c r="A482" s="2" t="s">
        <v>617</v>
      </c>
      <c r="B482" s="6" t="s">
        <v>45</v>
      </c>
      <c r="C482" s="7">
        <v>45242</v>
      </c>
      <c r="D482" s="7" t="s">
        <v>94</v>
      </c>
      <c r="E482" s="4" t="s">
        <v>110</v>
      </c>
      <c r="F482" s="4" t="s">
        <v>113</v>
      </c>
      <c r="G482" s="8">
        <v>9939</v>
      </c>
      <c r="H482" s="8" t="s">
        <v>136</v>
      </c>
      <c r="I482" s="3">
        <f>IF($H482="A VISTA", C482 + CADASTROS!$B$3, IF($H482="1+1", C482 + CADASTROS!$B$4, IF(H482="1+2", C482 + CADASTROS!$B$5, IF(H482="1+3", C482 + CADASTROS!$B$6, ""))))</f>
        <v>45243</v>
      </c>
      <c r="J482" s="8">
        <f t="shared" si="28"/>
        <v>2484.75</v>
      </c>
      <c r="K482" s="3">
        <f>IF($L482&lt;&gt;"", IF($H482="A VISTA", "", IF($H482="1+1", $C482 + CADASTROS!$C$4, IF($H482="1+2", $C482 + CADASTROS!$C$5, IF($H482="1+3", $C482 + CADASTROS!$E$4, "")))), "")</f>
        <v>45242</v>
      </c>
      <c r="L482" s="8">
        <f t="shared" si="29"/>
        <v>2484.75</v>
      </c>
      <c r="M482" s="3">
        <f>IF($N482&lt;&gt;"", IF($H482="A VISTA", "", IF($H482="1+1", $C482 + CADASTROS!$C$4, IF($H482="1+2", $C482 + CADASTROS!$D$5, IF($H482="1+3", $C482 + CADASTROS!$D$6, "")))), "")</f>
        <v>45287</v>
      </c>
      <c r="N482" s="8">
        <f t="shared" si="30"/>
        <v>2484.75</v>
      </c>
      <c r="O482" s="3">
        <f>IF($P482&lt;&gt;"", IF($H482="A VISTA", "", IF($H482="1+1", $C482 + CADASTROS!$C$4, IF($H482="1+2", $C482 + CADASTROS!$C$5, IF($H482="1+3", $C482 + CADASTROS!$E$6, "")))), "")</f>
        <v>45302</v>
      </c>
      <c r="P482" s="8">
        <f t="shared" si="31"/>
        <v>2484.75</v>
      </c>
    </row>
    <row r="483" spans="1:16">
      <c r="A483" s="2" t="s">
        <v>618</v>
      </c>
      <c r="B483" s="6" t="s">
        <v>53</v>
      </c>
      <c r="C483" s="7">
        <v>45326</v>
      </c>
      <c r="D483" s="7" t="s">
        <v>102</v>
      </c>
      <c r="E483" s="4" t="s">
        <v>111</v>
      </c>
      <c r="F483" s="4" t="s">
        <v>117</v>
      </c>
      <c r="G483" s="8">
        <v>9183</v>
      </c>
      <c r="H483" s="8" t="s">
        <v>138</v>
      </c>
      <c r="I483" s="3">
        <f>IF($H483="A VISTA", C483 + CADASTROS!$B$3, IF($H483="1+1", C483 + CADASTROS!$B$4, IF(H483="1+2", C483 + CADASTROS!$B$5, IF(H483="1+3", C483 + CADASTROS!$B$6, ""))))</f>
        <v>45327</v>
      </c>
      <c r="J483" s="8">
        <f t="shared" si="28"/>
        <v>4591.5</v>
      </c>
      <c r="K483" s="3">
        <f>IF($L483&lt;&gt;"", IF($H483="A VISTA", "", IF($H483="1+1", $C483 + CADASTROS!$C$4, IF($H483="1+2", $C483 + CADASTROS!$C$5, IF($H483="1+3", $C483 + CADASTROS!$E$4, "")))), "")</f>
        <v>45356</v>
      </c>
      <c r="L483" s="8">
        <f t="shared" si="29"/>
        <v>4591.5</v>
      </c>
      <c r="M483" s="3" t="str">
        <f>IF($N483&lt;&gt;"", IF($H483="A VISTA", "", IF($H483="1+1", $C483 + CADASTROS!$C$4, IF($H483="1+2", $C483 + CADASTROS!$D$5, IF($H483="1+3", $C483 + CADASTROS!$D$6, "")))), "")</f>
        <v/>
      </c>
      <c r="N483" s="8" t="str">
        <f t="shared" si="30"/>
        <v/>
      </c>
      <c r="O483" s="3" t="str">
        <f>IF($P483&lt;&gt;"", IF($H483="A VISTA", "", IF($H483="1+1", $C483 + CADASTROS!$C$4, IF($H483="1+2", $C483 + CADASTROS!$C$5, IF($H483="1+3", $C483 + CADASTROS!$E$6, "")))), "")</f>
        <v/>
      </c>
      <c r="P483" s="8" t="str">
        <f t="shared" si="31"/>
        <v/>
      </c>
    </row>
    <row r="484" spans="1:16">
      <c r="A484" s="2" t="s">
        <v>619</v>
      </c>
      <c r="B484" s="6" t="s">
        <v>40</v>
      </c>
      <c r="C484" s="7">
        <v>45193</v>
      </c>
      <c r="D484" s="7" t="s">
        <v>89</v>
      </c>
      <c r="E484" s="4" t="s">
        <v>111</v>
      </c>
      <c r="F484" s="4" t="s">
        <v>121</v>
      </c>
      <c r="G484" s="8">
        <v>6641</v>
      </c>
      <c r="H484" s="8" t="s">
        <v>136</v>
      </c>
      <c r="I484" s="3">
        <f>IF($H484="A VISTA", C484 + CADASTROS!$B$3, IF($H484="1+1", C484 + CADASTROS!$B$4, IF(H484="1+2", C484 + CADASTROS!$B$5, IF(H484="1+3", C484 + CADASTROS!$B$6, ""))))</f>
        <v>45194</v>
      </c>
      <c r="J484" s="8">
        <f t="shared" si="28"/>
        <v>1660.25</v>
      </c>
      <c r="K484" s="3">
        <f>IF($L484&lt;&gt;"", IF($H484="A VISTA", "", IF($H484="1+1", $C484 + CADASTROS!$C$4, IF($H484="1+2", $C484 + CADASTROS!$C$5, IF($H484="1+3", $C484 + CADASTROS!$E$4, "")))), "")</f>
        <v>45193</v>
      </c>
      <c r="L484" s="8">
        <f t="shared" si="29"/>
        <v>1660.25</v>
      </c>
      <c r="M484" s="3">
        <f>IF($N484&lt;&gt;"", IF($H484="A VISTA", "", IF($H484="1+1", $C484 + CADASTROS!$C$4, IF($H484="1+2", $C484 + CADASTROS!$D$5, IF($H484="1+3", $C484 + CADASTROS!$D$6, "")))), "")</f>
        <v>45238</v>
      </c>
      <c r="N484" s="8">
        <f t="shared" si="30"/>
        <v>1660.25</v>
      </c>
      <c r="O484" s="3">
        <f>IF($P484&lt;&gt;"", IF($H484="A VISTA", "", IF($H484="1+1", $C484 + CADASTROS!$C$4, IF($H484="1+2", $C484 + CADASTROS!$C$5, IF($H484="1+3", $C484 + CADASTROS!$E$6, "")))), "")</f>
        <v>45253</v>
      </c>
      <c r="P484" s="8">
        <f t="shared" si="31"/>
        <v>1660.25</v>
      </c>
    </row>
    <row r="485" spans="1:16">
      <c r="A485" s="2" t="s">
        <v>620</v>
      </c>
      <c r="B485" s="6" t="s">
        <v>16</v>
      </c>
      <c r="C485" s="7">
        <v>45210</v>
      </c>
      <c r="D485" s="7" t="s">
        <v>65</v>
      </c>
      <c r="E485" s="4" t="s">
        <v>110</v>
      </c>
      <c r="F485" s="4" t="s">
        <v>125</v>
      </c>
      <c r="G485" s="8">
        <v>4292</v>
      </c>
      <c r="H485" s="8" t="s">
        <v>126</v>
      </c>
      <c r="I485" s="3">
        <f>IF($H485="A VISTA", C485 + CADASTROS!$B$3, IF($H485="1+1", C485 + CADASTROS!$B$4, IF(H485="1+2", C485 + CADASTROS!$B$5, IF(H485="1+3", C485 + CADASTROS!$B$6, ""))))</f>
        <v>45211</v>
      </c>
      <c r="J485" s="8">
        <f t="shared" si="28"/>
        <v>4292</v>
      </c>
      <c r="K485" s="3" t="str">
        <f>IF($L485&lt;&gt;"", IF($H485="A VISTA", "", IF($H485="1+1", $C485 + CADASTROS!$C$4, IF($H485="1+2", $C485 + CADASTROS!$C$5, IF($H485="1+3", $C485 + CADASTROS!$E$4, "")))), "")</f>
        <v/>
      </c>
      <c r="L485" s="8" t="str">
        <f t="shared" si="29"/>
        <v/>
      </c>
      <c r="M485" s="3" t="str">
        <f>IF($N485&lt;&gt;"", IF($H485="A VISTA", "", IF($H485="1+1", $C485 + CADASTROS!$C$4, IF($H485="1+2", $C485 + CADASTROS!$D$5, IF($H485="1+3", $C485 + CADASTROS!$D$6, "")))), "")</f>
        <v/>
      </c>
      <c r="N485" s="8" t="str">
        <f t="shared" si="30"/>
        <v/>
      </c>
      <c r="O485" s="3" t="str">
        <f>IF($P485&lt;&gt;"", IF($H485="A VISTA", "", IF($H485="1+1", $C485 + CADASTROS!$C$4, IF($H485="1+2", $C485 + CADASTROS!$C$5, IF($H485="1+3", $C485 + CADASTROS!$E$6, "")))), "")</f>
        <v/>
      </c>
      <c r="P485" s="8" t="str">
        <f t="shared" si="31"/>
        <v/>
      </c>
    </row>
    <row r="486" spans="1:16">
      <c r="A486" s="2" t="s">
        <v>621</v>
      </c>
      <c r="B486" s="6" t="s">
        <v>59</v>
      </c>
      <c r="C486" s="7">
        <v>45167</v>
      </c>
      <c r="D486" s="7" t="s">
        <v>108</v>
      </c>
      <c r="E486" s="4" t="s">
        <v>111</v>
      </c>
      <c r="F486" s="4" t="s">
        <v>121</v>
      </c>
      <c r="G486" s="8">
        <v>6758</v>
      </c>
      <c r="H486" s="8" t="s">
        <v>126</v>
      </c>
      <c r="I486" s="3">
        <f>IF($H486="A VISTA", C486 + CADASTROS!$B$3, IF($H486="1+1", C486 + CADASTROS!$B$4, IF(H486="1+2", C486 + CADASTROS!$B$5, IF(H486="1+3", C486 + CADASTROS!$B$6, ""))))</f>
        <v>45168</v>
      </c>
      <c r="J486" s="8">
        <f t="shared" si="28"/>
        <v>6758</v>
      </c>
      <c r="K486" s="3" t="str">
        <f>IF($L486&lt;&gt;"", IF($H486="A VISTA", "", IF($H486="1+1", $C486 + CADASTROS!$C$4, IF($H486="1+2", $C486 + CADASTROS!$C$5, IF($H486="1+3", $C486 + CADASTROS!$E$4, "")))), "")</f>
        <v/>
      </c>
      <c r="L486" s="8" t="str">
        <f t="shared" si="29"/>
        <v/>
      </c>
      <c r="M486" s="3" t="str">
        <f>IF($N486&lt;&gt;"", IF($H486="A VISTA", "", IF($H486="1+1", $C486 + CADASTROS!$C$4, IF($H486="1+2", $C486 + CADASTROS!$D$5, IF($H486="1+3", $C486 + CADASTROS!$D$6, "")))), "")</f>
        <v/>
      </c>
      <c r="N486" s="8" t="str">
        <f t="shared" si="30"/>
        <v/>
      </c>
      <c r="O486" s="3" t="str">
        <f>IF($P486&lt;&gt;"", IF($H486="A VISTA", "", IF($H486="1+1", $C486 + CADASTROS!$C$4, IF($H486="1+2", $C486 + CADASTROS!$C$5, IF($H486="1+3", $C486 + CADASTROS!$E$6, "")))), "")</f>
        <v/>
      </c>
      <c r="P486" s="8" t="str">
        <f t="shared" si="31"/>
        <v/>
      </c>
    </row>
    <row r="487" spans="1:16">
      <c r="A487" s="2" t="s">
        <v>622</v>
      </c>
      <c r="B487" s="6" t="s">
        <v>12</v>
      </c>
      <c r="C487" s="7">
        <v>45304</v>
      </c>
      <c r="D487" s="7" t="s">
        <v>62</v>
      </c>
      <c r="E487" s="4" t="s">
        <v>112</v>
      </c>
      <c r="F487" s="4" t="s">
        <v>122</v>
      </c>
      <c r="G487" s="8">
        <v>490</v>
      </c>
      <c r="H487" s="8" t="s">
        <v>126</v>
      </c>
      <c r="I487" s="3">
        <f>IF($H487="A VISTA", C487 + CADASTROS!$B$3, IF($H487="1+1", C487 + CADASTROS!$B$4, IF(H487="1+2", C487 + CADASTROS!$B$5, IF(H487="1+3", C487 + CADASTROS!$B$6, ""))))</f>
        <v>45305</v>
      </c>
      <c r="J487" s="8">
        <f t="shared" si="28"/>
        <v>490</v>
      </c>
      <c r="K487" s="3" t="str">
        <f>IF($L487&lt;&gt;"", IF($H487="A VISTA", "", IF($H487="1+1", $C487 + CADASTROS!$C$4, IF($H487="1+2", $C487 + CADASTROS!$C$5, IF($H487="1+3", $C487 + CADASTROS!$E$4, "")))), "")</f>
        <v/>
      </c>
      <c r="L487" s="8" t="str">
        <f t="shared" si="29"/>
        <v/>
      </c>
      <c r="M487" s="3" t="str">
        <f>IF($N487&lt;&gt;"", IF($H487="A VISTA", "", IF($H487="1+1", $C487 + CADASTROS!$C$4, IF($H487="1+2", $C487 + CADASTROS!$D$5, IF($H487="1+3", $C487 + CADASTROS!$D$6, "")))), "")</f>
        <v/>
      </c>
      <c r="N487" s="8" t="str">
        <f t="shared" si="30"/>
        <v/>
      </c>
      <c r="O487" s="3" t="str">
        <f>IF($P487&lt;&gt;"", IF($H487="A VISTA", "", IF($H487="1+1", $C487 + CADASTROS!$C$4, IF($H487="1+2", $C487 + CADASTROS!$C$5, IF($H487="1+3", $C487 + CADASTROS!$E$6, "")))), "")</f>
        <v/>
      </c>
      <c r="P487" s="8" t="str">
        <f t="shared" si="31"/>
        <v/>
      </c>
    </row>
    <row r="488" spans="1:16">
      <c r="A488" s="2" t="s">
        <v>623</v>
      </c>
      <c r="B488" s="6" t="s">
        <v>51</v>
      </c>
      <c r="C488" s="7">
        <v>45397</v>
      </c>
      <c r="D488" s="7" t="s">
        <v>100</v>
      </c>
      <c r="E488" s="4" t="s">
        <v>111</v>
      </c>
      <c r="F488" s="4" t="s">
        <v>121</v>
      </c>
      <c r="G488" s="8">
        <v>4256</v>
      </c>
      <c r="H488" s="8" t="s">
        <v>126</v>
      </c>
      <c r="I488" s="3">
        <f>IF($H488="A VISTA", C488 + CADASTROS!$B$3, IF($H488="1+1", C488 + CADASTROS!$B$4, IF(H488="1+2", C488 + CADASTROS!$B$5, IF(H488="1+3", C488 + CADASTROS!$B$6, ""))))</f>
        <v>45398</v>
      </c>
      <c r="J488" s="8">
        <f t="shared" si="28"/>
        <v>4256</v>
      </c>
      <c r="K488" s="3" t="str">
        <f>IF($L488&lt;&gt;"", IF($H488="A VISTA", "", IF($H488="1+1", $C488 + CADASTROS!$C$4, IF($H488="1+2", $C488 + CADASTROS!$C$5, IF($H488="1+3", $C488 + CADASTROS!$E$4, "")))), "")</f>
        <v/>
      </c>
      <c r="L488" s="8" t="str">
        <f t="shared" si="29"/>
        <v/>
      </c>
      <c r="M488" s="3" t="str">
        <f>IF($N488&lt;&gt;"", IF($H488="A VISTA", "", IF($H488="1+1", $C488 + CADASTROS!$C$4, IF($H488="1+2", $C488 + CADASTROS!$D$5, IF($H488="1+3", $C488 + CADASTROS!$D$6, "")))), "")</f>
        <v/>
      </c>
      <c r="N488" s="8" t="str">
        <f t="shared" si="30"/>
        <v/>
      </c>
      <c r="O488" s="3" t="str">
        <f>IF($P488&lt;&gt;"", IF($H488="A VISTA", "", IF($H488="1+1", $C488 + CADASTROS!$C$4, IF($H488="1+2", $C488 + CADASTROS!$C$5, IF($H488="1+3", $C488 + CADASTROS!$E$6, "")))), "")</f>
        <v/>
      </c>
      <c r="P488" s="8" t="str">
        <f t="shared" si="31"/>
        <v/>
      </c>
    </row>
    <row r="489" spans="1:16">
      <c r="A489" s="2" t="s">
        <v>624</v>
      </c>
      <c r="B489" s="6" t="s">
        <v>39</v>
      </c>
      <c r="C489" s="7">
        <v>45192</v>
      </c>
      <c r="D489" s="7" t="s">
        <v>88</v>
      </c>
      <c r="E489" s="4" t="s">
        <v>110</v>
      </c>
      <c r="F489" s="4" t="s">
        <v>114</v>
      </c>
      <c r="G489" s="8">
        <v>3784</v>
      </c>
      <c r="H489" s="8" t="s">
        <v>136</v>
      </c>
      <c r="I489" s="3">
        <f>IF($H489="A VISTA", C489 + CADASTROS!$B$3, IF($H489="1+1", C489 + CADASTROS!$B$4, IF(H489="1+2", C489 + CADASTROS!$B$5, IF(H489="1+3", C489 + CADASTROS!$B$6, ""))))</f>
        <v>45193</v>
      </c>
      <c r="J489" s="8">
        <f t="shared" si="28"/>
        <v>946</v>
      </c>
      <c r="K489" s="3">
        <f>IF($L489&lt;&gt;"", IF($H489="A VISTA", "", IF($H489="1+1", $C489 + CADASTROS!$C$4, IF($H489="1+2", $C489 + CADASTROS!$C$5, IF($H489="1+3", $C489 + CADASTROS!$E$4, "")))), "")</f>
        <v>45192</v>
      </c>
      <c r="L489" s="8">
        <f t="shared" si="29"/>
        <v>946</v>
      </c>
      <c r="M489" s="3">
        <f>IF($N489&lt;&gt;"", IF($H489="A VISTA", "", IF($H489="1+1", $C489 + CADASTROS!$C$4, IF($H489="1+2", $C489 + CADASTROS!$D$5, IF($H489="1+3", $C489 + CADASTROS!$D$6, "")))), "")</f>
        <v>45237</v>
      </c>
      <c r="N489" s="8">
        <f t="shared" si="30"/>
        <v>946</v>
      </c>
      <c r="O489" s="3">
        <f>IF($P489&lt;&gt;"", IF($H489="A VISTA", "", IF($H489="1+1", $C489 + CADASTROS!$C$4, IF($H489="1+2", $C489 + CADASTROS!$C$5, IF($H489="1+3", $C489 + CADASTROS!$E$6, "")))), "")</f>
        <v>45252</v>
      </c>
      <c r="P489" s="8">
        <f t="shared" si="31"/>
        <v>946</v>
      </c>
    </row>
    <row r="490" spans="1:16">
      <c r="A490" s="2" t="s">
        <v>625</v>
      </c>
      <c r="B490" s="6" t="s">
        <v>47</v>
      </c>
      <c r="C490" s="7">
        <v>45259</v>
      </c>
      <c r="D490" s="7" t="s">
        <v>96</v>
      </c>
      <c r="E490" s="4" t="s">
        <v>111</v>
      </c>
      <c r="F490" s="4" t="s">
        <v>120</v>
      </c>
      <c r="G490" s="8">
        <v>7456</v>
      </c>
      <c r="H490" s="8" t="s">
        <v>136</v>
      </c>
      <c r="I490" s="3">
        <f>IF($H490="A VISTA", C490 + CADASTROS!$B$3, IF($H490="1+1", C490 + CADASTROS!$B$4, IF(H490="1+2", C490 + CADASTROS!$B$5, IF(H490="1+3", C490 + CADASTROS!$B$6, ""))))</f>
        <v>45260</v>
      </c>
      <c r="J490" s="8">
        <f t="shared" si="28"/>
        <v>1864</v>
      </c>
      <c r="K490" s="3">
        <f>IF($L490&lt;&gt;"", IF($H490="A VISTA", "", IF($H490="1+1", $C490 + CADASTROS!$C$4, IF($H490="1+2", $C490 + CADASTROS!$C$5, IF($H490="1+3", $C490 + CADASTROS!$E$4, "")))), "")</f>
        <v>45259</v>
      </c>
      <c r="L490" s="8">
        <f t="shared" si="29"/>
        <v>1864</v>
      </c>
      <c r="M490" s="3">
        <f>IF($N490&lt;&gt;"", IF($H490="A VISTA", "", IF($H490="1+1", $C490 + CADASTROS!$C$4, IF($H490="1+2", $C490 + CADASTROS!$D$5, IF($H490="1+3", $C490 + CADASTROS!$D$6, "")))), "")</f>
        <v>45304</v>
      </c>
      <c r="N490" s="8">
        <f t="shared" si="30"/>
        <v>1864</v>
      </c>
      <c r="O490" s="3">
        <f>IF($P490&lt;&gt;"", IF($H490="A VISTA", "", IF($H490="1+1", $C490 + CADASTROS!$C$4, IF($H490="1+2", $C490 + CADASTROS!$C$5, IF($H490="1+3", $C490 + CADASTROS!$E$6, "")))), "")</f>
        <v>45319</v>
      </c>
      <c r="P490" s="8">
        <f t="shared" si="31"/>
        <v>1864</v>
      </c>
    </row>
    <row r="491" spans="1:16">
      <c r="A491" s="2" t="s">
        <v>626</v>
      </c>
      <c r="B491" s="6" t="s">
        <v>53</v>
      </c>
      <c r="C491" s="7">
        <v>45283</v>
      </c>
      <c r="D491" s="7" t="s">
        <v>102</v>
      </c>
      <c r="E491" s="4" t="s">
        <v>111</v>
      </c>
      <c r="F491" s="4" t="s">
        <v>117</v>
      </c>
      <c r="G491" s="8">
        <v>1344</v>
      </c>
      <c r="H491" s="8" t="s">
        <v>136</v>
      </c>
      <c r="I491" s="3">
        <f>IF($H491="A VISTA", C491 + CADASTROS!$B$3, IF($H491="1+1", C491 + CADASTROS!$B$4, IF(H491="1+2", C491 + CADASTROS!$B$5, IF(H491="1+3", C491 + CADASTROS!$B$6, ""))))</f>
        <v>45284</v>
      </c>
      <c r="J491" s="8">
        <f t="shared" si="28"/>
        <v>336</v>
      </c>
      <c r="K491" s="3">
        <f>IF($L491&lt;&gt;"", IF($H491="A VISTA", "", IF($H491="1+1", $C491 + CADASTROS!$C$4, IF($H491="1+2", $C491 + CADASTROS!$C$5, IF($H491="1+3", $C491 + CADASTROS!$E$4, "")))), "")</f>
        <v>45283</v>
      </c>
      <c r="L491" s="8">
        <f t="shared" si="29"/>
        <v>336</v>
      </c>
      <c r="M491" s="3">
        <f>IF($N491&lt;&gt;"", IF($H491="A VISTA", "", IF($H491="1+1", $C491 + CADASTROS!$C$4, IF($H491="1+2", $C491 + CADASTROS!$D$5, IF($H491="1+3", $C491 + CADASTROS!$D$6, "")))), "")</f>
        <v>45328</v>
      </c>
      <c r="N491" s="8">
        <f t="shared" si="30"/>
        <v>336</v>
      </c>
      <c r="O491" s="3">
        <f>IF($P491&lt;&gt;"", IF($H491="A VISTA", "", IF($H491="1+1", $C491 + CADASTROS!$C$4, IF($H491="1+2", $C491 + CADASTROS!$C$5, IF($H491="1+3", $C491 + CADASTROS!$E$6, "")))), "")</f>
        <v>45343</v>
      </c>
      <c r="P491" s="8">
        <f t="shared" si="31"/>
        <v>336</v>
      </c>
    </row>
    <row r="492" spans="1:16">
      <c r="A492" s="2" t="s">
        <v>627</v>
      </c>
      <c r="B492" s="6" t="s">
        <v>32</v>
      </c>
      <c r="C492" s="7">
        <v>45266</v>
      </c>
      <c r="D492" s="7" t="s">
        <v>81</v>
      </c>
      <c r="E492" s="4" t="s">
        <v>110</v>
      </c>
      <c r="F492" s="4" t="s">
        <v>124</v>
      </c>
      <c r="G492" s="8">
        <v>8367</v>
      </c>
      <c r="H492" s="8" t="s">
        <v>126</v>
      </c>
      <c r="I492" s="3">
        <f>IF($H492="A VISTA", C492 + CADASTROS!$B$3, IF($H492="1+1", C492 + CADASTROS!$B$4, IF(H492="1+2", C492 + CADASTROS!$B$5, IF(H492="1+3", C492 + CADASTROS!$B$6, ""))))</f>
        <v>45267</v>
      </c>
      <c r="J492" s="8">
        <f t="shared" si="28"/>
        <v>8367</v>
      </c>
      <c r="K492" s="3" t="str">
        <f>IF($L492&lt;&gt;"", IF($H492="A VISTA", "", IF($H492="1+1", $C492 + CADASTROS!$C$4, IF($H492="1+2", $C492 + CADASTROS!$C$5, IF($H492="1+3", $C492 + CADASTROS!$E$4, "")))), "")</f>
        <v/>
      </c>
      <c r="L492" s="8" t="str">
        <f t="shared" si="29"/>
        <v/>
      </c>
      <c r="M492" s="3" t="str">
        <f>IF($N492&lt;&gt;"", IF($H492="A VISTA", "", IF($H492="1+1", $C492 + CADASTROS!$C$4, IF($H492="1+2", $C492 + CADASTROS!$D$5, IF($H492="1+3", $C492 + CADASTROS!$D$6, "")))), "")</f>
        <v/>
      </c>
      <c r="N492" s="8" t="str">
        <f t="shared" si="30"/>
        <v/>
      </c>
      <c r="O492" s="3" t="str">
        <f>IF($P492&lt;&gt;"", IF($H492="A VISTA", "", IF($H492="1+1", $C492 + CADASTROS!$C$4, IF($H492="1+2", $C492 + CADASTROS!$C$5, IF($H492="1+3", $C492 + CADASTROS!$E$6, "")))), "")</f>
        <v/>
      </c>
      <c r="P492" s="8" t="str">
        <f t="shared" si="31"/>
        <v/>
      </c>
    </row>
    <row r="493" spans="1:16">
      <c r="A493" s="2" t="s">
        <v>628</v>
      </c>
      <c r="B493" s="6" t="s">
        <v>12</v>
      </c>
      <c r="C493" s="7">
        <v>45333</v>
      </c>
      <c r="D493" s="7" t="s">
        <v>62</v>
      </c>
      <c r="E493" s="4" t="s">
        <v>112</v>
      </c>
      <c r="F493" s="4" t="s">
        <v>122</v>
      </c>
      <c r="G493" s="8">
        <v>9077</v>
      </c>
      <c r="H493" s="8" t="s">
        <v>126</v>
      </c>
      <c r="I493" s="3">
        <f>IF($H493="A VISTA", C493 + CADASTROS!$B$3, IF($H493="1+1", C493 + CADASTROS!$B$4, IF(H493="1+2", C493 + CADASTROS!$B$5, IF(H493="1+3", C493 + CADASTROS!$B$6, ""))))</f>
        <v>45334</v>
      </c>
      <c r="J493" s="8">
        <f t="shared" si="28"/>
        <v>9077</v>
      </c>
      <c r="K493" s="3" t="str">
        <f>IF($L493&lt;&gt;"", IF($H493="A VISTA", "", IF($H493="1+1", $C493 + CADASTROS!$C$4, IF($H493="1+2", $C493 + CADASTROS!$C$5, IF($H493="1+3", $C493 + CADASTROS!$E$4, "")))), "")</f>
        <v/>
      </c>
      <c r="L493" s="8" t="str">
        <f t="shared" si="29"/>
        <v/>
      </c>
      <c r="M493" s="3" t="str">
        <f>IF($N493&lt;&gt;"", IF($H493="A VISTA", "", IF($H493="1+1", $C493 + CADASTROS!$C$4, IF($H493="1+2", $C493 + CADASTROS!$D$5, IF($H493="1+3", $C493 + CADASTROS!$D$6, "")))), "")</f>
        <v/>
      </c>
      <c r="N493" s="8" t="str">
        <f t="shared" si="30"/>
        <v/>
      </c>
      <c r="O493" s="3" t="str">
        <f>IF($P493&lt;&gt;"", IF($H493="A VISTA", "", IF($H493="1+1", $C493 + CADASTROS!$C$4, IF($H493="1+2", $C493 + CADASTROS!$C$5, IF($H493="1+3", $C493 + CADASTROS!$E$6, "")))), "")</f>
        <v/>
      </c>
      <c r="P493" s="8" t="str">
        <f t="shared" si="31"/>
        <v/>
      </c>
    </row>
    <row r="494" spans="1:16">
      <c r="A494" s="2" t="s">
        <v>629</v>
      </c>
      <c r="B494" s="6" t="s">
        <v>14</v>
      </c>
      <c r="C494" s="7">
        <v>45182</v>
      </c>
      <c r="D494" s="7" t="s">
        <v>61</v>
      </c>
      <c r="E494" s="4" t="s">
        <v>110</v>
      </c>
      <c r="F494" s="4" t="s">
        <v>113</v>
      </c>
      <c r="G494" s="8">
        <v>6656</v>
      </c>
      <c r="H494" s="8" t="s">
        <v>137</v>
      </c>
      <c r="I494" s="3">
        <f>IF($H494="A VISTA", C494 + CADASTROS!$B$3, IF($H494="1+1", C494 + CADASTROS!$B$4, IF(H494="1+2", C494 + CADASTROS!$B$5, IF(H494="1+3", C494 + CADASTROS!$B$6, ""))))</f>
        <v>45183</v>
      </c>
      <c r="J494" s="8">
        <f t="shared" si="28"/>
        <v>2218.6666666666665</v>
      </c>
      <c r="K494" s="3">
        <f>IF($L494&lt;&gt;"", IF($H494="A VISTA", "", IF($H494="1+1", $C494 + CADASTROS!$C$4, IF($H494="1+2", $C494 + CADASTROS!$C$5, IF($H494="1+3", $C494 + CADASTROS!$E$4, "")))), "")</f>
        <v>45212</v>
      </c>
      <c r="L494" s="8">
        <f t="shared" si="29"/>
        <v>2218.6666666666665</v>
      </c>
      <c r="M494" s="3">
        <f>IF($N494&lt;&gt;"", IF($H494="A VISTA", "", IF($H494="1+1", $C494 + CADASTROS!$C$4, IF($H494="1+2", $C494 + CADASTROS!$D$5, IF($H494="1+3", $C494 + CADASTROS!$D$6, "")))), "")</f>
        <v>45227</v>
      </c>
      <c r="N494" s="8">
        <f t="shared" si="30"/>
        <v>2218.6666666666674</v>
      </c>
      <c r="O494" s="3" t="str">
        <f>IF($P494&lt;&gt;"", IF($H494="A VISTA", "", IF($H494="1+1", $C494 + CADASTROS!$C$4, IF($H494="1+2", $C494 + CADASTROS!$C$5, IF($H494="1+3", $C494 + CADASTROS!$E$6, "")))), "")</f>
        <v/>
      </c>
      <c r="P494" s="8" t="str">
        <f t="shared" si="31"/>
        <v/>
      </c>
    </row>
    <row r="495" spans="1:16">
      <c r="A495" s="2" t="s">
        <v>630</v>
      </c>
      <c r="B495" s="6" t="s">
        <v>17</v>
      </c>
      <c r="C495" s="7">
        <v>45160</v>
      </c>
      <c r="D495" s="7" t="s">
        <v>66</v>
      </c>
      <c r="E495" s="4" t="s">
        <v>110</v>
      </c>
      <c r="F495" s="4" t="s">
        <v>114</v>
      </c>
      <c r="G495" s="8">
        <v>9287</v>
      </c>
      <c r="H495" s="8" t="s">
        <v>138</v>
      </c>
      <c r="I495" s="3">
        <f>IF($H495="A VISTA", C495 + CADASTROS!$B$3, IF($H495="1+1", C495 + CADASTROS!$B$4, IF(H495="1+2", C495 + CADASTROS!$B$5, IF(H495="1+3", C495 + CADASTROS!$B$6, ""))))</f>
        <v>45161</v>
      </c>
      <c r="J495" s="8">
        <f t="shared" si="28"/>
        <v>4643.5</v>
      </c>
      <c r="K495" s="3">
        <f>IF($L495&lt;&gt;"", IF($H495="A VISTA", "", IF($H495="1+1", $C495 + CADASTROS!$C$4, IF($H495="1+2", $C495 + CADASTROS!$C$5, IF($H495="1+3", $C495 + CADASTROS!$E$4, "")))), "")</f>
        <v>45190</v>
      </c>
      <c r="L495" s="8">
        <f t="shared" si="29"/>
        <v>4643.5</v>
      </c>
      <c r="M495" s="3" t="str">
        <f>IF($N495&lt;&gt;"", IF($H495="A VISTA", "", IF($H495="1+1", $C495 + CADASTROS!$C$4, IF($H495="1+2", $C495 + CADASTROS!$D$5, IF($H495="1+3", $C495 + CADASTROS!$D$6, "")))), "")</f>
        <v/>
      </c>
      <c r="N495" s="8" t="str">
        <f t="shared" si="30"/>
        <v/>
      </c>
      <c r="O495" s="3" t="str">
        <f>IF($P495&lt;&gt;"", IF($H495="A VISTA", "", IF($H495="1+1", $C495 + CADASTROS!$C$4, IF($H495="1+2", $C495 + CADASTROS!$C$5, IF($H495="1+3", $C495 + CADASTROS!$E$6, "")))), "")</f>
        <v/>
      </c>
      <c r="P495" s="8" t="str">
        <f t="shared" si="31"/>
        <v/>
      </c>
    </row>
    <row r="496" spans="1:16">
      <c r="A496" s="2" t="s">
        <v>631</v>
      </c>
      <c r="B496" s="6" t="s">
        <v>43</v>
      </c>
      <c r="C496" s="7">
        <v>45244</v>
      </c>
      <c r="D496" s="7" t="s">
        <v>92</v>
      </c>
      <c r="E496" s="4" t="s">
        <v>110</v>
      </c>
      <c r="F496" s="4" t="s">
        <v>124</v>
      </c>
      <c r="G496" s="8">
        <v>3141</v>
      </c>
      <c r="H496" s="8" t="s">
        <v>136</v>
      </c>
      <c r="I496" s="3">
        <f>IF($H496="A VISTA", C496 + CADASTROS!$B$3, IF($H496="1+1", C496 + CADASTROS!$B$4, IF(H496="1+2", C496 + CADASTROS!$B$5, IF(H496="1+3", C496 + CADASTROS!$B$6, ""))))</f>
        <v>45245</v>
      </c>
      <c r="J496" s="8">
        <f t="shared" si="28"/>
        <v>785.25</v>
      </c>
      <c r="K496" s="3">
        <f>IF($L496&lt;&gt;"", IF($H496="A VISTA", "", IF($H496="1+1", $C496 + CADASTROS!$C$4, IF($H496="1+2", $C496 + CADASTROS!$C$5, IF($H496="1+3", $C496 + CADASTROS!$E$4, "")))), "")</f>
        <v>45244</v>
      </c>
      <c r="L496" s="8">
        <f t="shared" si="29"/>
        <v>785.25</v>
      </c>
      <c r="M496" s="3">
        <f>IF($N496&lt;&gt;"", IF($H496="A VISTA", "", IF($H496="1+1", $C496 + CADASTROS!$C$4, IF($H496="1+2", $C496 + CADASTROS!$D$5, IF($H496="1+3", $C496 + CADASTROS!$D$6, "")))), "")</f>
        <v>45289</v>
      </c>
      <c r="N496" s="8">
        <f t="shared" si="30"/>
        <v>785.25</v>
      </c>
      <c r="O496" s="3">
        <f>IF($P496&lt;&gt;"", IF($H496="A VISTA", "", IF($H496="1+1", $C496 + CADASTROS!$C$4, IF($H496="1+2", $C496 + CADASTROS!$C$5, IF($H496="1+3", $C496 + CADASTROS!$E$6, "")))), "")</f>
        <v>45304</v>
      </c>
      <c r="P496" s="8">
        <f t="shared" si="31"/>
        <v>785.25</v>
      </c>
    </row>
    <row r="497" spans="1:16">
      <c r="A497" s="2" t="s">
        <v>632</v>
      </c>
      <c r="B497" s="6" t="s">
        <v>45</v>
      </c>
      <c r="C497" s="7">
        <v>45408</v>
      </c>
      <c r="D497" s="7" t="s">
        <v>94</v>
      </c>
      <c r="E497" s="4" t="s">
        <v>110</v>
      </c>
      <c r="F497" s="4" t="s">
        <v>113</v>
      </c>
      <c r="G497" s="8">
        <v>5094</v>
      </c>
      <c r="H497" s="8" t="s">
        <v>137</v>
      </c>
      <c r="I497" s="3">
        <f>IF($H497="A VISTA", C497 + CADASTROS!$B$3, IF($H497="1+1", C497 + CADASTROS!$B$4, IF(H497="1+2", C497 + CADASTROS!$B$5, IF(H497="1+3", C497 + CADASTROS!$B$6, ""))))</f>
        <v>45409</v>
      </c>
      <c r="J497" s="8">
        <f t="shared" si="28"/>
        <v>1698</v>
      </c>
      <c r="K497" s="3">
        <f>IF($L497&lt;&gt;"", IF($H497="A VISTA", "", IF($H497="1+1", $C497 + CADASTROS!$C$4, IF($H497="1+2", $C497 + CADASTROS!$C$5, IF($H497="1+3", $C497 + CADASTROS!$E$4, "")))), "")</f>
        <v>45438</v>
      </c>
      <c r="L497" s="8">
        <f t="shared" si="29"/>
        <v>1698</v>
      </c>
      <c r="M497" s="3">
        <f>IF($N497&lt;&gt;"", IF($H497="A VISTA", "", IF($H497="1+1", $C497 + CADASTROS!$C$4, IF($H497="1+2", $C497 + CADASTROS!$D$5, IF($H497="1+3", $C497 + CADASTROS!$D$6, "")))), "")</f>
        <v>45453</v>
      </c>
      <c r="N497" s="8">
        <f t="shared" si="30"/>
        <v>1698</v>
      </c>
      <c r="O497" s="3" t="str">
        <f>IF($P497&lt;&gt;"", IF($H497="A VISTA", "", IF($H497="1+1", $C497 + CADASTROS!$C$4, IF($H497="1+2", $C497 + CADASTROS!$C$5, IF($H497="1+3", $C497 + CADASTROS!$E$6, "")))), "")</f>
        <v/>
      </c>
      <c r="P497" s="8" t="str">
        <f t="shared" si="31"/>
        <v/>
      </c>
    </row>
    <row r="498" spans="1:16">
      <c r="A498" s="2" t="s">
        <v>633</v>
      </c>
      <c r="B498" s="6" t="s">
        <v>18</v>
      </c>
      <c r="C498" s="7">
        <v>45242</v>
      </c>
      <c r="D498" s="7" t="s">
        <v>67</v>
      </c>
      <c r="E498" s="4" t="s">
        <v>111</v>
      </c>
      <c r="F498" s="4" t="s">
        <v>121</v>
      </c>
      <c r="G498" s="8">
        <v>430</v>
      </c>
      <c r="H498" s="8" t="s">
        <v>136</v>
      </c>
      <c r="I498" s="3">
        <f>IF($H498="A VISTA", C498 + CADASTROS!$B$3, IF($H498="1+1", C498 + CADASTROS!$B$4, IF(H498="1+2", C498 + CADASTROS!$B$5, IF(H498="1+3", C498 + CADASTROS!$B$6, ""))))</f>
        <v>45243</v>
      </c>
      <c r="J498" s="8">
        <f t="shared" si="28"/>
        <v>107.5</v>
      </c>
      <c r="K498" s="3">
        <f>IF($L498&lt;&gt;"", IF($H498="A VISTA", "", IF($H498="1+1", $C498 + CADASTROS!$C$4, IF($H498="1+2", $C498 + CADASTROS!$C$5, IF($H498="1+3", $C498 + CADASTROS!$E$4, "")))), "")</f>
        <v>45242</v>
      </c>
      <c r="L498" s="8">
        <f t="shared" si="29"/>
        <v>107.5</v>
      </c>
      <c r="M498" s="3">
        <f>IF($N498&lt;&gt;"", IF($H498="A VISTA", "", IF($H498="1+1", $C498 + CADASTROS!$C$4, IF($H498="1+2", $C498 + CADASTROS!$D$5, IF($H498="1+3", $C498 + CADASTROS!$D$6, "")))), "")</f>
        <v>45287</v>
      </c>
      <c r="N498" s="8">
        <f t="shared" si="30"/>
        <v>107.5</v>
      </c>
      <c r="O498" s="3">
        <f>IF($P498&lt;&gt;"", IF($H498="A VISTA", "", IF($H498="1+1", $C498 + CADASTROS!$C$4, IF($H498="1+2", $C498 + CADASTROS!$C$5, IF($H498="1+3", $C498 + CADASTROS!$E$6, "")))), "")</f>
        <v>45302</v>
      </c>
      <c r="P498" s="8">
        <f t="shared" si="31"/>
        <v>107.5</v>
      </c>
    </row>
    <row r="499" spans="1:16">
      <c r="A499" s="2" t="s">
        <v>634</v>
      </c>
      <c r="B499" s="6" t="s">
        <v>55</v>
      </c>
      <c r="C499" s="7">
        <v>45300</v>
      </c>
      <c r="D499" s="7" t="s">
        <v>104</v>
      </c>
      <c r="E499" s="4" t="s">
        <v>111</v>
      </c>
      <c r="F499" s="4" t="s">
        <v>119</v>
      </c>
      <c r="G499" s="8">
        <v>595</v>
      </c>
      <c r="H499" s="8" t="s">
        <v>138</v>
      </c>
      <c r="I499" s="3">
        <f>IF($H499="A VISTA", C499 + CADASTROS!$B$3, IF($H499="1+1", C499 + CADASTROS!$B$4, IF(H499="1+2", C499 + CADASTROS!$B$5, IF(H499="1+3", C499 + CADASTROS!$B$6, ""))))</f>
        <v>45301</v>
      </c>
      <c r="J499" s="8">
        <f t="shared" si="28"/>
        <v>297.5</v>
      </c>
      <c r="K499" s="3">
        <f>IF($L499&lt;&gt;"", IF($H499="A VISTA", "", IF($H499="1+1", $C499 + CADASTROS!$C$4, IF($H499="1+2", $C499 + CADASTROS!$C$5, IF($H499="1+3", $C499 + CADASTROS!$E$4, "")))), "")</f>
        <v>45330</v>
      </c>
      <c r="L499" s="8">
        <f t="shared" si="29"/>
        <v>297.5</v>
      </c>
      <c r="M499" s="3" t="str">
        <f>IF($N499&lt;&gt;"", IF($H499="A VISTA", "", IF($H499="1+1", $C499 + CADASTROS!$C$4, IF($H499="1+2", $C499 + CADASTROS!$D$5, IF($H499="1+3", $C499 + CADASTROS!$D$6, "")))), "")</f>
        <v/>
      </c>
      <c r="N499" s="8" t="str">
        <f t="shared" si="30"/>
        <v/>
      </c>
      <c r="O499" s="3" t="str">
        <f>IF($P499&lt;&gt;"", IF($H499="A VISTA", "", IF($H499="1+1", $C499 + CADASTROS!$C$4, IF($H499="1+2", $C499 + CADASTROS!$C$5, IF($H499="1+3", $C499 + CADASTROS!$E$6, "")))), "")</f>
        <v/>
      </c>
      <c r="P499" s="8" t="str">
        <f t="shared" si="31"/>
        <v/>
      </c>
    </row>
    <row r="500" spans="1:16">
      <c r="A500" s="2" t="s">
        <v>635</v>
      </c>
      <c r="B500" s="6" t="s">
        <v>40</v>
      </c>
      <c r="C500" s="7">
        <v>45430</v>
      </c>
      <c r="D500" s="7" t="s">
        <v>89</v>
      </c>
      <c r="E500" s="4" t="s">
        <v>111</v>
      </c>
      <c r="F500" s="4" t="s">
        <v>121</v>
      </c>
      <c r="G500" s="8">
        <v>8491</v>
      </c>
      <c r="H500" s="8" t="s">
        <v>138</v>
      </c>
      <c r="I500" s="3">
        <f>IF($H500="A VISTA", C500 + CADASTROS!$B$3, IF($H500="1+1", C500 + CADASTROS!$B$4, IF(H500="1+2", C500 + CADASTROS!$B$5, IF(H500="1+3", C500 + CADASTROS!$B$6, ""))))</f>
        <v>45431</v>
      </c>
      <c r="J500" s="8">
        <f t="shared" si="28"/>
        <v>4245.5</v>
      </c>
      <c r="K500" s="3">
        <f>IF($L500&lt;&gt;"", IF($H500="A VISTA", "", IF($H500="1+1", $C500 + CADASTROS!$C$4, IF($H500="1+2", $C500 + CADASTROS!$C$5, IF($H500="1+3", $C500 + CADASTROS!$E$4, "")))), "")</f>
        <v>45460</v>
      </c>
      <c r="L500" s="8">
        <f t="shared" si="29"/>
        <v>4245.5</v>
      </c>
      <c r="M500" s="3" t="str">
        <f>IF($N500&lt;&gt;"", IF($H500="A VISTA", "", IF($H500="1+1", $C500 + CADASTROS!$C$4, IF($H500="1+2", $C500 + CADASTROS!$D$5, IF($H500="1+3", $C500 + CADASTROS!$D$6, "")))), "")</f>
        <v/>
      </c>
      <c r="N500" s="8" t="str">
        <f t="shared" si="30"/>
        <v/>
      </c>
      <c r="O500" s="3" t="str">
        <f>IF($P500&lt;&gt;"", IF($H500="A VISTA", "", IF($H500="1+1", $C500 + CADASTROS!$C$4, IF($H500="1+2", $C500 + CADASTROS!$C$5, IF($H500="1+3", $C500 + CADASTROS!$E$6, "")))), "")</f>
        <v/>
      </c>
      <c r="P500" s="8" t="str">
        <f t="shared" si="31"/>
        <v/>
      </c>
    </row>
    <row r="501" spans="1:16">
      <c r="A501" s="4" t="s">
        <v>636</v>
      </c>
      <c r="B501" s="5" t="s">
        <v>13</v>
      </c>
      <c r="C501" s="18">
        <v>45166</v>
      </c>
      <c r="D501" s="18" t="s">
        <v>63</v>
      </c>
      <c r="E501" s="4" t="s">
        <v>111</v>
      </c>
      <c r="F501" s="4" t="s">
        <v>120</v>
      </c>
      <c r="G501" s="8">
        <v>8360</v>
      </c>
      <c r="H501" s="8" t="s">
        <v>126</v>
      </c>
      <c r="I501" s="3">
        <f>IF($H501="A VISTA", C501 + CADASTROS!$B$3, IF($H501="1+1", C501 + CADASTROS!$B$4, IF(H501="1+2", C501 + CADASTROS!$B$5, IF(H501="1+3", C501 + CADASTROS!$B$6, ""))))</f>
        <v>45167</v>
      </c>
      <c r="J501" s="8">
        <f t="shared" si="28"/>
        <v>8360</v>
      </c>
      <c r="K501" s="3" t="str">
        <f>IF($L501&lt;&gt;"", IF($H501="A VISTA", "", IF($H501="1+1", $C501 + CADASTROS!$C$4, IF($H501="1+2", $C501 + CADASTROS!$C$5, IF($H501="1+3", $C501 + CADASTROS!$E$4, "")))), "")</f>
        <v/>
      </c>
      <c r="L501" s="8" t="str">
        <f t="shared" si="29"/>
        <v/>
      </c>
      <c r="M501" s="3" t="str">
        <f>IF($N501&lt;&gt;"", IF($H501="A VISTA", "", IF($H501="1+1", $C501 + CADASTROS!$C$4, IF($H501="1+2", $C501 + CADASTROS!$D$5, IF($H501="1+3", $C501 + CADASTROS!$D$6, "")))), "")</f>
        <v/>
      </c>
      <c r="N501" s="8" t="str">
        <f t="shared" si="30"/>
        <v/>
      </c>
      <c r="O501" s="3" t="str">
        <f>IF($P501&lt;&gt;"", IF($H501="A VISTA", "", IF($H501="1+1", $C501 + CADASTROS!$C$4, IF($H501="1+2", $C501 + CADASTROS!$C$5, IF($H501="1+3", $C501 + CADASTROS!$E$6, "")))), "")</f>
        <v/>
      </c>
      <c r="P501" s="8" t="str">
        <f t="shared" si="31"/>
        <v/>
      </c>
    </row>
  </sheetData>
  <conditionalFormatting sqref="A1:P501">
    <cfRule type="expression" dxfId="0" priority="1">
      <formula>$A1&lt;&gt;""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BASE</vt:lpstr>
      <vt:lpstr>CADASTROS</vt:lpstr>
      <vt:lpstr>Grafico1</vt:lpstr>
      <vt:lpstr>Grafico2</vt:lpstr>
      <vt:lpstr>Grafico3</vt:lpstr>
      <vt:lpstr>Grafico4</vt:lpstr>
      <vt:lpstr>Grafico5</vt:lpstr>
      <vt:lpstr>Grafico6</vt:lpstr>
      <vt:lpstr>BASE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Reis</dc:creator>
  <cp:lastModifiedBy>Robson</cp:lastModifiedBy>
  <dcterms:created xsi:type="dcterms:W3CDTF">2024-05-25T18:00:51Z</dcterms:created>
  <dcterms:modified xsi:type="dcterms:W3CDTF">2024-10-16T15:42:59Z</dcterms:modified>
</cp:coreProperties>
</file>